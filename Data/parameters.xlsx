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emmanuel/Dropbox/vaccines/BMJOpen/RR1/Data/"/>
    </mc:Choice>
  </mc:AlternateContent>
  <xr:revisionPtr revIDLastSave="0" documentId="13_ncr:1_{C77D694C-30F3-B34E-BDBC-7633148F2837}" xr6:coauthVersionLast="47" xr6:coauthVersionMax="47" xr10:uidLastSave="{00000000-0000-0000-0000-000000000000}"/>
  <bookViews>
    <workbookView xWindow="15560" yWindow="-28200" windowWidth="50200" windowHeight="26400" activeTab="2" xr2:uid="{6CCCB85C-99E7-9B4E-9359-B3F89C549C7B}"/>
  </bookViews>
  <sheets>
    <sheet name="Readme" sheetId="18" r:id="rId1"/>
    <sheet name="Inputs Table &gt;&gt;" sheetId="19" r:id="rId2"/>
    <sheet name="parameters" sheetId="1" r:id="rId3"/>
    <sheet name="Vaccine Efficacy &gt;&gt;" sheetId="17" r:id="rId4"/>
    <sheet name="seroresponse" sheetId="7" r:id="rId5"/>
    <sheet name="Demographics &gt;&gt;" sheetId="16" r:id="rId6"/>
    <sheet name="life_tables" sheetId="3" r:id="rId7"/>
    <sheet name="age_pyramid" sheetId="4" r:id="rId8"/>
    <sheet name="Costs &gt;&gt;" sheetId="15" r:id="rId9"/>
    <sheet name="tax_rates" sheetId="2" r:id="rId10"/>
    <sheet name="qdenga_price" sheetId="11" r:id="rId11"/>
    <sheet name="pneumo-13_price" sheetId="12" r:id="rId12"/>
    <sheet name="chiqx_price" sheetId="9" r:id="rId13"/>
    <sheet name="calculations" sheetId="13" r:id="rId14"/>
    <sheet name="Adjustments &gt;&gt;" sheetId="14" r:id="rId15"/>
    <sheet name="cpi" sheetId="10" r:id="rId16"/>
    <sheet name="spot_fx_rate" sheetId="6" r:id="rId17"/>
  </sheets>
  <definedNames>
    <definedName name="C_C">parameters!$H$3</definedName>
    <definedName name="cycle_length">parameters!$H$51</definedName>
    <definedName name="fracinfected">parameters!#REF!</definedName>
    <definedName name="U_I">parameters!$H$96</definedName>
    <definedName name="U_S">parameters!$H$87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1" l="1"/>
  <c r="G49" i="1"/>
  <c r="H45" i="1" s="1"/>
  <c r="H49" i="1"/>
  <c r="O10" i="9"/>
  <c r="M10" i="9"/>
  <c r="N10" i="9"/>
  <c r="O9" i="9"/>
  <c r="M9" i="9"/>
  <c r="N9" i="9"/>
  <c r="H12" i="1"/>
  <c r="I12" i="1"/>
  <c r="G4" i="13"/>
  <c r="I4" i="13"/>
  <c r="F3" i="13"/>
  <c r="G3" i="13"/>
  <c r="H3" i="13"/>
  <c r="H4" i="13" s="1"/>
  <c r="K4" i="13" s="1"/>
  <c r="I3" i="13"/>
  <c r="J3" i="13"/>
  <c r="K3" i="13" s="1"/>
  <c r="G7" i="11"/>
  <c r="H7" i="11" s="1"/>
  <c r="I47" i="1" l="1"/>
  <c r="H47" i="1"/>
  <c r="I46" i="1"/>
  <c r="H46" i="1"/>
  <c r="G47" i="1"/>
  <c r="G46" i="1"/>
  <c r="G106" i="1"/>
  <c r="C374" i="10"/>
  <c r="C386" i="10"/>
  <c r="C398" i="10"/>
  <c r="G107" i="1"/>
  <c r="G108" i="1"/>
  <c r="G109" i="1"/>
  <c r="G110" i="1"/>
  <c r="G111" i="1"/>
  <c r="G112" i="1"/>
  <c r="C410" i="10"/>
  <c r="C422" i="10"/>
  <c r="C434" i="10"/>
  <c r="C446" i="10"/>
  <c r="C458" i="10"/>
  <c r="C470" i="10"/>
  <c r="C482" i="10"/>
  <c r="C494" i="10"/>
  <c r="C506" i="10"/>
  <c r="C518" i="10"/>
  <c r="C530" i="10"/>
  <c r="C542" i="10"/>
  <c r="C546" i="10"/>
  <c r="F18" i="9"/>
  <c r="E18" i="9"/>
  <c r="F17" i="9"/>
  <c r="E17" i="9"/>
  <c r="F16" i="9"/>
  <c r="E16" i="9"/>
  <c r="F15" i="9"/>
  <c r="E15" i="9"/>
  <c r="F14" i="9"/>
  <c r="E14" i="9"/>
  <c r="F13" i="9"/>
  <c r="E13" i="9"/>
  <c r="F12" i="9"/>
  <c r="E12" i="9"/>
  <c r="J11" i="9"/>
  <c r="I11" i="9"/>
  <c r="F11" i="9"/>
  <c r="E11" i="9"/>
  <c r="J10" i="9"/>
  <c r="I10" i="9"/>
  <c r="F10" i="9"/>
  <c r="E10" i="9"/>
  <c r="J9" i="9"/>
  <c r="I9" i="9"/>
  <c r="F9" i="9"/>
  <c r="E9" i="9"/>
  <c r="F8" i="9"/>
  <c r="E8" i="9"/>
  <c r="F7" i="9"/>
  <c r="E7" i="9"/>
  <c r="F6" i="9"/>
  <c r="E6" i="9"/>
  <c r="G19" i="1"/>
  <c r="I18" i="1"/>
  <c r="H18" i="1"/>
  <c r="I17" i="1"/>
  <c r="H17" i="1"/>
  <c r="G17" i="1"/>
  <c r="I58" i="1" l="1"/>
  <c r="H58" i="1"/>
  <c r="G38" i="1" l="1"/>
  <c r="I36" i="1"/>
  <c r="H36" i="1"/>
  <c r="H27" i="1"/>
  <c r="I27" i="1"/>
  <c r="G27" i="1"/>
  <c r="I25" i="1"/>
  <c r="H25" i="1"/>
  <c r="G25" i="1"/>
  <c r="I24" i="1"/>
  <c r="H24" i="1"/>
  <c r="G24" i="1"/>
  <c r="I26" i="1"/>
  <c r="H26" i="1"/>
  <c r="G26" i="1"/>
  <c r="G10" i="1"/>
  <c r="I9" i="1"/>
  <c r="H9" i="1"/>
  <c r="B4" i="7" l="1"/>
  <c r="B6" i="7"/>
  <c r="G104" i="1"/>
  <c r="I79" i="1"/>
  <c r="H79" i="1"/>
  <c r="I71" i="1"/>
  <c r="H71" i="1"/>
  <c r="I60" i="1"/>
  <c r="H60" i="1"/>
  <c r="I81" i="1"/>
  <c r="H81" i="1"/>
  <c r="I84" i="1"/>
  <c r="H84" i="1"/>
  <c r="I83" i="1"/>
  <c r="H83" i="1"/>
  <c r="I82" i="1"/>
  <c r="H82" i="1"/>
  <c r="I73" i="1"/>
  <c r="H73" i="1"/>
  <c r="I77" i="1"/>
  <c r="H77" i="1"/>
  <c r="I76" i="1"/>
  <c r="H76" i="1"/>
  <c r="I75" i="1"/>
  <c r="H75" i="1"/>
  <c r="I74" i="1"/>
  <c r="H74" i="1"/>
  <c r="I69" i="1"/>
  <c r="H69" i="1"/>
  <c r="I68" i="1"/>
  <c r="H68" i="1"/>
  <c r="I67" i="1"/>
  <c r="H67" i="1"/>
  <c r="I65" i="1"/>
  <c r="H65" i="1"/>
  <c r="I64" i="1"/>
  <c r="H64" i="1"/>
  <c r="I62" i="1"/>
  <c r="H62" i="1"/>
  <c r="I55" i="1" l="1"/>
  <c r="H55" i="1"/>
  <c r="I57" i="1"/>
  <c r="H57" i="1"/>
  <c r="I56" i="1"/>
  <c r="H56" i="1"/>
  <c r="I16" i="1"/>
  <c r="H16" i="1"/>
  <c r="I54" i="1"/>
  <c r="H54" i="1"/>
  <c r="I52" i="1"/>
  <c r="H52" i="1"/>
  <c r="G40" i="1"/>
  <c r="G39" i="1"/>
  <c r="I38" i="1"/>
  <c r="H38" i="1"/>
  <c r="I34" i="1"/>
  <c r="H34" i="1"/>
  <c r="H39" i="1" l="1"/>
  <c r="I39" i="1"/>
  <c r="H40" i="1"/>
  <c r="I40" i="1"/>
</calcChain>
</file>

<file path=xl/sharedStrings.xml><?xml version="1.0" encoding="utf-8"?>
<sst xmlns="http://schemas.openxmlformats.org/spreadsheetml/2006/main" count="1637" uniqueCount="648">
  <si>
    <t>Definition</t>
  </si>
  <si>
    <t>Value</t>
  </si>
  <si>
    <t>Beta</t>
  </si>
  <si>
    <t>Disease transmission rate</t>
  </si>
  <si>
    <t>Gamma</t>
  </si>
  <si>
    <t>Vaccination rate</t>
  </si>
  <si>
    <t>Background death rate</t>
  </si>
  <si>
    <t>Chronic disease recovery rate</t>
  </si>
  <si>
    <t>R0</t>
  </si>
  <si>
    <t>Source</t>
  </si>
  <si>
    <t>Assuming incubation period is 5 days so 0.2 per day</t>
  </si>
  <si>
    <t xml:space="preserve">Assumes recovery in 7-10 days, 8.5 days as midpoint. </t>
  </si>
  <si>
    <t>Schneider et al, 2023</t>
  </si>
  <si>
    <t>Assumption</t>
  </si>
  <si>
    <t>Paixao 2018</t>
  </si>
  <si>
    <t>Assume patients recover from the chronic form of disease in 12 months</t>
  </si>
  <si>
    <t>Bertolotti et al, 2020</t>
  </si>
  <si>
    <t>Haider et al, 2020</t>
  </si>
  <si>
    <t>Comments</t>
  </si>
  <si>
    <t>Calculation</t>
  </si>
  <si>
    <t>Average duration of infection, days</t>
  </si>
  <si>
    <t>Infection rate</t>
  </si>
  <si>
    <t>Incubation period, days</t>
  </si>
  <si>
    <t>Lower</t>
  </si>
  <si>
    <t>Upper</t>
  </si>
  <si>
    <t>Distribution</t>
  </si>
  <si>
    <t>Parameter</t>
  </si>
  <si>
    <t>Average duration of chronic disease, days</t>
  </si>
  <si>
    <t>Susceptible </t>
  </si>
  <si>
    <t>Exposed (Latent) </t>
  </si>
  <si>
    <t>Infectious (Acute CHIKV) </t>
  </si>
  <si>
    <t>Recovered </t>
  </si>
  <si>
    <t>Chronic Disease (Persistent Polyarthritis) </t>
  </si>
  <si>
    <t>Death </t>
  </si>
  <si>
    <t>Santos M, et al. 2021</t>
  </si>
  <si>
    <t>Assuming same SD from Santos M, et al. 2021</t>
  </si>
  <si>
    <t>Shim E, et al. 2017</t>
  </si>
  <si>
    <t>Assume utilities in infection similar to Dengue</t>
  </si>
  <si>
    <t>Linde L, et al. 2013</t>
  </si>
  <si>
    <t>Schneider M et a., 2023</t>
  </si>
  <si>
    <t>Richardson et al., 2025</t>
  </si>
  <si>
    <t>SD = 0.19, assuming utility Rheumatoid Arthritis  = utility in chronic phase; N = 315</t>
  </si>
  <si>
    <t>Utility, Exposed (Latent) </t>
  </si>
  <si>
    <t>Utility, Infectious (Acute CHIKV) </t>
  </si>
  <si>
    <t>Utility, Chronic Disease (Persistent Polyarthritis) </t>
  </si>
  <si>
    <t>NA</t>
  </si>
  <si>
    <t>C_S</t>
  </si>
  <si>
    <t xml:space="preserve">Assumption </t>
  </si>
  <si>
    <t>Vaccinated </t>
  </si>
  <si>
    <t>C_V</t>
  </si>
  <si>
    <t>Sarmento T, et al. 2022 describes WTP of $31.17. Dengue vaccine in Brazil costs $70-100. YF vaccine costs $50. In the US, CHIKV vaccine costs $300-450, dengue vaccine costs $66, YF vaccine $205-235</t>
  </si>
  <si>
    <t>C_E</t>
  </si>
  <si>
    <t>de Andrade, et al. 2022</t>
  </si>
  <si>
    <t>Gonçalves, et al. 2024</t>
  </si>
  <si>
    <t>de Roo, et al. 2024</t>
  </si>
  <si>
    <t>C_D</t>
  </si>
  <si>
    <t>2017 dollars: $1 to $1.31 for 2025 dollars</t>
  </si>
  <si>
    <t>Average hospitalization cost per stay</t>
  </si>
  <si>
    <t>de Andrade quotes 1.8% hospitalization. Gonçalves quotes 0.67% (256/38830)</t>
  </si>
  <si>
    <t>PERT</t>
  </si>
  <si>
    <t>Durand et al., 2017</t>
  </si>
  <si>
    <t>From Dengue CEA</t>
  </si>
  <si>
    <t>Administration cost</t>
  </si>
  <si>
    <t>Durand report cost in 2016 Brazilian Real of 7.3 to administer 1 dose Dengue</t>
  </si>
  <si>
    <t>Average working days lost</t>
  </si>
  <si>
    <t xml:space="preserve">Bastos, et al. 2018. </t>
  </si>
  <si>
    <t xml:space="preserve">Beta </t>
  </si>
  <si>
    <t>Costs</t>
  </si>
  <si>
    <t>Vaccine wastage rate</t>
  </si>
  <si>
    <t>Currency</t>
  </si>
  <si>
    <t>Year</t>
  </si>
  <si>
    <t>Category</t>
  </si>
  <si>
    <t xml:space="preserve">Average hospitalization LOS, days </t>
  </si>
  <si>
    <t>USD</t>
  </si>
  <si>
    <t>Public share of inpatient admissions</t>
  </si>
  <si>
    <t>Ref 31</t>
  </si>
  <si>
    <t>Average inpatient stay cost, public sector</t>
  </si>
  <si>
    <t>BRL</t>
  </si>
  <si>
    <t>Average inpatient stay cost, private sector</t>
  </si>
  <si>
    <t>Proportion of patients hospitalized</t>
  </si>
  <si>
    <t>Cohort size</t>
  </si>
  <si>
    <t>n_cohort</t>
  </si>
  <si>
    <t>Cohort</t>
  </si>
  <si>
    <t>Time</t>
  </si>
  <si>
    <t>Utilities</t>
  </si>
  <si>
    <t>Epidemic</t>
  </si>
  <si>
    <t>Vaccination Costs</t>
  </si>
  <si>
    <t>Direct Costs</t>
  </si>
  <si>
    <t>Indirect Costs</t>
  </si>
  <si>
    <t>Epidemic Parameters</t>
  </si>
  <si>
    <t>Number of bootstrap samples</t>
  </si>
  <si>
    <t>Base case willingness to pay threshold</t>
  </si>
  <si>
    <t>Calculations</t>
  </si>
  <si>
    <t>Adjustments</t>
  </si>
  <si>
    <t>Number of outpatient visits during the acute phase</t>
  </si>
  <si>
    <t>Once every 7 days (Table 2)</t>
  </si>
  <si>
    <t>Dipyrone (for minor/moderate pain treatment)</t>
  </si>
  <si>
    <t>Acetaminophen (for minor/moderate pain treatment)</t>
  </si>
  <si>
    <t>Duration of minor/moderate pain treatment, days</t>
  </si>
  <si>
    <t>Duration of severe pain treatment, days</t>
  </si>
  <si>
    <t>Tramadol (for severe pain treatment)</t>
  </si>
  <si>
    <t>Codeine (for severe pain treatment)</t>
  </si>
  <si>
    <t>Oxycodone (for severe pain treatment)</t>
  </si>
  <si>
    <t>Gonçalves, et al. 2024; Delgado-Enciso I, Paz-Michel B, Melnikov V, Guzman-Esquivel J, Espinoza-Gomez F, Soriano-Hernandez AD, et al. Smoking and female sex as key risk factors associated with severe arthralgia in acute and chronic phases of Chikungunya virus infection. Exp Ther Med 2018; 15(3): 2634-42. https://doi.org/10.3892/etm.2017.5668 [DOI] [PMC free article] [PubMed]</t>
  </si>
  <si>
    <t>Total number of reported cases in acute phase</t>
  </si>
  <si>
    <t>Share of acute phase cases with minor/moderate pain</t>
  </si>
  <si>
    <t>(2 x medical appointment amount x N0) + (47% of N0 x average amount mild/moderate treatment) + (53% of N0 x average amount severe treatment) = Tota</t>
  </si>
  <si>
    <t>Acute phase</t>
  </si>
  <si>
    <t>Number of outpatient visits during the post-acute phase</t>
  </si>
  <si>
    <t>Once every 4 weeks (Table 3)</t>
  </si>
  <si>
    <t>Total number of reported cases in post-acute phase</t>
  </si>
  <si>
    <t>Cost of prednisone (for arthritis treatment)</t>
  </si>
  <si>
    <t>Cost of ibuprofen (for treatment of nerve pain/pain without arthritis)</t>
  </si>
  <si>
    <t>Cost of amitriptyline (for treatment of nerve pain/pain without arthritis)</t>
  </si>
  <si>
    <t>Cost of gabapentin (for treatment of nerve pain/pain without arthritis)</t>
  </si>
  <si>
    <t>2-weeks treatment course</t>
  </si>
  <si>
    <t>8-weeks treatment course</t>
  </si>
  <si>
    <t>4-weeks treatment course</t>
  </si>
  <si>
    <t>(3 x medical appointment amount x N1) + (75.5% of N1 x average amount treatment with arthritis) + (24.5% of N1 x amount treatment without arthritis) = Total</t>
  </si>
  <si>
    <t>Total direct cost of acute phase, per case</t>
  </si>
  <si>
    <t>Total direct cost of post-acute phase, per case</t>
  </si>
  <si>
    <t>Share of post-acute phase cases with arthritis</t>
  </si>
  <si>
    <t>Chronic phase</t>
  </si>
  <si>
    <t>Once every 8 weeks (Table 4)</t>
  </si>
  <si>
    <t>Total number of reported cases in chronic phase</t>
  </si>
  <si>
    <t>Number of outpatient visits during the chronic phase</t>
  </si>
  <si>
    <t>Cost of hydroxychloroquine (for the treatment of mild illness)</t>
  </si>
  <si>
    <t>Cost of methotrexate (for the treatment of moderate/severe illness)</t>
  </si>
  <si>
    <t>Cost of folic acid (for the treatment of moderate/severe illness)</t>
  </si>
  <si>
    <t>Total direct cost of chronic phase, per case</t>
  </si>
  <si>
    <t>(3 x medical appointment amount x N2) + (40.4% of N2 x mild activity treatment amount) + (59.6% of N2 x moderate/intense activity treatment amount) = Total</t>
  </si>
  <si>
    <t>Share of chronic phase cases with mild illness</t>
  </si>
  <si>
    <t>Absenteeism days, infectious phase</t>
  </si>
  <si>
    <t>Absenteeism frequency, infectious phase</t>
  </si>
  <si>
    <t>Informal caregiving days, infectious phase</t>
  </si>
  <si>
    <t>Informal caregiving  frequency, infectious phase</t>
  </si>
  <si>
    <t>Absenteeism frequency, chronic phase</t>
  </si>
  <si>
    <t>Informal caregiving days, chronic phase</t>
  </si>
  <si>
    <t>Informal caregiving frequency, chronic phase</t>
  </si>
  <si>
    <t>Absenteeism days, chronic phase</t>
  </si>
  <si>
    <t>https://izajole.springeropen.com/articles/10.1186/s40172-014-0014-0</t>
  </si>
  <si>
    <t>Simplified deductions rate</t>
  </si>
  <si>
    <t>Annual cap for the simplified 20% option</t>
  </si>
  <si>
    <t>Employee monthly mandatory contribution (INSS)</t>
  </si>
  <si>
    <t>C_INSS_month</t>
  </si>
  <si>
    <t>C_SimpDed_year</t>
  </si>
  <si>
    <t>C_TaxableInc_year</t>
  </si>
  <si>
    <t>C_INSS_Rate</t>
  </si>
  <si>
    <t>Employee mandatory contribution (INSS) rate, share of gross income</t>
  </si>
  <si>
    <t>Average monthly real gross earnings</t>
  </si>
  <si>
    <t>https://www.gov.br/receitafederal/pt-br/assuntos/meu-imposto-de-renda/preenchimento/regimes</t>
  </si>
  <si>
    <t>Annual taxable income</t>
  </si>
  <si>
    <t>Simplified annual deduction amounts</t>
  </si>
  <si>
    <t>IR</t>
  </si>
  <si>
    <t>Tax rates</t>
  </si>
  <si>
    <t>upper</t>
  </si>
  <si>
    <t>lower</t>
  </si>
  <si>
    <t>parcela</t>
  </si>
  <si>
    <t>tax_rate</t>
  </si>
  <si>
    <t>lower_taxable_income</t>
  </si>
  <si>
    <t>upper_taxable_income</t>
  </si>
  <si>
    <t>Net annual income</t>
  </si>
  <si>
    <t>C_NetInc_year</t>
  </si>
  <si>
    <t>C_Parcela_year</t>
  </si>
  <si>
    <t>Work_Days_Lost</t>
  </si>
  <si>
    <t>Abs_Days_Inf</t>
  </si>
  <si>
    <t>Abs_Freq_Inf</t>
  </si>
  <si>
    <t>Abs_Freq_Chronic</t>
  </si>
  <si>
    <t>Daily absenteeism cost per patient</t>
  </si>
  <si>
    <t>C_Abs_day</t>
  </si>
  <si>
    <t>Inf_Caregiving_Days_Inf</t>
  </si>
  <si>
    <t>Inf_Caregiving_Freq_Inf</t>
  </si>
  <si>
    <t>Inf_Caregiving_Days_Chronic</t>
  </si>
  <si>
    <t>Inf_Caregiving_Freq_Chronic</t>
  </si>
  <si>
    <t>Average daily caregiving cost per patient</t>
  </si>
  <si>
    <t>C_Inf_Caregiving_day</t>
  </si>
  <si>
    <t>C_Vaccine_Admin</t>
  </si>
  <si>
    <t>qol_S</t>
  </si>
  <si>
    <t>qol_R</t>
  </si>
  <si>
    <t>qol_D</t>
  </si>
  <si>
    <t>qol_I_factor</t>
  </si>
  <si>
    <t>qol_E_factor</t>
  </si>
  <si>
    <t>qol_C_factor</t>
  </si>
  <si>
    <t>C_Gross_Inc_month</t>
  </si>
  <si>
    <t>C_Simp_Ded_Rate</t>
  </si>
  <si>
    <t>C_Simp_Ded_Cap_year</t>
  </si>
  <si>
    <t>Susceptible</t>
  </si>
  <si>
    <t>General</t>
  </si>
  <si>
    <t>qol_E</t>
  </si>
  <si>
    <t>qol_I</t>
  </si>
  <si>
    <t>qol_C</t>
  </si>
  <si>
    <t>disc_rate</t>
  </si>
  <si>
    <t>C_S_total</t>
  </si>
  <si>
    <t>C_E_total</t>
  </si>
  <si>
    <t>C_I_total</t>
  </si>
  <si>
    <t>C_R_total</t>
  </si>
  <si>
    <t>C_C_total</t>
  </si>
  <si>
    <t>Death</t>
  </si>
  <si>
    <t>C_V_NoVac_total</t>
  </si>
  <si>
    <t>C_D_total</t>
  </si>
  <si>
    <t>TaxRate</t>
  </si>
  <si>
    <t>Calculated from the Table</t>
  </si>
  <si>
    <t>&lt;&lt;-- Discounted productivity costs?</t>
  </si>
  <si>
    <t>Life expectancy</t>
  </si>
  <si>
    <t xml:space="preserve">     (Continua)</t>
  </si>
  <si>
    <t>Idades</t>
  </si>
  <si>
    <t>Probabilidades de Morte</t>
  </si>
  <si>
    <t>Óbitos</t>
  </si>
  <si>
    <t>l ( X )</t>
  </si>
  <si>
    <t>L (X, N)</t>
  </si>
  <si>
    <t>T(X)</t>
  </si>
  <si>
    <t>Expectativa de Vida</t>
  </si>
  <si>
    <t>Exatas</t>
  </si>
  <si>
    <t xml:space="preserve"> entre Duas Idades Exatas</t>
  </si>
  <si>
    <t>D (X, N)</t>
  </si>
  <si>
    <t xml:space="preserve"> à Idade X</t>
  </si>
  <si>
    <t>(X)</t>
  </si>
  <si>
    <t>Q (X, N)   (Por Mil)</t>
  </si>
  <si>
    <t>E(X)</t>
  </si>
  <si>
    <t>Notas:</t>
  </si>
  <si>
    <t>N = 1</t>
  </si>
  <si>
    <t>Q(X, N) = Probabilidades de morte entre as idades exatas X e X+N.</t>
  </si>
  <si>
    <t>l(X) = Número de sobreviventes à idade exata X.</t>
  </si>
  <si>
    <t>D(X, N) = Número de óbitos ocorridos entre as idades X e X+N.</t>
  </si>
  <si>
    <t>L(X, N) = Número de pessoas-anos vividos entre as idades X e X+N.</t>
  </si>
  <si>
    <t>T(X) = Número de pessoas-anos vividos a partir da idade X.</t>
  </si>
  <si>
    <t>E(X) = Expectativa de vida à idade X.</t>
  </si>
  <si>
    <t>90 ou mais</t>
  </si>
  <si>
    <t>Fonte: IBGE, Diretoria de Pesquisas (DPE), Coordenação de População e Indicadores Sociais (COPIS).</t>
  </si>
  <si>
    <t>Age</t>
  </si>
  <si>
    <t>M</t>
  </si>
  <si>
    <t>F</t>
  </si>
  <si>
    <t>0-4</t>
  </si>
  <si>
    <t>15-19</t>
  </si>
  <si>
    <t>20-24</t>
  </si>
  <si>
    <t>25-29</t>
  </si>
  <si>
    <t>30-34</t>
  </si>
  <si>
    <t>35-39</t>
  </si>
  <si>
    <t>40-44</t>
  </si>
  <si>
    <t>45-49</t>
  </si>
  <si>
    <t>50-54</t>
  </si>
  <si>
    <t>55-59</t>
  </si>
  <si>
    <t>60-64</t>
  </si>
  <si>
    <t>65-69</t>
  </si>
  <si>
    <t>70-74</t>
  </si>
  <si>
    <t>75-79</t>
  </si>
  <si>
    <t>80-84</t>
  </si>
  <si>
    <t>85-89</t>
  </si>
  <si>
    <t>90-94</t>
  </si>
  <si>
    <t>95-99</t>
  </si>
  <si>
    <t>100+</t>
  </si>
  <si>
    <t>https://agenciadenoticias.ibge.gov.br/en/agencia-news/2184-news-agency/news/38187-2022-census-number-of-elderly-persons-in-the-brazilian-population-grew-57-4-in-12-years</t>
  </si>
  <si>
    <t>Calculated from the life tables</t>
  </si>
  <si>
    <t>LE_at_mean_age</t>
  </si>
  <si>
    <t>Mean_age</t>
  </si>
  <si>
    <t>Base_WTP</t>
  </si>
  <si>
    <t>n_boot_samps</t>
  </si>
  <si>
    <t>Simulations</t>
  </si>
  <si>
    <t>Demographics</t>
  </si>
  <si>
    <t>GDP_Per_Capita</t>
  </si>
  <si>
    <t>https://agenciadenoticias.ibge.gov.br/en/agencia-press-room/2185-news-agency/releases-en/42777-gdp-grows-3-4-in-2024-and-closes-the-year-at-r-11-7-trillion</t>
  </si>
  <si>
    <t>1 GDP per capita for non-rare diseases (https://www.ispor.org/docs/default-source/intl2024/posterv1comautores-1-1139315-pdf.pdf?sfvrsn=501c8632_0)</t>
  </si>
  <si>
    <t>Calculation: National Commission for Health Technology Incorporation (CONITEC)</t>
  </si>
  <si>
    <t>https://www.ispor.org/heor-resources/presentations-database/presentation/intl2024-3900/139315</t>
  </si>
  <si>
    <t>hosp_LOS_days</t>
  </si>
  <si>
    <t>prop_hosp</t>
  </si>
  <si>
    <t>pub_share_ip_admissions</t>
  </si>
  <si>
    <t>C_inpatient_stay_public</t>
  </si>
  <si>
    <t>C_inpatient_stay_private</t>
  </si>
  <si>
    <t>C_outpatient_visit</t>
  </si>
  <si>
    <t>Medical appointment cost (15 min)</t>
  </si>
  <si>
    <t>n_reported_cases_postacute</t>
  </si>
  <si>
    <t>n_reported_cases_acute</t>
  </si>
  <si>
    <t>n_reported_cases_chronic</t>
  </si>
  <si>
    <t>n_outpatient_visit_acute</t>
  </si>
  <si>
    <t>n_outpatient_visit_postacute</t>
  </si>
  <si>
    <t>n_outpatient_visit_chronic</t>
  </si>
  <si>
    <t>minor_moderate_share_acute</t>
  </si>
  <si>
    <t>arthritis_share_postacute</t>
  </si>
  <si>
    <t>mild_illness_share_chronic</t>
  </si>
  <si>
    <t>minor_moderate_pain_rx_days</t>
  </si>
  <si>
    <t>C_dipyrone</t>
  </si>
  <si>
    <t>C_acetaminophen</t>
  </si>
  <si>
    <t>severe_pain_rx_days</t>
  </si>
  <si>
    <t>C_tramadol</t>
  </si>
  <si>
    <t>C_codeine</t>
  </si>
  <si>
    <t>C_oxycodone</t>
  </si>
  <si>
    <t>C_prednisone</t>
  </si>
  <si>
    <t>C_ibuprofen</t>
  </si>
  <si>
    <t>C_amitriptyline</t>
  </si>
  <si>
    <t>C_gabapentin</t>
  </si>
  <si>
    <t>C_hydroxychloroquine</t>
  </si>
  <si>
    <t>C_methotrexate</t>
  </si>
  <si>
    <t>C_folic_acid</t>
  </si>
  <si>
    <t>Post-acute phase</t>
  </si>
  <si>
    <t>C_D_hc</t>
  </si>
  <si>
    <t>Productivity loss from premature mortality, human capital approach</t>
  </si>
  <si>
    <t>CPI, 2010</t>
  </si>
  <si>
    <t>CPI, 2017</t>
  </si>
  <si>
    <t>CPI, 2019</t>
  </si>
  <si>
    <t>cpi_2010</t>
  </si>
  <si>
    <t>cpi_2017</t>
  </si>
  <si>
    <t>cpi_2019</t>
  </si>
  <si>
    <t>CPI, 2024</t>
  </si>
  <si>
    <t>cpi_2016</t>
  </si>
  <si>
    <t>CPI, 2016</t>
  </si>
  <si>
    <t>C_hosp_per_stay</t>
  </si>
  <si>
    <t>C_indirect_inf</t>
  </si>
  <si>
    <t>C_indirect_chronic</t>
  </si>
  <si>
    <t>C_direct_post_acute</t>
  </si>
  <si>
    <t>C_direct_acute</t>
  </si>
  <si>
    <t>C_direct_chronic</t>
  </si>
  <si>
    <t>Indirect cost, infectious phase</t>
  </si>
  <si>
    <t>Indirect cost, chronic phase</t>
  </si>
  <si>
    <t>Abs_Days_chronic</t>
  </si>
  <si>
    <t>qol_S * qol_E_factor</t>
  </si>
  <si>
    <t>qol_S * qol_I_factor</t>
  </si>
  <si>
    <t>qol_S * qol_C_factor</t>
  </si>
  <si>
    <t>(C_inpatient_stay_private * (1 - pub_share_ip_admissions)) + (C_inpatient_stay_public * pub_share_ip_admissions)</t>
  </si>
  <si>
    <t>Work_Days_Lost - Abs_Days_Inf</t>
  </si>
  <si>
    <t>C_Gross_Inc_month * C_INSS_Rate</t>
  </si>
  <si>
    <t>min(C_Gross_Inc_month * C_Simp_Ded_Rate * 12, C_Simp_Ded_Cap_year)</t>
  </si>
  <si>
    <t>C_Gross_Inc_month * 12 - C_INSS_month * 12 - C_SimpDed_year</t>
  </si>
  <si>
    <t>C_TaxableInc_year * TaxRate</t>
  </si>
  <si>
    <t>C_Gross_Inc_month * 12 - C_INSS_month * 12 - C_Parcela_year</t>
  </si>
  <si>
    <t>C_NetInc_year / 365</t>
  </si>
  <si>
    <t>C_Abs_day * (Abs_Days_Inf * Abs_Freq_Inf) + C_Inf_Caregiving_day * (Inf_Caregiving_Days_Inf * Inf_Caregiving_Freq_Inf)</t>
  </si>
  <si>
    <t>Wastage_Rate</t>
  </si>
  <si>
    <t>C_IXCHIQ_Dose</t>
  </si>
  <si>
    <t>C_VIMKUNYA_Dose</t>
  </si>
  <si>
    <t>C_VIMKUNYA_Dose * (1 + Wastage_Rate) + C_Vaccine_Admin</t>
  </si>
  <si>
    <t>C_IXCHIQ_Dose * (1 + Wastage_Rate) + C_Vaccine_Admin</t>
  </si>
  <si>
    <t>C_V_VIMKUNYA_total</t>
  </si>
  <si>
    <t>C_V_IXCHIQ_total</t>
  </si>
  <si>
    <t>prop_acute</t>
  </si>
  <si>
    <t>prop_postacute</t>
  </si>
  <si>
    <t>prop_chronic</t>
  </si>
  <si>
    <t>Proportion of infected patients in acute phase</t>
  </si>
  <si>
    <t>Proportion of infected patients in postacute phase</t>
  </si>
  <si>
    <t>Proportion of infected patients in chronic phase</t>
  </si>
  <si>
    <t>n_reported_cases_acute / sum(c(n_reported_cases_acute, n_reported_cases_postacute, n_reported_cases_chronic))</t>
  </si>
  <si>
    <t>n_reported_cases_postacute / sum(c(n_reported_cases_acute, n_reported_cases_postacute, n_reported_cases_chronic))</t>
  </si>
  <si>
    <t>n_reported_cases_chronic / sum(c(n_reported_cases_acute, n_reported_cases_postacute, n_reported_cases_chronic))</t>
  </si>
  <si>
    <t>https://www.gov.br/receitafederal/pt-br/assuntos/meu-imposto-de-renda/tabelas/copy_of_2024</t>
  </si>
  <si>
    <t>https://agenciadenoticias.ibge.gov.br/en/agencia-press-room/2185-news-agency/releases-en/42766-ibge-releases-per-capita-household-earnings-2024-for-brazil-and-federation-units</t>
  </si>
  <si>
    <t>observation_date</t>
  </si>
  <si>
    <t>AEXBZUS</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</si>
  <si>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</si>
  <si>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</si>
  <si>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</si>
  <si>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</si>
  <si>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</si>
  <si>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2025-11-17 3:28 pm CST</t>
  </si>
  <si>
    <t>Brazilian Reals to U.S. Dollar Spot Exchange Rate, Brazilian Reals to One U.S. Dollar, Annual, Not Seasonally Adjusted</t>
  </si>
  <si>
    <t>Data Updated: 2025-01-03</t>
  </si>
  <si>
    <t>Board of Governors of the Federal Reserve System (US), Brazilian Reals to U.S. Dollar Spot Exchange Rate [AEXBZUS], retrieved from FRED, Federal Reserve Bank of St. Louis; https://fred.stlouisfed.org/series/AEXBZUS, November 17, 2025.</t>
  </si>
  <si>
    <t>BRL to USD exchange rate, 2024</t>
  </si>
  <si>
    <t>https://fred.stlouisfed.org/series/AEXBZUS</t>
  </si>
  <si>
    <t>brl_usd_fx_2024</t>
  </si>
  <si>
    <t>CurrencyAdjustments</t>
  </si>
  <si>
    <t>CPIAdjustments</t>
  </si>
  <si>
    <t>DiscAdjustments</t>
  </si>
  <si>
    <t>age</t>
  </si>
  <si>
    <t>death_prob</t>
  </si>
  <si>
    <t>life_expectancy</t>
  </si>
  <si>
    <t>Inf</t>
  </si>
  <si>
    <t>ifelse(C_TaxableInc_year &lt;= 26963.20, 0, ifelse(C_TaxableInc_year &lt;= 33919.80, min(0.08 * C_TaxableInc_year, 2022.24), ifelse(C_TaxableInc_year &lt;= 45012.60, min(0.15 * C_TaxableInc_year, 4566.23), ifelse(C_TaxableInc_year &lt;= 55976.16, min(0.32 * C_TaxableInc_year, 7942.17), min(0.28 * C_TaxableInc_year, 10740.98)))))</t>
  </si>
  <si>
    <t>Lognormal</t>
  </si>
  <si>
    <t>Vaccine efficacy, IXCHIQ</t>
  </si>
  <si>
    <t>Equating seroresponse with protection</t>
  </si>
  <si>
    <t>Table 2</t>
  </si>
  <si>
    <t>seroresponse, Table 2</t>
  </si>
  <si>
    <t>Vaccine efficacy rate for placebo group at 180 days, IXCHIQ</t>
  </si>
  <si>
    <t>Vaccine efficacy rate for treatment group at 180 days, IXCHIQ</t>
  </si>
  <si>
    <t>18-64 years; 180 days after vaccination (Supplementary Table 3)</t>
  </si>
  <si>
    <t>Seroresponse_Treatment_IXCHIQ_180_days - Seroresponse_Placebo_IXCHIQ_180_days</t>
  </si>
  <si>
    <t>Vaccine efficacy at 180 days, IXCHIQ</t>
  </si>
  <si>
    <t>Annual discount rate</t>
  </si>
  <si>
    <t>Seroprotection</t>
  </si>
  <si>
    <t>IXCHIQ</t>
  </si>
  <si>
    <t>value</t>
  </si>
  <si>
    <t>Vaccine daily waning rate, IXCHIQ</t>
  </si>
  <si>
    <t>Calculated from McMahon, R., Toepfer, S., Sattler, N., et al. Antibody persistence and safety of a live-attenuated chikungunya virus vaccine up to 2 years after single-dose administration in adults in the USA: a single-arm, multicentre, phase 3b study. Lancet Infectious Diseases. 2024;24(12):1383–1392.</t>
  </si>
  <si>
    <t>VIMKUNYA</t>
  </si>
  <si>
    <t>Richardson JS, Anderson DM, Mendy J, Tindale LC, Muhammad S, Loreth T, Tredo SR, Warfield KL, Ramanathan R, Caso JT, Jenkins VA, Ajiboye P, Bedell L; EBSI-CV-317-004 Study Group. Chikungunya virus virus-like particle vaccine safety and immunogenicity in adolescents and adults in the USA: a phase 3, randomised, double-blind, placebo-controlled trial. Lancet. 2025 Apr 19;405(10487):1343-1352. doi: 10.1016/S0140-6736(25)00345-9. Epub 2025 Mar 27. PMID: 40158526.</t>
  </si>
  <si>
    <t>vaccine</t>
  </si>
  <si>
    <t>days</t>
  </si>
  <si>
    <t>source</t>
  </si>
  <si>
    <t>comments</t>
  </si>
  <si>
    <t>measure</t>
  </si>
  <si>
    <t>Seroresponse rate differences</t>
  </si>
  <si>
    <t>Health Information Platform of the Americas (PLISA). Data reported by the Ministries and Institutes of Health of the countries and territories of the Region: https://www.paho.org/en/arbo-portal/chikungunya-data-and-analysis/chikungunya-analysis-country</t>
  </si>
  <si>
    <t>Implied population</t>
  </si>
  <si>
    <t>Total cases</t>
  </si>
  <si>
    <t>total_inf_cases</t>
  </si>
  <si>
    <t>base_population</t>
  </si>
  <si>
    <t>Vaccine daily waning rate, VIMKUNYA</t>
  </si>
  <si>
    <t>Chi-square</t>
  </si>
  <si>
    <t>Rates are per 100,000 populations</t>
  </si>
  <si>
    <t>Incidence rate per unit time</t>
  </si>
  <si>
    <t>incidence_prob</t>
  </si>
  <si>
    <t>mu</t>
  </si>
  <si>
    <t>lambda_days</t>
  </si>
  <si>
    <t>gamma_days</t>
  </si>
  <si>
    <t>kappa_days</t>
  </si>
  <si>
    <t>phi_IXCHIQ_180_days</t>
  </si>
  <si>
    <t>phi_IXCHIQ</t>
  </si>
  <si>
    <t>phi_VIMKUNYA</t>
  </si>
  <si>
    <t>theta_IXCHIQ</t>
  </si>
  <si>
    <t>theta_VIMKUNYA</t>
  </si>
  <si>
    <t>Vaccine waning rate, VIMKUNYA</t>
  </si>
  <si>
    <t>Vaccine waning rate, IXCHIQ</t>
  </si>
  <si>
    <t>See Appendix</t>
  </si>
  <si>
    <t>psi_IXCHIQ_VIMKUNYA</t>
  </si>
  <si>
    <t>beta</t>
  </si>
  <si>
    <t>lambda</t>
  </si>
  <si>
    <t>kappa</t>
  </si>
  <si>
    <t>https://pmc.ncbi.nlm.nih.gov/articles/PMC12304215/pdf/41541_2025_Article_1194.pdf</t>
  </si>
  <si>
    <t>Utilities multiplier, Brazil  relative to USA</t>
  </si>
  <si>
    <t>qol_brasil_usa_multiplier</t>
  </si>
  <si>
    <t>refs 55-58</t>
  </si>
  <si>
    <t>qol_loss_severe_vae_usa</t>
  </si>
  <si>
    <t>qol_I_acute_usa</t>
  </si>
  <si>
    <t>qol_loss_serious_vae_usa</t>
  </si>
  <si>
    <t>Only two serious adverse events were considered related to VLA1553 treatment (one mild myalgia and one syndrome of inappropriate antidiuretic hormone secretion). Both participants recovered fully.</t>
  </si>
  <si>
    <t>Confidence intervals are two-sided exact Clopper–Pearson 95% confidence intervals.</t>
  </si>
  <si>
    <t>Greater or equal grade 3 (Table 3); Confidence intervals are two-sided exact Clopper–Pearson 95% confidence intervals.</t>
  </si>
  <si>
    <t>Vaccine efficacy rate at 183 days, VIMKUNYA</t>
  </si>
  <si>
    <t>Proportion of severe adverse events IXCHIQ</t>
  </si>
  <si>
    <t>Proportion of severe adverse events VIMKUNYA</t>
  </si>
  <si>
    <t>Proportion of serious adverse events IXCHIQ</t>
  </si>
  <si>
    <t>Proportion of serious adverse events VIMKUNYA</t>
  </si>
  <si>
    <t>qol_loss_severe_vse_IXCHIQ</t>
  </si>
  <si>
    <t>qol_loss_serious_vse_IXCHIQ</t>
  </si>
  <si>
    <t>qol_loss_vse_IXCHIQ</t>
  </si>
  <si>
    <t>Disutility from vaccine side effects, IXCHIQ</t>
  </si>
  <si>
    <t>Disutility from severe vaccine side effects, IXCHIQ</t>
  </si>
  <si>
    <t>Disutility from serious vaccine side effects, IXCHIQ</t>
  </si>
  <si>
    <t>Disutility from vaccine side effects, VIMKUNYA</t>
  </si>
  <si>
    <t>Disutility from serious vaccine side effects, VIMKUNYA</t>
  </si>
  <si>
    <t>Disutility from severe vaccine side effects, VIMKUNYA</t>
  </si>
  <si>
    <t>qol_loss_severe_vse_VIMKUNYA</t>
  </si>
  <si>
    <t>qol_loss_serious_vse_VIMKUNYA</t>
  </si>
  <si>
    <t>qol_loss_vse_VIMKUNYA</t>
  </si>
  <si>
    <t>prop_severe_vse_IXCHIQ</t>
  </si>
  <si>
    <t>prop_severe_vse_VIMKUNYA</t>
  </si>
  <si>
    <t>prop_serious_vse_IXCHIQ</t>
  </si>
  <si>
    <t>prop_serious_vse_VIMKUNYA</t>
  </si>
  <si>
    <t>qol_loss_severe_vse_IXCHIQ + qol_loss_serious_vse_IXCHIQ</t>
  </si>
  <si>
    <t>qol_loss_severe_vse_VIMKUNYA + qol_loss_serious_vse_VIMKUNYA</t>
  </si>
  <si>
    <t>Schneider, M. et al. Safety and immunogenicity of a single-shot liveattenuated chikungunya vaccine: a double-blind, multicentre, randomised, placebo-controlled, phase 3 trial. Lancet 401, 2138–2147 (2023).
Prosser, L. A. et al. Effects of adverse events on the projected population benefits and cost-effectiveness of using live attenuated influenza vaccine in children aged 6 months to 4 years. Arch. Pediatr. Adolesc. Med. 165, 112–118 (2011).</t>
  </si>
  <si>
    <t>qol_I / qol_I_acute_usa</t>
  </si>
  <si>
    <t xml:space="preserve"> prop_severe_vse_IXCHIQ * qol_brasil_usa_multiplier * qol_loss_severe_vae_usa</t>
  </si>
  <si>
    <t xml:space="preserve"> prop_serious_vse_IXCHIQ * qol_brasil_usa_multiplier * qol_loss_serious_vae_usa</t>
  </si>
  <si>
    <t>prop_severe_vse_VIMKUNYA * qol_brasil_usa_multiplier * qol_loss_severe_vae_usa</t>
  </si>
  <si>
    <t>prop_serious_vse_VIMKUNYA * qol_brasil_usa_multiplier * qol_loss_serious_vae_usa</t>
  </si>
  <si>
    <t>cycle_length_days</t>
  </si>
  <si>
    <t>Cycle length, days</t>
  </si>
  <si>
    <t>1 - exp(-(phi_IXCHIQ_180_days/180)*cycle_length_days)</t>
  </si>
  <si>
    <t>1 - exp(-( (total_inf_cases / base_population) / 365) * cycle_length_days)</t>
  </si>
  <si>
    <t>1 - exp(-(phi_VIMKUNYA_183_days/183)*cycle_length_days)</t>
  </si>
  <si>
    <t>1 - exp(-(psi_year/365)*cycle_length_days)</t>
  </si>
  <si>
    <t>1 - exp(-((1/gamma_days) * R0)*cycle_length_days)</t>
  </si>
  <si>
    <t>1 - exp(-(1/lambda_days)*cycle_length_days)</t>
  </si>
  <si>
    <t>1 - exp(-(1/kappa_days)*cycle_length_days)</t>
  </si>
  <si>
    <t>(C_Abs_day * (abs_days_chronic * Abs_Freq_Chronic) + C_Inf_Caregiving_day * (Inf_Caregiving_Days_Chronic * Inf_Caregiving_Freq_Chronic))</t>
  </si>
  <si>
    <t xml:space="preserve">Verstappen SMM, Boonen A, Verkleij H, et al. Productivity costs among patients with rheumatoid arthritis: the influence of methods and sources to value loss of productivity. Ann Rheum Dis 2005;64:1754–60. </t>
  </si>
  <si>
    <t xml:space="preserve">Lindsey NP, Staples JE, Fischer M. Chikungunya Virus Disease among Travelers-United States, 2014-2016. Am J Trop Med Hyg 2018;98:192–7. </t>
  </si>
  <si>
    <t>Mia MS, Begum RA, Er AC, et al. ASSESSING THE COST BURDEN OF DENGUE INFECTION TO HOUSEHOLDS IN SEREMBAN, MALAYSIA. Southeast Asian J Trop Med Public Health 2016;47:1167–76.</t>
  </si>
  <si>
    <t>Bastos MLA, Abreu F de, Silva Junior G da, et al. Inability to work due to Chikungunya virus infection: impact on public service during the first epidemic in the State of Ceará, northeastern Brazil. Braz J Infect Dis 2018; 22:248–9.
doi:10.1016/j.bjid.2018.05.002 and https://gh.bmj.com/content/9/12/e016648#T1</t>
  </si>
  <si>
    <t>Feldstein LR, Ellis EM, Rowhani-Rahbar A, et al. Estimating the cost of illness and burden of disease associated with the 2014-2015 chikungunya outbreak in the U.S. Virgin Islands. PLoS Negl Trop Dis 2019; 13.
doi:10.1371/journal.pntd.0007563</t>
  </si>
  <si>
    <t>C_Gross_Inc_month / 30</t>
  </si>
  <si>
    <t>https://pmc.ncbi.nlm.nih.gov/articles/PMC5999124/</t>
  </si>
  <si>
    <t xml:space="preserve">n_outpatient_visit_acute * C_outpatient_visit + mean(c(C_dipyrone, C_acetaminophen)) * minor_moderate_share_acute + mean(c(C_tramadol, C_codeine, C_oxycodone)) * (1 - minor_moderate_share_acute) </t>
  </si>
  <si>
    <t>n_outpatient_visit_postacute * C_outpatient_visit + arthritis_share_postacute * C_prednisone + (1 - arthritis_share_postacute) * mean(c(C_ibuprofen, C_amitriptyline, C_gabapentin))</t>
  </si>
  <si>
    <t>n_outpatient_visit_chronic * C_outpatient_visit + C_hydroxychloroquine * mild_illness_share_chronic + sum(c(C_methotrexate, C_folic_acid)) * (1 - mild_illness_share_chronic)</t>
  </si>
  <si>
    <t>(prop_postacute/(prop_postacute + prop_chronic)) * C_direct_post_acute + (prop_chronic/(prop_postacute + prop_chronic)) * C_direct_chronic + C_indirect_chronic * societal_flag</t>
  </si>
  <si>
    <t>C_hosp_per_stay * prop_hosp + C_direct_acute * (1 - prop_hosp) + C_indirect_inf * societal_flag</t>
  </si>
  <si>
    <t>pv_human_capital_weekly(age = Mean_age, retirement_age = 65, monthly_wage = C_Gross_Inc_month, remaining_life_expectancy = LE_at_mean_age, discount_rate = disc_rate, wage_growth = 0, employment_rate = 1, adjust_for_employment = TRUE, years_rounding = c("floor", "ceiling", "none")[3])</t>
  </si>
  <si>
    <t>cpi_2024</t>
  </si>
  <si>
    <t>Mean age of working age population, 15-64 years</t>
  </si>
  <si>
    <t>delta_hosp</t>
  </si>
  <si>
    <t>delta_pop</t>
  </si>
  <si>
    <t>Pedi et al. 2025</t>
  </si>
  <si>
    <t>Total column in Table 3: https://pmc.ncbi.nlm.nih.gov/articles/PMC12407205/pdf/25-0554.pdf</t>
  </si>
  <si>
    <t>delta_hosp_10years</t>
  </si>
  <si>
    <t>CHIKV case-fatality rate, hospitalized patients</t>
  </si>
  <si>
    <t>CHIKV deaths, general population, 2017</t>
  </si>
  <si>
    <t>Vidal et al. 2021</t>
  </si>
  <si>
    <t>https://onlinelibrary.wiley.com/doi/10.1111/tmi.13711</t>
  </si>
  <si>
    <t>deaths_CHIKV_pop</t>
  </si>
  <si>
    <t>CHIKV_pop</t>
  </si>
  <si>
    <t>CHIKV annual mortality rate, hospitalized patients</t>
  </si>
  <si>
    <t>CHIKV annual mortality rate, general population</t>
  </si>
  <si>
    <t>1 - exp(-delta_hosp_10years / (10*52))</t>
  </si>
  <si>
    <t>1 - exp(-(deaths_CHIKV_pop/CHIKV_pop)/52)</t>
  </si>
  <si>
    <t>Calculated from Richardson et al.</t>
  </si>
  <si>
    <t>Refs 37, 42</t>
  </si>
  <si>
    <t>Refs 37, 59</t>
  </si>
  <si>
    <t>&lt;&lt;-- Check ref</t>
  </si>
  <si>
    <t>CPI, 2018</t>
  </si>
  <si>
    <t>cpi_2018</t>
  </si>
  <si>
    <t>CHICUNGUNYA BRAZIL LEGAL PRICE</t>
  </si>
  <si>
    <t>Source: CMED (https://www.gov.br/anvisa/pt-br/assuntos/medicamentos/cmed/precos)</t>
  </si>
  <si>
    <t>ICMS % (tax)*</t>
  </si>
  <si>
    <t>PMVG (Max Gov Price, R$)</t>
  </si>
  <si>
    <t>PMC (Max Consumer Price, R$)</t>
  </si>
  <si>
    <t>PMVG (USD)</t>
  </si>
  <si>
    <t>PMC (USD)</t>
  </si>
  <si>
    <t>Public</t>
  </si>
  <si>
    <t>Private</t>
  </si>
  <si>
    <t>LB</t>
  </si>
  <si>
    <t>Base</t>
  </si>
  <si>
    <t>UB</t>
  </si>
  <si>
    <t xml:space="preserve">* Depending on the region (State of Brazil), taxes can reach 23%. </t>
  </si>
  <si>
    <t>US = 5,66 REAIS</t>
  </si>
  <si>
    <t>Term Meaning</t>
  </si>
  <si>
    <r>
      <t>PMVG Maximum Selling Price to the Government – </t>
    </r>
    <r>
      <rPr>
        <sz val="12"/>
        <color rgb="FF212121"/>
        <rFont val="Arial"/>
        <family val="2"/>
      </rPr>
      <t>​​</t>
    </r>
    <r>
      <rPr>
        <sz val="12"/>
        <color rgb="FF212121"/>
        <rFont val="Aptos"/>
      </rPr>
      <t>is the highest price at which a medicine can be sold to public bodies and entities. It is used as a reference in purchases by the SUS (Brazilian Public Health System), Ministry of Health, states and municipalities.</t>
    </r>
  </si>
  <si>
    <t>PMC Maximum Price to the Consumer – is the price ceiling that private pharmacies and hospitals can charge the final consumer. It varies according to the ICMS (Brazilian state sales tax) of each state.</t>
  </si>
  <si>
    <r>
      <t>The maximum price varies according to the taxes in each region. Taxes range from 0% to 23% and it has an impact on price</t>
    </r>
    <r>
      <rPr>
        <b/>
        <sz val="12"/>
        <color rgb="FF212121"/>
        <rFont val="Aptos"/>
      </rPr>
      <t>. This is not the final price that can be used for incorporation into the Brazilian public health system.</t>
    </r>
  </si>
  <si>
    <t>Using the price of the Qdenga vaccine as a proxy is interesting because it was the price incorporated into the public health system, which was well below that established by CMED.</t>
  </si>
  <si>
    <t xml:space="preserve">18% is usually choose as a reference for CONITEC calculation for ICER analysis </t>
  </si>
  <si>
    <t>https://fred.stlouisfed.org/series/BRACPIALLMINMEI</t>
  </si>
  <si>
    <t>Data Updated: 2025-05-15</t>
  </si>
  <si>
    <t>Consumer Price Indices (CPIs, HICPs), COICOP 1999: Consumer Price Index: Total for Brazil, Index 2015=100, Monthly, Not Seasonally Adjusted</t>
  </si>
  <si>
    <t>BRACPIALLMINMEI</t>
  </si>
  <si>
    <t>File Created: 2025-12-19 8:51 pm CST</t>
  </si>
  <si>
    <t>CPI, 2025</t>
  </si>
  <si>
    <t>Organization for Economic Co-operation and Development, Consumer Price Indices (CPIs, HICPs), COICOP 1999: Consumer Price Index: Total for Brazil [BRACPIALLMINMEI], retrieved from FRED, Federal Reserve Bank of St. Louis; https://fred.stlouisfed.org/series/BRACPIALLMINMEI, December 20, 2025.</t>
  </si>
  <si>
    <t>C_VIMKUNYA_Dose_public</t>
  </si>
  <si>
    <t>C_VIMKUNYA_Dose_private</t>
  </si>
  <si>
    <t>C_IXCHIQ_Dose_public</t>
  </si>
  <si>
    <t>C_IXCHIQ_Dose_private</t>
  </si>
  <si>
    <t>CMED (https://www.gov.br/anvisa/pt-br/assuntos/medicamentos/cmed/precos)</t>
  </si>
  <si>
    <t>Based on average tax rate of 18%</t>
  </si>
  <si>
    <t>Weighted vaccine cost, IXCHIQ</t>
  </si>
  <si>
    <t>Weighted vaccine cost, VIMKUNYA</t>
  </si>
  <si>
    <t>C_VIMKUNYA_Dose_public * pub_share_ip_admissions + C_VIMKUNYA_Dose_private * (1 - pub_share_ip_admissions)</t>
  </si>
  <si>
    <t>Utility weight from accute disease, not hospitalized</t>
  </si>
  <si>
    <t xml:space="preserve"> USA population</t>
  </si>
  <si>
    <t>Disutilities from severe vaccine adverse events</t>
  </si>
  <si>
    <t>USA population</t>
  </si>
  <si>
    <t>Hospitalization following vaccination; USA population</t>
  </si>
  <si>
    <t>Disutilities from serious vaccine adverse events</t>
  </si>
  <si>
    <t>Chronic Disease (persistent polyarthritis) utility multiplier</t>
  </si>
  <si>
    <t>Exposed (latent) utility multiplier</t>
  </si>
  <si>
    <t>Infectious (acute CHIKV) utility multiplier</t>
  </si>
  <si>
    <t>Basic reproduction number</t>
  </si>
  <si>
    <t>VIMKUNYA dose price cap, public sector (18% average tax rate)</t>
  </si>
  <si>
    <t>VIMKUNYA dose price cap, private sector  (18% average tax rate)</t>
  </si>
  <si>
    <t>QDENGA ICER BY CONITEC - BRAZILIAN AGENCY</t>
  </si>
  <si>
    <t>Source: National Commission for the Incorporation of Technologies in the Unified Health System. (2023). Recommendation report No. 871: Tetravalent dengue vaccine (attenuated) for the prevention of infection caused by the dengue virus and its complications. Ministry of Health.</t>
  </si>
  <si>
    <t>PMVG without taxes</t>
  </si>
  <si>
    <t>PMVG 0% (R$)</t>
  </si>
  <si>
    <t>PMVG 18% (R$)</t>
  </si>
  <si>
    <t>Suggested price by Takeda for SUS (R$)</t>
  </si>
  <si>
    <t>Final price agreement (R$)</t>
  </si>
  <si>
    <t>Gap between final price and initial max price</t>
  </si>
  <si>
    <t>IXCHIQ dose price cap, public sector (18% average tax rate)</t>
  </si>
  <si>
    <t>IXCHIQ dose price cap, private sector  (18% average tax rate)</t>
  </si>
  <si>
    <t>VIMKUNYA_cost_multiplier</t>
  </si>
  <si>
    <t>Multiplier for the dose price cap for VIMKUNYA, relative to IXCHIQ</t>
  </si>
  <si>
    <t>Immunogenicity atenuation factor</t>
  </si>
  <si>
    <t xml:space="preserve">PNEUMO-13 VACCINE </t>
  </si>
  <si>
    <t>Suggested price by Pfizer for SUS (R$)</t>
  </si>
  <si>
    <t xml:space="preserve">Although the vaccine had already been incorporated in 2019 for high-risk groups, </t>
  </si>
  <si>
    <t>it was in this 2023 report (attempt to substitute PCV10 with PCV13 for all children) that the offered price became explicit and significantly below the market price, consolidating the argument for government negotiation.</t>
  </si>
  <si>
    <r>
      <t>Discount Aggressiveness:</t>
    </r>
    <r>
      <rPr>
        <sz val="12"/>
        <color rgb="FF000000"/>
        <rFont val="Aptos Narrow"/>
        <family val="2"/>
        <scheme val="minor"/>
      </rPr>
      <t> The Pfizzer  offered the vaccine for </t>
    </r>
    <r>
      <rPr>
        <b/>
        <sz val="12"/>
        <color rgb="FF000000"/>
        <rFont val="Aptos Narrow"/>
        <family val="2"/>
        <scheme val="minor"/>
      </rPr>
      <t>R$ 63.85</t>
    </r>
    <r>
      <rPr>
        <sz val="12"/>
        <color rgb="FF000000"/>
        <rFont val="Aptos Narrow"/>
        <family val="2"/>
        <scheme val="minor"/>
      </rPr>
      <t>, which represents a discount of about </t>
    </r>
    <r>
      <rPr>
        <b/>
        <sz val="12"/>
        <color rgb="FF000000"/>
        <rFont val="Aptos Narrow"/>
        <family val="2"/>
        <scheme val="minor"/>
      </rPr>
      <t>51%</t>
    </r>
    <r>
      <rPr>
        <sz val="12"/>
        <color rgb="FF000000"/>
        <rFont val="Aptos Narrow"/>
        <family val="2"/>
        <scheme val="minor"/>
      </rPr>
      <t>compared to the CMED ceiling price (R$ 131.92).</t>
    </r>
  </si>
  <si>
    <r>
      <t>Comparison with Current Prices:</t>
    </r>
    <r>
      <rPr>
        <sz val="12"/>
        <color rgb="FF000000"/>
        <rFont val="Aptos Narrow"/>
        <family val="2"/>
        <scheme val="minor"/>
      </rPr>
      <t> The offered value (R$ 63.85) was even lower than the price the government was already paying for the same vaccine for high-risk groups (CRIE), which was </t>
    </r>
    <r>
      <rPr>
        <b/>
        <sz val="12"/>
        <color rgb="FF000000"/>
        <rFont val="Aptos Narrow"/>
        <family val="2"/>
        <scheme val="minor"/>
      </rPr>
      <t>R$ 76.50</t>
    </r>
    <r>
      <rPr>
        <sz val="12"/>
        <color rgb="FF000000"/>
        <rFont val="Aptos Narrow"/>
        <family val="2"/>
        <scheme val="minor"/>
      </rPr>
      <t>.</t>
    </r>
  </si>
  <si>
    <t>Disclosures</t>
  </si>
  <si>
    <r>
      <t>Why was it not incorporated even with the discount?</t>
    </r>
    <r>
      <rPr>
        <sz val="12"/>
        <color rgb="FF000000"/>
        <rFont val="Aptos Narrow"/>
        <family val="2"/>
        <scheme val="minor"/>
      </rPr>
      <t> Despite the attractive price, Conitec recommended against incorporation based on three main pillars:</t>
    </r>
  </si>
  <si>
    <t>1.Hidden Logistics Costs: PCV13 is supplied in a pre-filled syringe (larger volume), while the current vaccine (PCV10) is a multidose vial. The change would generate an extra cost for logistics and storage (cold chain) estimated at more than R$ 16 million per year, which would "offset" part of the savings from the dose price.</t>
  </si>
  <si>
    <t>2. Industrial Policy: The current vaccine (PCV10) is produced by Fiocruz (national) via technology transfer, ensuring self-sufficiency for the country.</t>
  </si>
  <si>
    <t>3. Epidemiological Data: The Ministry of Health assessed that there was no epidemiological emergency justifying the switch, as severe cases remained stable.</t>
  </si>
  <si>
    <r>
      <rPr>
        <b/>
        <sz val="12"/>
        <color theme="1"/>
        <rFont val="Aptos Narrow"/>
        <scheme val="minor"/>
      </rPr>
      <t xml:space="preserve">Source: </t>
    </r>
    <r>
      <rPr>
        <sz val="12"/>
        <color theme="1"/>
        <rFont val="Aptos Narrow"/>
        <family val="2"/>
        <scheme val="minor"/>
      </rPr>
      <t xml:space="preserve">National Commission for the Incorporation of Technologies in the Unified Health System. (2023). </t>
    </r>
  </si>
  <si>
    <t>Recommendation report No. 819: 13-valent pneumococcal conjugate vaccine for immunization of children up to five years of age against invasive pneumococcal disease and pneumonia. Ministry of Health</t>
  </si>
  <si>
    <t>https://www.gov.br/conitec/pt-br/midias/relatorios/2023/20230710_relatorio_vacinapcv13_pneumo.pdf</t>
  </si>
  <si>
    <t>Vaccine</t>
  </si>
  <si>
    <t>QDENGA</t>
  </si>
  <si>
    <t>Pneumo13</t>
  </si>
  <si>
    <t>Price Discount</t>
  </si>
  <si>
    <t>Manufacturer</t>
  </si>
  <si>
    <t>Takeda</t>
  </si>
  <si>
    <t>Pfizer</t>
  </si>
  <si>
    <t>Manufacturer Price for SUS (R$)</t>
  </si>
  <si>
    <t>Based on QDENGA and Pneumo-13 pricing</t>
  </si>
  <si>
    <t>C_IXCHIQ_Dose_public * (1 - vaccine_price_discount) * VIMKUNYA_cost_multiplier</t>
  </si>
  <si>
    <t>C_IXCHIQ_Dose_public * (1 - vaccine_price_discount) * pub_share_ip_admissions + C_IXCHIQ_Dose_private * (1 - vaccine_price_discount)  * (1 - pub_share_ip_admissions)</t>
  </si>
  <si>
    <t>C_IXCHIQ_Dose_private * (1 - vaccine_price_discount) * VIMKUNYA_cost_multiplier</t>
  </si>
  <si>
    <t>Not implemented</t>
  </si>
  <si>
    <t>Planned for implementation</t>
  </si>
  <si>
    <t>Proportion of patients with CCA after 12 months of infection</t>
  </si>
  <si>
    <t>https://pmc.ncbi.nlm.nih.gov/articles/PMC10288966/
https://pmc.ncbi.nlm.nih.gov/articles/PMC12170793/
https://academic.oup.com/book/12265/chapter-abstract/317026498?redirectedFrom=fulltext</t>
  </si>
  <si>
    <t>gamma_d</t>
  </si>
  <si>
    <t>1 / gamma_days</t>
  </si>
  <si>
    <t>gamma_CCA_d</t>
  </si>
  <si>
    <t>(omega_year * gamma_d) / (1 - exp(-gamma_d * 365))</t>
  </si>
  <si>
    <t>gamma_rec_d</t>
  </si>
  <si>
    <t>gamma_d - gamma_CCA_d</t>
  </si>
  <si>
    <t>gamma_CCA</t>
  </si>
  <si>
    <t>gamma_rec</t>
  </si>
  <si>
    <t>1 - exp(-7 * gamma_CCA_d)</t>
  </si>
  <si>
    <t>1 - exp(-7 * gamma_rec_d)</t>
  </si>
  <si>
    <t>Daily total removal rate</t>
  </si>
  <si>
    <t>Daily removal rate into CCA</t>
  </si>
  <si>
    <t>Daily removal rate into Recovered</t>
  </si>
  <si>
    <t>Weekly removal rate into CCA</t>
  </si>
  <si>
    <t>Weekly removal rate into Recovered</t>
  </si>
  <si>
    <t>BRL to USD exchange rate, 2010</t>
  </si>
  <si>
    <t>brl_usd_fx_2010</t>
  </si>
  <si>
    <t>IXCHIQ dose cost, USA</t>
  </si>
  <si>
    <t>C_IXCHIQ_Dose_usa</t>
  </si>
  <si>
    <t>Triangular</t>
  </si>
  <si>
    <t>C_VIMKUNYA_Dose_usa</t>
  </si>
  <si>
    <t>VIMKUNYA dose cost, USA</t>
  </si>
  <si>
    <t>https://medicaid.ms.gov/wp-content/uploads/2025/06/Vaccines-Covered-Through-Pharmacy-Billing.pdf</t>
  </si>
  <si>
    <t>C_VIMKUNYA_Dose_usa / C_IXCHIQ_Dose_usa</t>
  </si>
  <si>
    <t>Overall; Figure 2</t>
  </si>
  <si>
    <t>theta_IXCHIQ_days</t>
  </si>
  <si>
    <t>theta_VIMKUNYA_days</t>
  </si>
  <si>
    <t>1 - exp(-(theta_IXCHIQ_days)*cycle_length_days)</t>
  </si>
  <si>
    <t>1 - exp(-(theta_VIMKUNYA_days)*cycle_length_days)</t>
  </si>
  <si>
    <t>Behavioural response factor</t>
  </si>
  <si>
    <t>rho_year</t>
  </si>
  <si>
    <t>pi_VIMKUNYA_vs_IXCHIQ</t>
  </si>
  <si>
    <t>VIMKUNYA preference weight, relative to IXCHIQ</t>
  </si>
  <si>
    <t>phi</t>
  </si>
  <si>
    <t>psi_stated</t>
  </si>
  <si>
    <t>Realization factor for vaccination</t>
  </si>
  <si>
    <t>Manaquin R, Desmoulin A, Luong Nguyen LB, et al. Acceptance of chikungunya vaccination: a rapid survey in Reunion island during an epidemic. Vaccine. 2025/10/03/ 2025;64:127720. doi:https://doi.org/10.1016/j.vaccine.2025.127720
40.	World Health Organization. Chikungunya - La Réunion and Mayotte. WHO. December 11, 2025. Updated May 12, 2025. Accessed December 11, 2025. https://www.who.int/emergencies/disease-outbreak-news/item/2025-DON567
41.	Curren EJ, Ellis EM, Hennessey MJ, Delorey MJ, Fischer M, Staples JE. Acceptability of a Chikungunya Virus Vaccine, United States Virgin Islands. Am J Trop Med Hyg. Feb 1 2023;108(2):363-365. doi:10.4269/ajtmh.22-0429
42.	Quenard F, Pecout F, Barry TA, et al. Acceptability of a chikungunya vaccine and dengue vaccine among travelers in Martinique (French West Indies), for the travel and for their home territory. IJID Reg. Dec 2025;17:100791. doi:10.1016/j.ijregi.2025.100791</t>
  </si>
  <si>
    <t>3-weeks vaccination rate</t>
  </si>
  <si>
    <t>seroprotection_VIMKUNYA_183_days</t>
  </si>
  <si>
    <t>seroresponse_placebo_IXCHIQ_180_days</t>
  </si>
  <si>
    <t>seroresponse_treatment_IXCHIQ_180_days</t>
  </si>
  <si>
    <t>zeta</t>
  </si>
  <si>
    <t>eta</t>
  </si>
  <si>
    <t>Ratio of actual price to vaccine price cap</t>
  </si>
  <si>
    <t>xi</t>
  </si>
  <si>
    <t>omicron</t>
  </si>
  <si>
    <t>IXCHQ preference weight</t>
  </si>
  <si>
    <t>GDP per capita</t>
  </si>
  <si>
    <t>https://www.cdc.gov/yellow-book/hcp/travel-associated-infections-diseases/chikungunya.html</t>
  </si>
  <si>
    <t>Overall, Table 2</t>
  </si>
  <si>
    <t>McMahon et al. Lancet ID. 2024</t>
  </si>
  <si>
    <t>Schneider et al. Lancet. 2023</t>
  </si>
  <si>
    <t xml:space="preserve">           BRASIL: Tábua Completa de Mortalidade - Ambos os Sexos – 2024</t>
  </si>
  <si>
    <t>Analytic time horizon, years</t>
  </si>
  <si>
    <t>time_horizon_years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</si>
</sst>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00"/>
    <numFmt numFmtId="165" formatCode="#,##0.0000"/>
    <numFmt numFmtId="166" formatCode="#,##0.000000"/>
    <numFmt numFmtId="167" formatCode="#,##0.0000000"/>
    <numFmt numFmtId="168" formatCode="#,##0.0"/>
    <numFmt numFmtId="169" formatCode="0.000"/>
    <numFmt numFmtId="170" formatCode="0.00000"/>
    <numFmt numFmtId="171" formatCode="&quot;$&quot;#,##0.00"/>
    <numFmt numFmtId="172" formatCode="General_)"/>
    <numFmt numFmtId="173" formatCode="0.000_)"/>
    <numFmt numFmtId="174" formatCode="0.0_)"/>
    <numFmt numFmtId="175" formatCode="0.0000"/>
    <numFmt numFmtId="176" formatCode="yyyy\-mm\-dd"/>
    <numFmt numFmtId="177" formatCode="0.00000000000000000000000000"/>
  </numFmts>
  <fonts count="46" x14ac:knownFonts="1">
    <font>
      <sz val="12"/>
      <color theme="1"/>
      <name val="Aptos Narrow"/>
      <family val="2"/>
      <scheme val="minor"/>
    </font>
    <font>
      <sz val="12"/>
      <color theme="1"/>
      <name val="Aptos"/>
    </font>
    <font>
      <u/>
      <sz val="12"/>
      <color theme="10"/>
      <name val="Aptos Narrow"/>
      <family val="2"/>
      <scheme val="minor"/>
    </font>
    <font>
      <u/>
      <sz val="12"/>
      <color theme="10"/>
      <name val="Aptos"/>
    </font>
    <font>
      <b/>
      <sz val="12"/>
      <color rgb="FF000000"/>
      <name val="Aptos"/>
    </font>
    <font>
      <sz val="12"/>
      <color rgb="FF000000"/>
      <name val="Aptos"/>
    </font>
    <font>
      <sz val="12"/>
      <color rgb="FFFF0000"/>
      <name val="Aptos"/>
    </font>
    <font>
      <b/>
      <sz val="12"/>
      <color theme="1"/>
      <name val="Aptos"/>
    </font>
    <font>
      <sz val="12"/>
      <color rgb="FF0070C0"/>
      <name val="Aptos"/>
    </font>
    <font>
      <sz val="12"/>
      <color rgb="FFC00000"/>
      <name val="Aptos"/>
    </font>
    <font>
      <b/>
      <sz val="12"/>
      <color theme="0"/>
      <name val="Aptos"/>
    </font>
    <font>
      <i/>
      <sz val="12"/>
      <color theme="1"/>
      <name val="Aptos"/>
    </font>
    <font>
      <b/>
      <sz val="12"/>
      <color rgb="FF0070C0"/>
      <name val="Aptos"/>
    </font>
    <font>
      <sz val="12"/>
      <color rgb="FF000000"/>
      <name val="Aptos Narrow"/>
      <family val="2"/>
      <scheme val="minor"/>
    </font>
    <font>
      <b/>
      <i/>
      <sz val="12"/>
      <color theme="1"/>
      <name val="Aptos"/>
    </font>
    <font>
      <u/>
      <sz val="12"/>
      <color theme="1"/>
      <name val="Aptos Narrow"/>
      <family val="2"/>
      <scheme val="minor"/>
    </font>
    <font>
      <b/>
      <u/>
      <sz val="12"/>
      <color theme="10"/>
      <name val="Aptos"/>
    </font>
    <font>
      <sz val="10"/>
      <name val="Courier New"/>
      <family val="3"/>
      <charset val="1"/>
    </font>
    <font>
      <sz val="12"/>
      <name val="Times New Roman"/>
      <family val="1"/>
      <charset val="1"/>
    </font>
    <font>
      <sz val="12"/>
      <color rgb="FF0000FF"/>
      <name val="Arial"/>
      <family val="2"/>
      <charset val="1"/>
    </font>
    <font>
      <sz val="12"/>
      <color rgb="FF0000FF"/>
      <name val="Times New Roman"/>
      <family val="1"/>
      <charset val="1"/>
    </font>
    <font>
      <sz val="12"/>
      <color theme="3"/>
      <name val="Aptos"/>
    </font>
    <font>
      <u/>
      <sz val="12"/>
      <color theme="1"/>
      <name val="Aptos"/>
    </font>
    <font>
      <b/>
      <sz val="11"/>
      <color theme="1"/>
      <name val="Aptos Narrow"/>
      <family val="2"/>
      <scheme val="minor"/>
    </font>
    <font>
      <sz val="16"/>
      <color rgb="FF555555"/>
      <name val="Aptos"/>
    </font>
    <font>
      <b/>
      <sz val="12"/>
      <color theme="1"/>
      <name val="Aptos Narrow"/>
      <scheme val="minor"/>
    </font>
    <font>
      <sz val="12"/>
      <color rgb="FF0070C0"/>
      <name val="Aptos Narrow"/>
      <family val="2"/>
      <scheme val="minor"/>
    </font>
    <font>
      <sz val="11"/>
      <color rgb="FF0070C0"/>
      <name val="Aptos"/>
    </font>
    <font>
      <u/>
      <sz val="12"/>
      <color rgb="FF0070C0"/>
      <name val="Aptos"/>
    </font>
    <font>
      <sz val="12"/>
      <color theme="1"/>
      <name val="Aptos Narrow"/>
      <family val="2"/>
      <scheme val="minor"/>
    </font>
    <font>
      <b/>
      <sz val="12"/>
      <color rgb="FF000000"/>
      <name val="Helvetica Neue"/>
      <family val="2"/>
    </font>
    <font>
      <sz val="12"/>
      <color rgb="FF000000"/>
      <name val="Helvetica Neue"/>
      <family val="2"/>
    </font>
    <font>
      <sz val="12"/>
      <color rgb="FF212121"/>
      <name val="Aptos"/>
    </font>
    <font>
      <sz val="12"/>
      <color rgb="FF212121"/>
      <name val="Arial"/>
      <family val="2"/>
    </font>
    <font>
      <b/>
      <sz val="12"/>
      <color rgb="FF212121"/>
      <name val="Aptos"/>
    </font>
    <font>
      <sz val="11"/>
      <color theme="1"/>
      <name val="Aptos Narrow"/>
      <family val="2"/>
      <scheme val="minor"/>
    </font>
    <font>
      <u/>
      <sz val="11"/>
      <color theme="10"/>
      <name val="Aptos Narrow"/>
      <family val="2"/>
      <scheme val="minor"/>
    </font>
    <font>
      <sz val="22"/>
      <color theme="1"/>
      <name val="Aptos Narrow (Body)"/>
    </font>
    <font>
      <sz val="14"/>
      <color theme="1"/>
      <name val="Calibri"/>
      <family val="2"/>
    </font>
    <font>
      <b/>
      <sz val="14"/>
      <color theme="1"/>
      <name val="Aptos Narrow"/>
      <scheme val="minor"/>
    </font>
    <font>
      <sz val="14"/>
      <color theme="1"/>
      <name val="Aptos Narrow"/>
      <family val="2"/>
      <scheme val="minor"/>
    </font>
    <font>
      <sz val="14"/>
      <color rgb="FF000000"/>
      <name val="Calibri"/>
      <family val="2"/>
    </font>
    <font>
      <b/>
      <sz val="12"/>
      <color rgb="FF000000"/>
      <name val="Aptos Narrow"/>
      <family val="2"/>
      <scheme val="minor"/>
    </font>
    <font>
      <b/>
      <sz val="12"/>
      <color rgb="FF000000"/>
      <name val="Aptos Narrow"/>
      <scheme val="minor"/>
    </font>
    <font>
      <sz val="12"/>
      <color theme="1"/>
      <name val="Aptos Narrow"/>
      <scheme val="minor"/>
    </font>
    <font>
      <sz val="12"/>
      <color rgb="FF00B050"/>
      <name val="Aptos Narrow"/>
      <family val="2"/>
      <scheme val="minor"/>
    </font>
  </fonts>
  <fills count="10">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0" fontId="2" fillId="0" borderId="0" applyNumberFormat="0" applyFill="0" applyBorder="0" applyAlignment="0" applyProtection="0"/>
    <xf numFmtId="170" fontId="17" fillId="0" borderId="0"/>
    <xf numFmtId="43" fontId="29" fillId="0" borderId="0" applyFont="0" applyFill="0" applyBorder="0" applyAlignment="0" applyProtection="0"/>
    <xf numFmtId="44" fontId="29" fillId="0" borderId="0" applyFont="0" applyFill="0" applyBorder="0" applyAlignment="0" applyProtection="0"/>
    <xf numFmtId="0" fontId="35" fillId="0" borderId="0"/>
    <xf numFmtId="0" fontId="36" fillId="0" borderId="0" applyNumberFormat="0" applyFill="0" applyBorder="0" applyAlignment="0" applyProtection="0"/>
  </cellStyleXfs>
  <cellXfs count="230">
    <xf numFmtId="0" fontId="0" fillId="0" borderId="0" xfId="0"/>
    <xf numFmtId="0" fontId="1" fillId="0" borderId="0" xfId="0" applyFont="1"/>
    <xf numFmtId="0" fontId="2" fillId="0" borderId="0" xfId="1"/>
    <xf numFmtId="0" fontId="3" fillId="0" borderId="0" xfId="1" applyFont="1"/>
    <xf numFmtId="0" fontId="5" fillId="0" borderId="0" xfId="0" applyFont="1"/>
    <xf numFmtId="0" fontId="6" fillId="0" borderId="0" xfId="0" applyFont="1"/>
    <xf numFmtId="164" fontId="8" fillId="0" borderId="0" xfId="0" applyNumberFormat="1" applyFont="1" applyAlignment="1">
      <alignment horizontal="center"/>
    </xf>
    <xf numFmtId="165" fontId="1" fillId="0" borderId="0" xfId="0" applyNumberFormat="1" applyFont="1" applyAlignment="1">
      <alignment horizontal="center"/>
    </xf>
    <xf numFmtId="0" fontId="1" fillId="0" borderId="0" xfId="0" applyFont="1" applyAlignment="1">
      <alignment horizontal="center"/>
    </xf>
    <xf numFmtId="4" fontId="8" fillId="0" borderId="0" xfId="0" applyNumberFormat="1" applyFont="1" applyAlignment="1">
      <alignment horizontal="center"/>
    </xf>
    <xf numFmtId="168" fontId="8" fillId="0" borderId="0" xfId="0" applyNumberFormat="1" applyFont="1" applyAlignment="1">
      <alignment horizontal="center"/>
    </xf>
    <xf numFmtId="3" fontId="8" fillId="0" borderId="0" xfId="0" applyNumberFormat="1" applyFont="1" applyAlignment="1">
      <alignment horizontal="center"/>
    </xf>
    <xf numFmtId="4" fontId="1" fillId="0" borderId="0" xfId="0" applyNumberFormat="1" applyFont="1" applyAlignment="1">
      <alignment horizontal="center"/>
    </xf>
    <xf numFmtId="3" fontId="1" fillId="0" borderId="0" xfId="0" applyNumberFormat="1" applyFont="1" applyAlignment="1">
      <alignment horizontal="center"/>
    </xf>
    <xf numFmtId="0" fontId="1" fillId="0" borderId="1" xfId="0" applyFont="1" applyBorder="1"/>
    <xf numFmtId="0" fontId="3" fillId="0" borderId="1" xfId="1" applyFont="1" applyBorder="1"/>
    <xf numFmtId="0" fontId="3" fillId="0" borderId="0" xfId="1" applyFont="1" applyBorder="1"/>
    <xf numFmtId="0" fontId="8" fillId="0" borderId="0" xfId="0" applyFont="1" applyAlignment="1">
      <alignment horizontal="center"/>
    </xf>
    <xf numFmtId="169" fontId="8" fillId="0" borderId="0" xfId="0" applyNumberFormat="1" applyFont="1" applyAlignment="1">
      <alignment horizontal="center"/>
    </xf>
    <xf numFmtId="2" fontId="8" fillId="0" borderId="0" xfId="0" applyNumberFormat="1" applyFont="1" applyAlignment="1">
      <alignment horizontal="center"/>
    </xf>
    <xf numFmtId="171" fontId="8" fillId="0" borderId="0" xfId="0" applyNumberFormat="1" applyFont="1" applyAlignment="1">
      <alignment horizontal="center"/>
    </xf>
    <xf numFmtId="0" fontId="8" fillId="0" borderId="1" xfId="0" applyFont="1" applyBorder="1" applyAlignment="1">
      <alignment horizontal="center"/>
    </xf>
    <xf numFmtId="169" fontId="1" fillId="0" borderId="0" xfId="0" applyNumberFormat="1" applyFont="1" applyAlignment="1">
      <alignment horizontal="center"/>
    </xf>
    <xf numFmtId="0" fontId="1" fillId="4" borderId="0" xfId="0" applyFont="1" applyFill="1"/>
    <xf numFmtId="0" fontId="7" fillId="4" borderId="0" xfId="0" applyFont="1" applyFill="1"/>
    <xf numFmtId="0" fontId="1" fillId="4" borderId="0" xfId="0" applyFont="1" applyFill="1" applyAlignment="1">
      <alignment horizontal="center"/>
    </xf>
    <xf numFmtId="171" fontId="1" fillId="4" borderId="0" xfId="0" applyNumberFormat="1" applyFont="1" applyFill="1" applyAlignment="1">
      <alignment horizontal="center"/>
    </xf>
    <xf numFmtId="0" fontId="8" fillId="4" borderId="0" xfId="0" applyFont="1" applyFill="1" applyAlignment="1">
      <alignment horizontal="center"/>
    </xf>
    <xf numFmtId="169" fontId="8" fillId="4" borderId="0" xfId="0" applyNumberFormat="1" applyFont="1" applyFill="1" applyAlignment="1">
      <alignment horizontal="center"/>
    </xf>
    <xf numFmtId="0" fontId="3" fillId="4" borderId="0" xfId="1" applyFont="1" applyFill="1" applyBorder="1"/>
    <xf numFmtId="0" fontId="7" fillId="4" borderId="0" xfId="0" applyFont="1" applyFill="1" applyAlignment="1">
      <alignment horizontal="center"/>
    </xf>
    <xf numFmtId="0" fontId="13" fillId="0" borderId="0" xfId="0" applyFont="1"/>
    <xf numFmtId="0" fontId="10" fillId="2" borderId="1" xfId="0" applyFont="1" applyFill="1" applyBorder="1"/>
    <xf numFmtId="0" fontId="10" fillId="2" borderId="1" xfId="0" applyFont="1" applyFill="1" applyBorder="1" applyAlignment="1">
      <alignment horizontal="center"/>
    </xf>
    <xf numFmtId="4" fontId="1" fillId="0" borderId="1" xfId="0" applyNumberFormat="1" applyFont="1" applyBorder="1" applyAlignment="1">
      <alignment horizontal="center"/>
    </xf>
    <xf numFmtId="171" fontId="8" fillId="0" borderId="1" xfId="0" applyNumberFormat="1" applyFont="1" applyBorder="1" applyAlignment="1">
      <alignment horizontal="center"/>
    </xf>
    <xf numFmtId="0" fontId="3" fillId="0" borderId="0" xfId="1" applyFont="1" applyFill="1"/>
    <xf numFmtId="0" fontId="2" fillId="0" borderId="0" xfId="1" applyFill="1"/>
    <xf numFmtId="0" fontId="2" fillId="0" borderId="1" xfId="1" applyFill="1" applyBorder="1"/>
    <xf numFmtId="0" fontId="2" fillId="0" borderId="0" xfId="1" applyFill="1" applyBorder="1"/>
    <xf numFmtId="0" fontId="0" fillId="0" borderId="1" xfId="0" applyBorder="1"/>
    <xf numFmtId="4" fontId="8" fillId="0" borderId="1" xfId="0" applyNumberFormat="1" applyFont="1" applyBorder="1" applyAlignment="1">
      <alignment horizontal="center"/>
    </xf>
    <xf numFmtId="0" fontId="3" fillId="0" borderId="0" xfId="1" applyFont="1" applyFill="1" applyBorder="1"/>
    <xf numFmtId="0" fontId="14" fillId="4" borderId="0" xfId="0" applyFont="1" applyFill="1"/>
    <xf numFmtId="3" fontId="8" fillId="4" borderId="0" xfId="0" applyNumberFormat="1" applyFont="1" applyFill="1" applyAlignment="1">
      <alignment horizontal="center"/>
    </xf>
    <xf numFmtId="0" fontId="3" fillId="4" borderId="0" xfId="1" applyFont="1" applyFill="1"/>
    <xf numFmtId="0" fontId="7" fillId="5" borderId="0" xfId="0" applyFont="1" applyFill="1"/>
    <xf numFmtId="0" fontId="12" fillId="5" borderId="0" xfId="0" applyFont="1" applyFill="1" applyAlignment="1">
      <alignment horizontal="center"/>
    </xf>
    <xf numFmtId="169" fontId="12" fillId="5" borderId="0" xfId="0" applyNumberFormat="1" applyFont="1" applyFill="1" applyAlignment="1">
      <alignment horizontal="center"/>
    </xf>
    <xf numFmtId="0" fontId="16" fillId="5" borderId="0" xfId="1" applyFont="1" applyFill="1" applyBorder="1"/>
    <xf numFmtId="0" fontId="1" fillId="5" borderId="0" xfId="0" applyFont="1" applyFill="1"/>
    <xf numFmtId="0" fontId="8" fillId="5" borderId="0" xfId="0" applyFont="1" applyFill="1" applyAlignment="1">
      <alignment horizontal="center"/>
    </xf>
    <xf numFmtId="169" fontId="8" fillId="5" borderId="0" xfId="0" applyNumberFormat="1" applyFont="1" applyFill="1" applyAlignment="1">
      <alignment horizontal="center"/>
    </xf>
    <xf numFmtId="0" fontId="3" fillId="5" borderId="0" xfId="1" applyFont="1" applyFill="1" applyBorder="1"/>
    <xf numFmtId="164" fontId="12" fillId="5" borderId="0" xfId="0" applyNumberFormat="1" applyFont="1" applyFill="1" applyAlignment="1">
      <alignment horizontal="center"/>
    </xf>
    <xf numFmtId="0" fontId="4" fillId="5" borderId="0" xfId="0" applyFont="1" applyFill="1"/>
    <xf numFmtId="0" fontId="15" fillId="0" borderId="0" xfId="1" applyFont="1" applyFill="1" applyBorder="1"/>
    <xf numFmtId="0" fontId="11" fillId="5" borderId="0" xfId="0" applyFont="1" applyFill="1" applyAlignment="1">
      <alignment horizontal="center"/>
    </xf>
    <xf numFmtId="0" fontId="1" fillId="5" borderId="0" xfId="0" applyFont="1" applyFill="1" applyAlignment="1">
      <alignment horizontal="center"/>
    </xf>
    <xf numFmtId="1" fontId="18" fillId="0" borderId="0" xfId="2" applyNumberFormat="1" applyFont="1"/>
    <xf numFmtId="172" fontId="18" fillId="0" borderId="0" xfId="2" applyNumberFormat="1" applyFont="1" applyAlignment="1">
      <alignment horizontal="left"/>
    </xf>
    <xf numFmtId="172" fontId="18" fillId="0" borderId="0" xfId="2" applyNumberFormat="1" applyFont="1" applyAlignment="1">
      <alignment horizontal="center"/>
    </xf>
    <xf numFmtId="174" fontId="18" fillId="0" borderId="0" xfId="2" applyNumberFormat="1" applyFont="1" applyAlignment="1">
      <alignment horizontal="center"/>
    </xf>
    <xf numFmtId="172" fontId="18" fillId="0" borderId="0" xfId="2" applyNumberFormat="1" applyFont="1"/>
    <xf numFmtId="172" fontId="18" fillId="0" borderId="1" xfId="2" applyNumberFormat="1" applyFont="1" applyBorder="1"/>
    <xf numFmtId="172" fontId="18" fillId="0" borderId="1" xfId="2" applyNumberFormat="1" applyFont="1" applyBorder="1" applyAlignment="1">
      <alignment horizontal="center"/>
    </xf>
    <xf numFmtId="172" fontId="18" fillId="0" borderId="1" xfId="2" applyNumberFormat="1" applyFont="1" applyBorder="1" applyAlignment="1">
      <alignment horizontal="right"/>
    </xf>
    <xf numFmtId="172" fontId="18" fillId="0" borderId="3" xfId="2" applyNumberFormat="1" applyFont="1" applyBorder="1" applyAlignment="1">
      <alignment horizontal="center"/>
    </xf>
    <xf numFmtId="172" fontId="18" fillId="0" borderId="5" xfId="2" applyNumberFormat="1" applyFont="1" applyBorder="1" applyAlignment="1">
      <alignment horizontal="center"/>
    </xf>
    <xf numFmtId="172" fontId="18" fillId="0" borderId="6" xfId="2" applyNumberFormat="1" applyFont="1" applyBorder="1" applyAlignment="1">
      <alignment horizontal="center"/>
    </xf>
    <xf numFmtId="172" fontId="18" fillId="0" borderId="7" xfId="2" applyNumberFormat="1" applyFont="1" applyBorder="1" applyAlignment="1">
      <alignment horizontal="center"/>
    </xf>
    <xf numFmtId="172" fontId="20" fillId="0" borderId="0" xfId="2" applyNumberFormat="1" applyFont="1" applyAlignment="1">
      <alignment horizontal="center"/>
    </xf>
    <xf numFmtId="173" fontId="18" fillId="0" borderId="0" xfId="2" applyNumberFormat="1" applyFont="1" applyAlignment="1">
      <alignment horizontal="right"/>
    </xf>
    <xf numFmtId="1" fontId="18" fillId="0" borderId="0" xfId="2" applyNumberFormat="1" applyFont="1" applyAlignment="1">
      <alignment horizontal="right"/>
    </xf>
    <xf numFmtId="174" fontId="20" fillId="0" borderId="0" xfId="2" applyNumberFormat="1" applyFont="1" applyAlignment="1">
      <alignment horizontal="center"/>
    </xf>
    <xf numFmtId="172" fontId="20" fillId="0" borderId="1" xfId="2" applyNumberFormat="1" applyFont="1" applyBorder="1" applyAlignment="1">
      <alignment horizontal="center"/>
    </xf>
    <xf numFmtId="173" fontId="18" fillId="0" borderId="1" xfId="2" applyNumberFormat="1" applyFont="1" applyBorder="1" applyAlignment="1">
      <alignment horizontal="right"/>
    </xf>
    <xf numFmtId="1" fontId="18" fillId="0" borderId="1" xfId="2" applyNumberFormat="1" applyFont="1" applyBorder="1" applyAlignment="1">
      <alignment horizontal="right"/>
    </xf>
    <xf numFmtId="174" fontId="20" fillId="0" borderId="1" xfId="2" applyNumberFormat="1" applyFont="1" applyBorder="1" applyAlignment="1">
      <alignment horizontal="center"/>
    </xf>
    <xf numFmtId="16" fontId="0" fillId="0" borderId="0" xfId="0" applyNumberFormat="1"/>
    <xf numFmtId="0" fontId="2" fillId="0" borderId="0" xfId="1" applyBorder="1"/>
    <xf numFmtId="172" fontId="20" fillId="3" borderId="0" xfId="2" applyNumberFormat="1" applyFont="1" applyFill="1" applyAlignment="1">
      <alignment horizontal="center"/>
    </xf>
    <xf numFmtId="173" fontId="18" fillId="3" borderId="0" xfId="2" applyNumberFormat="1" applyFont="1" applyFill="1" applyAlignment="1">
      <alignment horizontal="right"/>
    </xf>
    <xf numFmtId="1" fontId="18" fillId="3" borderId="0" xfId="2" applyNumberFormat="1" applyFont="1" applyFill="1" applyAlignment="1">
      <alignment horizontal="right"/>
    </xf>
    <xf numFmtId="174" fontId="20" fillId="3" borderId="0" xfId="2" applyNumberFormat="1" applyFont="1" applyFill="1" applyAlignment="1">
      <alignment horizontal="center"/>
    </xf>
    <xf numFmtId="0" fontId="0" fillId="0" borderId="0" xfId="0" applyAlignment="1">
      <alignment horizontal="center"/>
    </xf>
    <xf numFmtId="0" fontId="8" fillId="0" borderId="0" xfId="0" applyFont="1"/>
    <xf numFmtId="167" fontId="8" fillId="0" borderId="0" xfId="0" applyNumberFormat="1" applyFont="1" applyAlignment="1">
      <alignment horizontal="center"/>
    </xf>
    <xf numFmtId="2" fontId="8" fillId="0" borderId="1" xfId="0" applyNumberFormat="1" applyFont="1" applyBorder="1" applyAlignment="1">
      <alignment horizontal="center"/>
    </xf>
    <xf numFmtId="0" fontId="3" fillId="0" borderId="1" xfId="1" applyFont="1" applyFill="1" applyBorder="1"/>
    <xf numFmtId="0" fontId="21" fillId="0" borderId="0" xfId="0" applyFont="1"/>
    <xf numFmtId="0" fontId="9" fillId="0" borderId="0" xfId="0" applyFont="1"/>
    <xf numFmtId="0" fontId="3" fillId="0" borderId="0" xfId="1" applyFont="1" applyFill="1" applyAlignment="1"/>
    <xf numFmtId="0" fontId="1" fillId="0" borderId="1" xfId="0" applyFont="1" applyBorder="1" applyAlignment="1">
      <alignment horizontal="center"/>
    </xf>
    <xf numFmtId="167" fontId="8" fillId="0" borderId="1" xfId="0" applyNumberFormat="1" applyFont="1" applyBorder="1" applyAlignment="1">
      <alignment horizontal="center"/>
    </xf>
    <xf numFmtId="0" fontId="5" fillId="0" borderId="1" xfId="0" applyFont="1" applyBorder="1"/>
    <xf numFmtId="0" fontId="8" fillId="0" borderId="1" xfId="0" applyFont="1" applyBorder="1"/>
    <xf numFmtId="0" fontId="6" fillId="0" borderId="1" xfId="0" applyFont="1" applyBorder="1"/>
    <xf numFmtId="0" fontId="1" fillId="0" borderId="2" xfId="0" applyFont="1" applyBorder="1"/>
    <xf numFmtId="0" fontId="21" fillId="0" borderId="2" xfId="0" applyFont="1" applyBorder="1"/>
    <xf numFmtId="0" fontId="8" fillId="0" borderId="2" xfId="0" applyFont="1" applyBorder="1" applyAlignment="1">
      <alignment horizontal="center"/>
    </xf>
    <xf numFmtId="0" fontId="8" fillId="0" borderId="2" xfId="0" applyFont="1" applyBorder="1"/>
    <xf numFmtId="0" fontId="15" fillId="0" borderId="2" xfId="1" applyFont="1" applyFill="1" applyBorder="1"/>
    <xf numFmtId="0" fontId="22" fillId="0" borderId="0" xfId="1" applyFont="1" applyFill="1"/>
    <xf numFmtId="0" fontId="22" fillId="0" borderId="0" xfId="1" applyFont="1" applyFill="1" applyBorder="1"/>
    <xf numFmtId="0" fontId="23" fillId="0" borderId="4" xfId="0" applyFont="1" applyBorder="1" applyAlignment="1">
      <alignment horizontal="center" vertical="top"/>
    </xf>
    <xf numFmtId="176" fontId="0" fillId="0" borderId="0" xfId="0" applyNumberFormat="1"/>
    <xf numFmtId="175" fontId="0" fillId="0" borderId="0" xfId="0" applyNumberFormat="1"/>
    <xf numFmtId="0" fontId="0" fillId="0" borderId="0" xfId="0" applyAlignment="1">
      <alignment wrapText="1"/>
    </xf>
    <xf numFmtId="176" fontId="0" fillId="3" borderId="0" xfId="0" applyNumberFormat="1" applyFill="1"/>
    <xf numFmtId="175" fontId="0" fillId="3" borderId="0" xfId="0" applyNumberFormat="1" applyFill="1"/>
    <xf numFmtId="172" fontId="18" fillId="0" borderId="0" xfId="2" applyNumberFormat="1" applyFont="1" applyAlignment="1">
      <alignment horizontal="center" vertical="center"/>
    </xf>
    <xf numFmtId="0" fontId="24" fillId="0" borderId="0" xfId="0" applyFont="1" applyAlignment="1">
      <alignment horizontal="center"/>
    </xf>
    <xf numFmtId="4" fontId="8" fillId="0" borderId="2" xfId="0" applyNumberFormat="1" applyFont="1" applyBorder="1" applyAlignment="1">
      <alignment horizontal="center"/>
    </xf>
    <xf numFmtId="164" fontId="1" fillId="0" borderId="0" xfId="0" applyNumberFormat="1" applyFont="1" applyAlignment="1">
      <alignment horizontal="center"/>
    </xf>
    <xf numFmtId="0" fontId="26" fillId="0" borderId="0" xfId="0" applyFont="1" applyAlignment="1">
      <alignment horizontal="center"/>
    </xf>
    <xf numFmtId="0" fontId="25" fillId="0" borderId="1" xfId="0" applyFont="1" applyBorder="1" applyAlignment="1">
      <alignment horizontal="center"/>
    </xf>
    <xf numFmtId="0" fontId="25" fillId="0" borderId="1" xfId="0" applyFont="1" applyBorder="1"/>
    <xf numFmtId="0" fontId="7" fillId="0" borderId="0" xfId="0" applyFont="1"/>
    <xf numFmtId="0" fontId="1" fillId="3" borderId="0" xfId="0" applyFont="1" applyFill="1" applyAlignment="1">
      <alignment horizontal="center"/>
    </xf>
    <xf numFmtId="170" fontId="8" fillId="0" borderId="0" xfId="0" applyNumberFormat="1" applyFont="1" applyAlignment="1">
      <alignment horizontal="center"/>
    </xf>
    <xf numFmtId="0" fontId="1" fillId="0" borderId="0" xfId="0" applyFont="1" applyAlignment="1">
      <alignment wrapText="1"/>
    </xf>
    <xf numFmtId="0" fontId="2" fillId="0" borderId="1" xfId="1" applyFill="1" applyBorder="1" applyAlignment="1"/>
    <xf numFmtId="0" fontId="22" fillId="0" borderId="1" xfId="1" applyFont="1" applyFill="1" applyBorder="1"/>
    <xf numFmtId="1" fontId="8" fillId="0" borderId="0" xfId="0" applyNumberFormat="1" applyFont="1" applyAlignment="1">
      <alignment horizontal="center"/>
    </xf>
    <xf numFmtId="175" fontId="1" fillId="0" borderId="0" xfId="0" applyNumberFormat="1" applyFont="1" applyAlignment="1">
      <alignment horizontal="center"/>
    </xf>
    <xf numFmtId="165" fontId="8" fillId="0" borderId="0" xfId="0" applyNumberFormat="1" applyFont="1" applyAlignment="1">
      <alignment horizontal="center"/>
    </xf>
    <xf numFmtId="0" fontId="28" fillId="0" borderId="1" xfId="1" applyFont="1" applyFill="1" applyBorder="1"/>
    <xf numFmtId="170" fontId="8" fillId="0" borderId="1" xfId="0" applyNumberFormat="1" applyFont="1" applyBorder="1" applyAlignment="1">
      <alignment horizontal="center"/>
    </xf>
    <xf numFmtId="4" fontId="8" fillId="0" borderId="2" xfId="0" applyNumberFormat="1" applyFont="1" applyBorder="1" applyAlignment="1">
      <alignment horizontal="center" wrapText="1"/>
    </xf>
    <xf numFmtId="166" fontId="8" fillId="0" borderId="1" xfId="0" applyNumberFormat="1" applyFont="1" applyBorder="1" applyAlignment="1">
      <alignment horizontal="center"/>
    </xf>
    <xf numFmtId="169" fontId="8" fillId="0" borderId="1" xfId="0" applyNumberFormat="1" applyFont="1" applyBorder="1" applyAlignment="1">
      <alignment horizontal="center"/>
    </xf>
    <xf numFmtId="0" fontId="7" fillId="0" borderId="1" xfId="0" applyFont="1" applyBorder="1" applyAlignment="1">
      <alignment horizontal="center"/>
    </xf>
    <xf numFmtId="0" fontId="7" fillId="0" borderId="1" xfId="0" applyFont="1" applyBorder="1"/>
    <xf numFmtId="3" fontId="1" fillId="3" borderId="0" xfId="0" applyNumberFormat="1" applyFont="1" applyFill="1" applyAlignment="1">
      <alignment horizontal="center"/>
    </xf>
    <xf numFmtId="0" fontId="0" fillId="7" borderId="0" xfId="0" applyFill="1" applyAlignment="1">
      <alignment horizontal="center"/>
    </xf>
    <xf numFmtId="0" fontId="0" fillId="0" borderId="0" xfId="0" applyAlignment="1">
      <alignment horizontal="left"/>
    </xf>
    <xf numFmtId="0" fontId="0" fillId="0" borderId="1" xfId="0" applyBorder="1" applyAlignment="1">
      <alignment horizontal="left"/>
    </xf>
    <xf numFmtId="0" fontId="30" fillId="0" borderId="1" xfId="0" applyFont="1" applyBorder="1" applyAlignment="1">
      <alignment horizontal="left"/>
    </xf>
    <xf numFmtId="0" fontId="30" fillId="0" borderId="1" xfId="0" applyFont="1" applyBorder="1"/>
    <xf numFmtId="0" fontId="30" fillId="0" borderId="0" xfId="0" applyFont="1"/>
    <xf numFmtId="9" fontId="31" fillId="0" borderId="0" xfId="0" applyNumberFormat="1" applyFont="1" applyAlignment="1">
      <alignment horizontal="center"/>
    </xf>
    <xf numFmtId="4" fontId="31" fillId="0" borderId="0" xfId="0" applyNumberFormat="1" applyFont="1" applyAlignment="1">
      <alignment horizontal="center"/>
    </xf>
    <xf numFmtId="2" fontId="31" fillId="0" borderId="0" xfId="0" applyNumberFormat="1" applyFont="1"/>
    <xf numFmtId="0" fontId="0" fillId="0" borderId="1" xfId="0" applyBorder="1" applyAlignment="1">
      <alignment horizontal="center"/>
    </xf>
    <xf numFmtId="10" fontId="31" fillId="0" borderId="0" xfId="0" applyNumberFormat="1" applyFont="1" applyAlignment="1">
      <alignment horizontal="center"/>
    </xf>
    <xf numFmtId="3" fontId="0" fillId="0" borderId="0" xfId="0" applyNumberFormat="1"/>
    <xf numFmtId="9" fontId="31" fillId="0" borderId="1" xfId="0" applyNumberFormat="1" applyFont="1" applyBorder="1" applyAlignment="1">
      <alignment horizontal="center"/>
    </xf>
    <xf numFmtId="4" fontId="31" fillId="0" borderId="1" xfId="0" applyNumberFormat="1" applyFont="1" applyBorder="1" applyAlignment="1">
      <alignment horizontal="center"/>
    </xf>
    <xf numFmtId="0" fontId="32" fillId="0" borderId="0" xfId="0" applyFont="1" applyAlignment="1">
      <alignment horizontal="left"/>
    </xf>
    <xf numFmtId="0" fontId="35" fillId="0" borderId="0" xfId="5"/>
    <xf numFmtId="177" fontId="35" fillId="0" borderId="0" xfId="5" applyNumberFormat="1"/>
    <xf numFmtId="4" fontId="35" fillId="0" borderId="0" xfId="5" applyNumberFormat="1"/>
    <xf numFmtId="176" fontId="35" fillId="0" borderId="0" xfId="5" applyNumberFormat="1"/>
    <xf numFmtId="0" fontId="36" fillId="0" borderId="0" xfId="6"/>
    <xf numFmtId="0" fontId="23" fillId="0" borderId="4" xfId="5" applyFont="1" applyBorder="1" applyAlignment="1">
      <alignment horizontal="center" vertical="top"/>
    </xf>
    <xf numFmtId="4" fontId="35" fillId="3" borderId="0" xfId="5" applyNumberFormat="1" applyFill="1"/>
    <xf numFmtId="176" fontId="35" fillId="3" borderId="0" xfId="5" applyNumberFormat="1" applyFill="1"/>
    <xf numFmtId="0" fontId="4" fillId="0" borderId="0" xfId="0" applyFont="1"/>
    <xf numFmtId="9" fontId="5" fillId="0" borderId="1" xfId="0" applyNumberFormat="1" applyFont="1" applyBorder="1"/>
    <xf numFmtId="2" fontId="5" fillId="0" borderId="1" xfId="0" applyNumberFormat="1" applyFont="1" applyBorder="1"/>
    <xf numFmtId="0" fontId="4" fillId="0" borderId="1" xfId="0" applyFont="1" applyBorder="1"/>
    <xf numFmtId="0" fontId="1" fillId="0" borderId="1" xfId="0" applyFont="1" applyBorder="1" applyAlignment="1">
      <alignment horizontal="center" wrapText="1"/>
    </xf>
    <xf numFmtId="0" fontId="1" fillId="4" borderId="1" xfId="0" applyFont="1" applyFill="1" applyBorder="1" applyAlignment="1">
      <alignment horizontal="center" wrapText="1"/>
    </xf>
    <xf numFmtId="2" fontId="5" fillId="4" borderId="1" xfId="0" applyNumberFormat="1" applyFont="1" applyFill="1" applyBorder="1" applyAlignment="1">
      <alignment horizontal="center" wrapText="1"/>
    </xf>
    <xf numFmtId="39" fontId="8" fillId="0" borderId="0" xfId="3" applyNumberFormat="1" applyFont="1" applyFill="1" applyAlignment="1">
      <alignment horizontal="center"/>
    </xf>
    <xf numFmtId="2" fontId="8" fillId="4" borderId="0" xfId="0" applyNumberFormat="1" applyFont="1" applyFill="1" applyAlignment="1">
      <alignment horizontal="center"/>
    </xf>
    <xf numFmtId="2" fontId="5" fillId="3" borderId="0" xfId="0" applyNumberFormat="1" applyFont="1" applyFill="1" applyAlignment="1">
      <alignment horizontal="center"/>
    </xf>
    <xf numFmtId="10" fontId="4" fillId="0" borderId="1" xfId="0" applyNumberFormat="1" applyFont="1" applyBorder="1"/>
    <xf numFmtId="44" fontId="5" fillId="0" borderId="1" xfId="4" applyFont="1" applyBorder="1"/>
    <xf numFmtId="9" fontId="4" fillId="0" borderId="0" xfId="0" applyNumberFormat="1" applyFont="1"/>
    <xf numFmtId="2" fontId="5" fillId="0" borderId="0" xfId="0" applyNumberFormat="1" applyFont="1"/>
    <xf numFmtId="10" fontId="4" fillId="0" borderId="0" xfId="0" applyNumberFormat="1" applyFont="1"/>
    <xf numFmtId="0" fontId="38" fillId="0" borderId="0" xfId="0" applyFont="1"/>
    <xf numFmtId="0" fontId="39" fillId="0" borderId="0" xfId="0" applyFont="1"/>
    <xf numFmtId="0" fontId="38" fillId="0" borderId="0" xfId="0" applyFont="1" applyAlignment="1">
      <alignment horizontal="right"/>
    </xf>
    <xf numFmtId="43" fontId="38" fillId="0" borderId="0" xfId="3" applyFont="1" applyAlignment="1">
      <alignment horizontal="center" vertical="center"/>
    </xf>
    <xf numFmtId="43" fontId="38" fillId="0" borderId="0" xfId="3" applyFont="1" applyAlignment="1">
      <alignment horizontal="right"/>
    </xf>
    <xf numFmtId="0" fontId="40" fillId="0" borderId="0" xfId="0" applyFont="1"/>
    <xf numFmtId="0" fontId="41" fillId="0" borderId="0" xfId="0" applyFont="1"/>
    <xf numFmtId="0" fontId="42" fillId="0" borderId="0" xfId="0" applyFont="1"/>
    <xf numFmtId="0" fontId="25" fillId="3" borderId="0" xfId="0" applyFont="1" applyFill="1"/>
    <xf numFmtId="0" fontId="25" fillId="0" borderId="0" xfId="0" applyFont="1"/>
    <xf numFmtId="0" fontId="43" fillId="0" borderId="0" xfId="0" applyFont="1"/>
    <xf numFmtId="0" fontId="44" fillId="0" borderId="0" xfId="0" applyFont="1"/>
    <xf numFmtId="0" fontId="25" fillId="8" borderId="0" xfId="0" applyFont="1" applyFill="1"/>
    <xf numFmtId="0" fontId="0" fillId="8" borderId="0" xfId="0" applyFill="1"/>
    <xf numFmtId="0" fontId="25" fillId="8" borderId="1" xfId="0" applyFont="1" applyFill="1" applyBorder="1"/>
    <xf numFmtId="0" fontId="0" fillId="8" borderId="1" xfId="0" applyFill="1" applyBorder="1"/>
    <xf numFmtId="0" fontId="25" fillId="8" borderId="1" xfId="0" applyFont="1" applyFill="1" applyBorder="1" applyAlignment="1">
      <alignment horizontal="center" wrapText="1"/>
    </xf>
    <xf numFmtId="0" fontId="0" fillId="8" borderId="0" xfId="0" applyFill="1" applyAlignment="1">
      <alignment horizontal="center"/>
    </xf>
    <xf numFmtId="0" fontId="45" fillId="8" borderId="0" xfId="0" applyFont="1" applyFill="1" applyAlignment="1">
      <alignment horizontal="center"/>
    </xf>
    <xf numFmtId="2" fontId="45" fillId="8" borderId="0" xfId="0" applyNumberFormat="1" applyFont="1" applyFill="1" applyAlignment="1">
      <alignment horizontal="center"/>
    </xf>
    <xf numFmtId="0" fontId="25" fillId="8" borderId="1" xfId="0" applyFont="1" applyFill="1" applyBorder="1" applyAlignment="1">
      <alignment horizontal="center"/>
    </xf>
    <xf numFmtId="0" fontId="25" fillId="8" borderId="1" xfId="0" applyFont="1" applyFill="1" applyBorder="1" applyAlignment="1">
      <alignment horizontal="left"/>
    </xf>
    <xf numFmtId="0" fontId="0" fillId="8" borderId="0" xfId="0" applyFill="1" applyAlignment="1">
      <alignment horizontal="left"/>
    </xf>
    <xf numFmtId="0" fontId="0" fillId="8" borderId="1" xfId="0" applyFill="1" applyBorder="1" applyAlignment="1">
      <alignment horizontal="center"/>
    </xf>
    <xf numFmtId="0" fontId="0" fillId="8" borderId="1" xfId="0" applyFill="1" applyBorder="1" applyAlignment="1">
      <alignment horizontal="left"/>
    </xf>
    <xf numFmtId="0" fontId="45" fillId="8" borderId="1" xfId="0" applyFont="1" applyFill="1" applyBorder="1" applyAlignment="1">
      <alignment horizontal="center"/>
    </xf>
    <xf numFmtId="2" fontId="0" fillId="3" borderId="1" xfId="0" applyNumberFormat="1" applyFill="1" applyBorder="1" applyAlignment="1">
      <alignment horizontal="center"/>
    </xf>
    <xf numFmtId="39" fontId="45" fillId="8" borderId="1" xfId="0" applyNumberFormat="1" applyFont="1" applyFill="1" applyBorder="1" applyAlignment="1">
      <alignment horizontal="center"/>
    </xf>
    <xf numFmtId="0" fontId="26" fillId="8" borderId="1" xfId="0" applyFont="1" applyFill="1" applyBorder="1" applyAlignment="1">
      <alignment horizontal="center"/>
    </xf>
    <xf numFmtId="0" fontId="2" fillId="0" borderId="0" xfId="1" applyFill="1" applyAlignment="1"/>
    <xf numFmtId="0" fontId="0" fillId="0" borderId="2" xfId="0" applyBorder="1"/>
    <xf numFmtId="4" fontId="0" fillId="0" borderId="0" xfId="0" applyNumberFormat="1"/>
    <xf numFmtId="4" fontId="0" fillId="0" borderId="1" xfId="0" applyNumberFormat="1" applyBorder="1"/>
    <xf numFmtId="4" fontId="0" fillId="0" borderId="0" xfId="0" applyNumberFormat="1" applyAlignment="1">
      <alignment horizontal="right"/>
    </xf>
    <xf numFmtId="4" fontId="0" fillId="0" borderId="1" xfId="0" applyNumberFormat="1" applyBorder="1" applyAlignment="1">
      <alignment horizontal="right"/>
    </xf>
    <xf numFmtId="0" fontId="25" fillId="0" borderId="2" xfId="0" applyFont="1" applyBorder="1" applyAlignment="1">
      <alignment horizontal="right"/>
    </xf>
    <xf numFmtId="175" fontId="8" fillId="4" borderId="0" xfId="0" applyNumberFormat="1" applyFont="1" applyFill="1" applyAlignment="1">
      <alignment horizontal="center"/>
    </xf>
    <xf numFmtId="175" fontId="8" fillId="0" borderId="0" xfId="0" applyNumberFormat="1" applyFont="1" applyAlignment="1">
      <alignment horizontal="center"/>
    </xf>
    <xf numFmtId="0" fontId="9" fillId="0" borderId="0" xfId="0" applyFont="1" applyAlignment="1">
      <alignment horizontal="center"/>
    </xf>
    <xf numFmtId="165" fontId="9" fillId="0" borderId="0" xfId="0" applyNumberFormat="1" applyFont="1" applyAlignment="1">
      <alignment horizontal="center"/>
    </xf>
    <xf numFmtId="167" fontId="9" fillId="0" borderId="0" xfId="0" applyNumberFormat="1" applyFont="1" applyAlignment="1">
      <alignment horizontal="center"/>
    </xf>
    <xf numFmtId="170" fontId="27" fillId="0" borderId="0" xfId="0" applyNumberFormat="1" applyFont="1" applyAlignment="1">
      <alignment horizontal="center" vertical="center" wrapText="1"/>
    </xf>
    <xf numFmtId="0" fontId="26" fillId="8" borderId="0" xfId="0" applyFont="1" applyFill="1" applyAlignment="1">
      <alignment horizontal="center"/>
    </xf>
    <xf numFmtId="1" fontId="26" fillId="8" borderId="0" xfId="0" applyNumberFormat="1" applyFont="1" applyFill="1" applyAlignment="1">
      <alignment horizontal="center"/>
    </xf>
    <xf numFmtId="169" fontId="26" fillId="8" borderId="0" xfId="0" applyNumberFormat="1" applyFont="1" applyFill="1" applyAlignment="1">
      <alignment horizontal="center"/>
    </xf>
    <xf numFmtId="169" fontId="26" fillId="8" borderId="1" xfId="0" applyNumberFormat="1" applyFont="1" applyFill="1" applyBorder="1" applyAlignment="1">
      <alignment horizontal="center"/>
    </xf>
    <xf numFmtId="172" fontId="19" fillId="0" borderId="0" xfId="2" applyNumberFormat="1" applyFont="1" applyAlignment="1">
      <alignment horizontal="center"/>
    </xf>
    <xf numFmtId="172" fontId="18" fillId="0" borderId="4" xfId="2" applyNumberFormat="1" applyFont="1" applyBorder="1" applyAlignment="1">
      <alignment horizontal="center" vertical="center"/>
    </xf>
    <xf numFmtId="0" fontId="1"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1" xfId="0" applyFont="1" applyFill="1" applyBorder="1" applyAlignment="1">
      <alignment horizontal="center" vertical="center"/>
    </xf>
    <xf numFmtId="0" fontId="37" fillId="6" borderId="0" xfId="0" applyFont="1" applyFill="1" applyAlignment="1">
      <alignment horizontal="center"/>
    </xf>
    <xf numFmtId="0" fontId="0" fillId="6" borderId="0" xfId="0" applyFill="1" applyAlignment="1">
      <alignment horizontal="center"/>
    </xf>
    <xf numFmtId="0" fontId="0" fillId="7" borderId="0" xfId="0" applyFill="1" applyAlignment="1">
      <alignment horizontal="center"/>
    </xf>
  </cellXfs>
  <cellStyles count="7">
    <cellStyle name="Comma" xfId="3" builtinId="3"/>
    <cellStyle name="Currency" xfId="4" builtinId="4"/>
    <cellStyle name="Hyperlink" xfId="1" builtinId="8"/>
    <cellStyle name="Hyperlink 2" xfId="6" xr:uid="{3408EB91-E574-D04F-BC07-81DCE24D13CB}"/>
    <cellStyle name="Normal" xfId="0" builtinId="0"/>
    <cellStyle name="Normal 2" xfId="5" xr:uid="{22AF4891-0B51-F242-B753-0E9AF386DAF4}"/>
    <cellStyle name="Normal_ATEND_TABUAS_COMPLETAS_DE_MORTALIDADE_AMBOS_OS_SEXOS_2007" xfId="2" xr:uid="{A2E8B72B-41F7-A241-A48F-9255257337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706436</xdr:colOff>
      <xdr:row>9</xdr:row>
      <xdr:rowOff>23813</xdr:rowOff>
    </xdr:from>
    <xdr:to>
      <xdr:col>7</xdr:col>
      <xdr:colOff>531812</xdr:colOff>
      <xdr:row>36</xdr:row>
      <xdr:rowOff>158213</xdr:rowOff>
    </xdr:to>
    <xdr:pic>
      <xdr:nvPicPr>
        <xdr:cNvPr id="2" name="Picture 1">
          <a:extLst>
            <a:ext uri="{FF2B5EF4-FFF2-40B4-BE49-F238E27FC236}">
              <a16:creationId xmlns:a16="http://schemas.microsoft.com/office/drawing/2014/main" id="{22A55396-1894-AA4D-8B0D-3B89D91AC955}"/>
            </a:ext>
          </a:extLst>
        </xdr:cNvPr>
        <xdr:cNvPicPr>
          <a:picLocks noChangeAspect="1"/>
        </xdr:cNvPicPr>
      </xdr:nvPicPr>
      <xdr:blipFill>
        <a:blip xmlns:r="http://schemas.openxmlformats.org/officeDocument/2006/relationships" r:embed="rId1"/>
        <a:stretch>
          <a:fillRect/>
        </a:stretch>
      </xdr:blipFill>
      <xdr:spPr>
        <a:xfrm>
          <a:off x="909636" y="2259013"/>
          <a:ext cx="7648576" cy="562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38099</xdr:colOff>
      <xdr:row>13</xdr:row>
      <xdr:rowOff>50800</xdr:rowOff>
    </xdr:from>
    <xdr:to>
      <xdr:col>5</xdr:col>
      <xdr:colOff>1917700</xdr:colOff>
      <xdr:row>24</xdr:row>
      <xdr:rowOff>101600</xdr:rowOff>
    </xdr:to>
    <xdr:pic>
      <xdr:nvPicPr>
        <xdr:cNvPr id="2" name="Picture 1">
          <a:extLst>
            <a:ext uri="{FF2B5EF4-FFF2-40B4-BE49-F238E27FC236}">
              <a16:creationId xmlns:a16="http://schemas.microsoft.com/office/drawing/2014/main" id="{CCDEB19A-A21E-8D47-ADA8-53C1C9B8A0DB}"/>
            </a:ext>
          </a:extLst>
        </xdr:cNvPr>
        <xdr:cNvPicPr>
          <a:picLocks noChangeAspect="1"/>
        </xdr:cNvPicPr>
      </xdr:nvPicPr>
      <xdr:blipFill>
        <a:blip xmlns:r="http://schemas.openxmlformats.org/officeDocument/2006/relationships" r:embed="rId1"/>
        <a:stretch>
          <a:fillRect/>
        </a:stretch>
      </xdr:blipFill>
      <xdr:spPr>
        <a:xfrm>
          <a:off x="863599" y="2768600"/>
          <a:ext cx="8267701" cy="2476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www.valueinhealthjournal.com/article/S1098-3015(16)01289-4/fulltext" TargetMode="External"/><Relationship Id="rId21" Type="http://schemas.openxmlformats.org/officeDocument/2006/relationships/hyperlink" Target="https://gh.bmj.com/content/9/12/e016648" TargetMode="External"/><Relationship Id="rId34" Type="http://schemas.openxmlformats.org/officeDocument/2006/relationships/hyperlink" Target="https://pmc.ncbi.nlm.nih.gov/articles/PMC11182447/" TargetMode="External"/><Relationship Id="rId42" Type="http://schemas.openxmlformats.org/officeDocument/2006/relationships/hyperlink" Target="https://pmc.ncbi.nlm.nih.gov/articles/PMC11182447/" TargetMode="External"/><Relationship Id="rId47" Type="http://schemas.openxmlformats.org/officeDocument/2006/relationships/hyperlink" Target="https://assets-eu.researchsquare.com/files/rs-1612317/v1/6ea04974-c218-4eb1-b1e9-aee9c6f753af.pdf?c=1697480328" TargetMode="External"/><Relationship Id="rId50" Type="http://schemas.openxmlformats.org/officeDocument/2006/relationships/hyperlink" Target="https://agenciadenoticias.ibge.gov.br/en/agencia-press-room/2185-news-agency/releases-en/42777-gdp-grows-3-4-in-2024-and-closes-the-year-at-r-11-7-trillion" TargetMode="External"/><Relationship Id="rId55" Type="http://schemas.openxmlformats.org/officeDocument/2006/relationships/hyperlink" Target="https://pubmed.ncbi.nlm.nih.gov/40158526/" TargetMode="External"/><Relationship Id="rId63" Type="http://schemas.openxmlformats.org/officeDocument/2006/relationships/hyperlink" Target="https://assets-eu.researchsquare.com/files/rs-1612317/v1/6ea04974-c218-4eb1-b1e9-aee9c6f753af.pdf?c=1697480328" TargetMode="External"/><Relationship Id="rId7" Type="http://schemas.openxmlformats.org/officeDocument/2006/relationships/hyperlink" Target="https://hqlo.biomedcentral.com/articles/10.1186/s12955-021-01671-6" TargetMode="External"/><Relationship Id="rId2" Type="http://schemas.openxmlformats.org/officeDocument/2006/relationships/hyperlink" Target="https://www.cdc.gov/yellow-book/hcp/travel-associated-infections-diseases/chikungunya.html" TargetMode="External"/><Relationship Id="rId16" Type="http://schemas.openxmlformats.org/officeDocument/2006/relationships/hyperlink" Target="https://www.sciencedirect.com/science/article/pii/S141386701830254X?via%3Dihub" TargetMode="External"/><Relationship Id="rId29" Type="http://schemas.openxmlformats.org/officeDocument/2006/relationships/hyperlink" Target="https://pmc.ncbi.nlm.nih.gov/articles/PMC11182447/" TargetMode="External"/><Relationship Id="rId11" Type="http://schemas.openxmlformats.org/officeDocument/2006/relationships/hyperlink" Target="https://pubmed.ncbi.nlm.nih.gov/23818719/" TargetMode="External"/><Relationship Id="rId24" Type="http://schemas.openxmlformats.org/officeDocument/2006/relationships/hyperlink" Target="https://onlinelibrary.wiley.com/doi/pdf/10.1111/tmi.13810" TargetMode="External"/><Relationship Id="rId32" Type="http://schemas.openxmlformats.org/officeDocument/2006/relationships/hyperlink" Target="https://pmc.ncbi.nlm.nih.gov/articles/PMC11182447/" TargetMode="External"/><Relationship Id="rId37" Type="http://schemas.openxmlformats.org/officeDocument/2006/relationships/hyperlink" Target="https://pmc.ncbi.nlm.nih.gov/articles/PMC11182447/" TargetMode="External"/><Relationship Id="rId40" Type="http://schemas.openxmlformats.org/officeDocument/2006/relationships/hyperlink" Target="https://pmc.ncbi.nlm.nih.gov/articles/PMC11182447/" TargetMode="External"/><Relationship Id="rId45" Type="http://schemas.openxmlformats.org/officeDocument/2006/relationships/hyperlink" Target="https://www.gov.br/receitafederal/pt-br/assuntos/meu-imposto-de-renda/preenchimento/regimes" TargetMode="External"/><Relationship Id="rId53" Type="http://schemas.openxmlformats.org/officeDocument/2006/relationships/hyperlink" Target="https://pmc.ncbi.nlm.nih.gov/articles/PMC12304215/pdf/41541_2025_Article_1194.pdf" TargetMode="External"/><Relationship Id="rId58" Type="http://schemas.openxmlformats.org/officeDocument/2006/relationships/hyperlink" Target="https://onlinelibrary.wiley.com/doi/10.1111/tmi.13711" TargetMode="External"/><Relationship Id="rId66" Type="http://schemas.openxmlformats.org/officeDocument/2006/relationships/hyperlink" Target="https://medicaid.ms.gov/wp-content/uploads/2025/06/Vaccines-Covered-Through-Pharmacy-Billing.pdf" TargetMode="External"/><Relationship Id="rId5" Type="http://schemas.openxmlformats.org/officeDocument/2006/relationships/hyperlink" Target="https://pmc.ncbi.nlm.nih.gov/articles/PMC7100975/" TargetMode="External"/><Relationship Id="rId61" Type="http://schemas.openxmlformats.org/officeDocument/2006/relationships/hyperlink" Target="https://pubmed.ncbi.nlm.nih.gov/31815561/" TargetMode="External"/><Relationship Id="rId19" Type="http://schemas.openxmlformats.org/officeDocument/2006/relationships/hyperlink" Target="https://gh.bmj.com/content/9/12/e016648" TargetMode="External"/><Relationship Id="rId14" Type="http://schemas.openxmlformats.org/officeDocument/2006/relationships/hyperlink" Target="https://onlinelibrary.wiley.com/doi/pdf/10.1111/tmi.13810" TargetMode="External"/><Relationship Id="rId22" Type="http://schemas.openxmlformats.org/officeDocument/2006/relationships/hyperlink" Target="https://gh.bmj.com/content/9/12/e016648" TargetMode="External"/><Relationship Id="rId27" Type="http://schemas.openxmlformats.org/officeDocument/2006/relationships/hyperlink" Target="https://pmc.ncbi.nlm.nih.gov/articles/PMC11182447/" TargetMode="External"/><Relationship Id="rId30" Type="http://schemas.openxmlformats.org/officeDocument/2006/relationships/hyperlink" Target="https://pmc.ncbi.nlm.nih.gov/articles/PMC11182447/" TargetMode="External"/><Relationship Id="rId35" Type="http://schemas.openxmlformats.org/officeDocument/2006/relationships/hyperlink" Target="https://pmc.ncbi.nlm.nih.gov/articles/PMC11182447/" TargetMode="External"/><Relationship Id="rId43" Type="http://schemas.openxmlformats.org/officeDocument/2006/relationships/hyperlink" Target="https://assets-eu.researchsquare.com/files/rs-1612317/v1/6ea04974-c218-4eb1-b1e9-aee9c6f753af.pdf?c=1697480328" TargetMode="External"/><Relationship Id="rId48" Type="http://schemas.openxmlformats.org/officeDocument/2006/relationships/hyperlink" Target="https://assets-eu.researchsquare.com/files/rs-1612317/v1/6ea04974-c218-4eb1-b1e9-aee9c6f753af.pdf?c=1697480328" TargetMode="External"/><Relationship Id="rId56" Type="http://schemas.openxmlformats.org/officeDocument/2006/relationships/hyperlink" Target="https://pmc.ncbi.nlm.nih.gov/articles/PMC11182447/" TargetMode="External"/><Relationship Id="rId64" Type="http://schemas.openxmlformats.org/officeDocument/2006/relationships/hyperlink" Target="https://assets-eu.researchsquare.com/files/rs-1612317/v1/6ea04974-c218-4eb1-b1e9-aee9c6f753af.pdf?c=1697480328" TargetMode="External"/><Relationship Id="rId8" Type="http://schemas.openxmlformats.org/officeDocument/2006/relationships/hyperlink" Target="https://www.thelancet.com/journals/lancet/article/PIIS0140-6736(23)00641-4/fulltext" TargetMode="External"/><Relationship Id="rId51" Type="http://schemas.openxmlformats.org/officeDocument/2006/relationships/hyperlink" Target="https://pubmed.ncbi.nlm.nih.gov/37321235/" TargetMode="External"/><Relationship Id="rId3" Type="http://schemas.openxmlformats.org/officeDocument/2006/relationships/hyperlink" Target="https://pubmed.ncbi.nlm.nih.gov/37321235/" TargetMode="External"/><Relationship Id="rId12" Type="http://schemas.openxmlformats.org/officeDocument/2006/relationships/hyperlink" Target="https://onlinelibrary.wiley.com/doi/pdf/10.1111/tmi.13810" TargetMode="External"/><Relationship Id="rId17" Type="http://schemas.openxmlformats.org/officeDocument/2006/relationships/hyperlink" Target="https://gh.bmj.com/content/9/12/e016648" TargetMode="External"/><Relationship Id="rId25" Type="http://schemas.openxmlformats.org/officeDocument/2006/relationships/hyperlink" Target="https://www.valueinhealthjournal.com/article/S1098-3015(16)01289-4/fulltext" TargetMode="External"/><Relationship Id="rId33" Type="http://schemas.openxmlformats.org/officeDocument/2006/relationships/hyperlink" Target="https://pmc.ncbi.nlm.nih.gov/articles/PMC11182447/" TargetMode="External"/><Relationship Id="rId38" Type="http://schemas.openxmlformats.org/officeDocument/2006/relationships/hyperlink" Target="https://pmc.ncbi.nlm.nih.gov/articles/PMC11182447/" TargetMode="External"/><Relationship Id="rId46" Type="http://schemas.openxmlformats.org/officeDocument/2006/relationships/hyperlink" Target="https://pmc.ncbi.nlm.nih.gov/articles/PMC11182447/" TargetMode="External"/><Relationship Id="rId59" Type="http://schemas.openxmlformats.org/officeDocument/2006/relationships/hyperlink" Target="https://onlinelibrary.wiley.com/doi/10.1111/tmi.13711" TargetMode="External"/><Relationship Id="rId67" Type="http://schemas.openxmlformats.org/officeDocument/2006/relationships/hyperlink" Target="https://pmc.ncbi.nlm.nih.gov/articles/PMC12304215/pdf/41541_2025_Article_1194.pdf" TargetMode="External"/><Relationship Id="rId20" Type="http://schemas.openxmlformats.org/officeDocument/2006/relationships/hyperlink" Target="https://gh.bmj.com/content/9/12/e016648" TargetMode="External"/><Relationship Id="rId41" Type="http://schemas.openxmlformats.org/officeDocument/2006/relationships/hyperlink" Target="https://pmc.ncbi.nlm.nih.gov/articles/PMC11182447/" TargetMode="External"/><Relationship Id="rId54" Type="http://schemas.openxmlformats.org/officeDocument/2006/relationships/hyperlink" Target="https://www.thelancet.com/journals/lancet/article/PIIS0140-6736(23)00641-4/fulltext" TargetMode="External"/><Relationship Id="rId62" Type="http://schemas.openxmlformats.org/officeDocument/2006/relationships/hyperlink" Target="https://pubmed.ncbi.nlm.nih.gov/31815561/" TargetMode="External"/><Relationship Id="rId1" Type="http://schemas.openxmlformats.org/officeDocument/2006/relationships/hyperlink" Target="https://www.cdc.gov/yellow-book/hcp/travel-associated-infections-diseases/chikungunya.html" TargetMode="External"/><Relationship Id="rId6" Type="http://schemas.openxmlformats.org/officeDocument/2006/relationships/hyperlink" Target="https://pmc.ncbi.nlm.nih.gov/articles/PMC7510706/" TargetMode="External"/><Relationship Id="rId15" Type="http://schemas.openxmlformats.org/officeDocument/2006/relationships/hyperlink" Target="https://gh.bmj.com/content/9/12/e016648" TargetMode="External"/><Relationship Id="rId23" Type="http://schemas.openxmlformats.org/officeDocument/2006/relationships/hyperlink" Target="https://cdn.who.int/media/docs/default-source/health-economics/who-choice-estimates-of-cost-for-inpatient-and-outpatient-health-service-delivery.pdf?sfvrsn=b814d37e_3&amp;download=true" TargetMode="External"/><Relationship Id="rId28" Type="http://schemas.openxmlformats.org/officeDocument/2006/relationships/hyperlink" Target="https://pmc.ncbi.nlm.nih.gov/articles/PMC11182447/" TargetMode="External"/><Relationship Id="rId36" Type="http://schemas.openxmlformats.org/officeDocument/2006/relationships/hyperlink" Target="https://pmc.ncbi.nlm.nih.gov/articles/PMC11182447/" TargetMode="External"/><Relationship Id="rId49" Type="http://schemas.openxmlformats.org/officeDocument/2006/relationships/hyperlink" Target="https://agenciadenoticias.ibge.gov.br/en/agencia-news/2184-news-agency/news/38187-2022-census-number-of-elderly-persons-in-the-brazilian-population-grew-57-4-in-12-years" TargetMode="External"/><Relationship Id="rId57" Type="http://schemas.openxmlformats.org/officeDocument/2006/relationships/hyperlink" Target="https://academic.oup.com/book/12265/chapter-abstract/317026498?redirectedFrom=fulltext" TargetMode="External"/><Relationship Id="rId10" Type="http://schemas.openxmlformats.org/officeDocument/2006/relationships/hyperlink" Target="https://pubmed.ncbi.nlm.nih.gov/28380060/" TargetMode="External"/><Relationship Id="rId31" Type="http://schemas.openxmlformats.org/officeDocument/2006/relationships/hyperlink" Target="https://pmc.ncbi.nlm.nih.gov/articles/PMC11182447/" TargetMode="External"/><Relationship Id="rId44" Type="http://schemas.openxmlformats.org/officeDocument/2006/relationships/hyperlink" Target="https://izajole.springeropen.com/articles/10.1186/s40172-014-0014-0" TargetMode="External"/><Relationship Id="rId52" Type="http://schemas.openxmlformats.org/officeDocument/2006/relationships/hyperlink" Target="https://pubmed.ncbi.nlm.nih.gov/40158526/" TargetMode="External"/><Relationship Id="rId60" Type="http://schemas.openxmlformats.org/officeDocument/2006/relationships/hyperlink" Target="https://pmc.ncbi.nlm.nih.gov/articles/PMC12304215/pdf/41541_2025_Article_1194.pdf" TargetMode="External"/><Relationship Id="rId65" Type="http://schemas.openxmlformats.org/officeDocument/2006/relationships/hyperlink" Target="https://pmc.ncbi.nlm.nih.gov/articles/PMC12304215/pdf/41541_2025_Article_1194.pdf" TargetMode="External"/><Relationship Id="rId4" Type="http://schemas.openxmlformats.org/officeDocument/2006/relationships/hyperlink" Target="https://pubmed.ncbi.nlm.nih.gov/30007303/" TargetMode="External"/><Relationship Id="rId9" Type="http://schemas.openxmlformats.org/officeDocument/2006/relationships/hyperlink" Target="https://pubmed.ncbi.nlm.nih.gov/40158526/" TargetMode="External"/><Relationship Id="rId13" Type="http://schemas.openxmlformats.org/officeDocument/2006/relationships/hyperlink" Target="https://onlinelibrary.wiley.com/doi/pdf/10.1111/tmi.13810" TargetMode="External"/><Relationship Id="rId18" Type="http://schemas.openxmlformats.org/officeDocument/2006/relationships/hyperlink" Target="https://gh.bmj.com/content/9/12/e016648" TargetMode="External"/><Relationship Id="rId39" Type="http://schemas.openxmlformats.org/officeDocument/2006/relationships/hyperlink" Target="https://pmc.ncbi.nlm.nih.gov/articles/PMC11182447/"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gov.br/conitec/pt-br/midias/relatorios/2023/20230710_relatorio_vacinapcv13_pneumo.pdf"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fred.stlouisfed.org/series/BRACPIALLMINMEI"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fred.stlouisfed.org/series/AEXBZ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E30A-60DB-6249-8D0A-2484D2AE8ACE}">
  <sheetPr>
    <tabColor rgb="FFC00000"/>
  </sheetPr>
  <dimension ref="A1"/>
  <sheetViews>
    <sheetView workbookViewId="0">
      <selection activeCell="F15" sqref="F15"/>
    </sheetView>
  </sheetViews>
  <sheetFormatPr baseColWidth="10" defaultRowHeight="16" x14ac:dyDescent="0.2"/>
  <cols>
    <col min="1" max="16384" width="10.83203125" style="186"/>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699B-19DF-F44D-9551-821697A20206}">
  <sheetPr>
    <tabColor theme="9" tint="-0.499984740745262"/>
  </sheetPr>
  <dimension ref="A1"/>
  <sheetViews>
    <sheetView workbookViewId="0">
      <selection sqref="A1:XFD1048576"/>
    </sheetView>
  </sheetViews>
  <sheetFormatPr baseColWidth="10" defaultRowHeight="16" x14ac:dyDescent="0.2"/>
  <cols>
    <col min="1" max="16384" width="10.83203125" style="186"/>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0B48-3CC9-DE4C-822F-6C700C11F864}">
  <dimension ref="A1:N178"/>
  <sheetViews>
    <sheetView tabSelected="1" topLeftCell="B62" zoomScale="140" zoomScaleNormal="140" workbookViewId="0">
      <selection activeCell="D93" sqref="D93"/>
    </sheetView>
  </sheetViews>
  <sheetFormatPr baseColWidth="10" defaultRowHeight="16" x14ac:dyDescent="0.2"/>
  <cols>
    <col min="1" max="1" width="2" style="1" customWidth="1"/>
    <col min="2" max="2" width="22.33203125" style="1" customWidth="1"/>
    <col min="3" max="3" width="42" style="1" customWidth="1"/>
    <col min="4" max="4" width="58.5" style="1" customWidth="1"/>
    <col min="5" max="6" width="10.6640625" style="8" customWidth="1"/>
    <col min="7" max="7" width="66.6640625" style="8" customWidth="1"/>
    <col min="8" max="9" width="13.6640625" style="8" customWidth="1"/>
    <col min="10" max="10" width="13.6640625" style="17" customWidth="1"/>
    <col min="11" max="11" width="20.5" style="1" customWidth="1"/>
    <col min="12" max="12" width="26.6640625" style="1" customWidth="1"/>
    <col min="13" max="16384" width="10.83203125" style="1"/>
  </cols>
  <sheetData>
    <row r="1" spans="1:12" s="14" customFormat="1" x14ac:dyDescent="0.2">
      <c r="A1" s="1"/>
      <c r="B1" s="32" t="s">
        <v>71</v>
      </c>
      <c r="C1" s="32" t="s">
        <v>26</v>
      </c>
      <c r="D1" s="32" t="s">
        <v>0</v>
      </c>
      <c r="E1" s="33" t="s">
        <v>69</v>
      </c>
      <c r="F1" s="33" t="s">
        <v>70</v>
      </c>
      <c r="G1" s="33" t="s">
        <v>1</v>
      </c>
      <c r="H1" s="33" t="s">
        <v>23</v>
      </c>
      <c r="I1" s="33" t="s">
        <v>24</v>
      </c>
      <c r="J1" s="33" t="s">
        <v>25</v>
      </c>
      <c r="K1" s="32" t="s">
        <v>9</v>
      </c>
      <c r="L1" s="32" t="s">
        <v>18</v>
      </c>
    </row>
    <row r="2" spans="1:12" s="46" customFormat="1" x14ac:dyDescent="0.2">
      <c r="A2" s="118"/>
      <c r="D2" s="46" t="s">
        <v>187</v>
      </c>
      <c r="E2" s="47"/>
      <c r="F2" s="47"/>
      <c r="G2" s="54"/>
      <c r="H2" s="47"/>
      <c r="I2" s="47"/>
      <c r="J2" s="47"/>
      <c r="L2" s="55"/>
    </row>
    <row r="3" spans="1:12" ht="17" customHeight="1" x14ac:dyDescent="0.2">
      <c r="B3" s="1" t="s">
        <v>82</v>
      </c>
      <c r="C3" s="1" t="s">
        <v>81</v>
      </c>
      <c r="D3" s="1" t="s">
        <v>80</v>
      </c>
      <c r="E3" s="17" t="s">
        <v>45</v>
      </c>
      <c r="F3" s="17" t="s">
        <v>45</v>
      </c>
      <c r="G3" s="11">
        <v>1000</v>
      </c>
      <c r="H3" s="17" t="s">
        <v>45</v>
      </c>
      <c r="I3" s="17" t="s">
        <v>45</v>
      </c>
      <c r="J3" s="17" t="s">
        <v>45</v>
      </c>
      <c r="K3" s="1" t="s">
        <v>13</v>
      </c>
    </row>
    <row r="4" spans="1:12" x14ac:dyDescent="0.2">
      <c r="B4" s="1" t="s">
        <v>83</v>
      </c>
      <c r="C4" s="1" t="s">
        <v>456</v>
      </c>
      <c r="D4" s="1" t="s">
        <v>457</v>
      </c>
      <c r="E4" s="17" t="s">
        <v>45</v>
      </c>
      <c r="F4" s="17" t="s">
        <v>45</v>
      </c>
      <c r="G4" s="6">
        <v>7</v>
      </c>
      <c r="H4" s="17" t="s">
        <v>45</v>
      </c>
      <c r="I4" s="17" t="s">
        <v>45</v>
      </c>
      <c r="J4" s="17" t="s">
        <v>45</v>
      </c>
      <c r="K4" s="1" t="s">
        <v>13</v>
      </c>
      <c r="L4" s="4"/>
    </row>
    <row r="5" spans="1:12" x14ac:dyDescent="0.2">
      <c r="B5" s="1" t="s">
        <v>83</v>
      </c>
      <c r="C5" s="1" t="s">
        <v>647</v>
      </c>
      <c r="D5" s="1" t="s">
        <v>646</v>
      </c>
      <c r="E5" s="17" t="s">
        <v>45</v>
      </c>
      <c r="F5" s="17" t="s">
        <v>45</v>
      </c>
      <c r="G5" s="6">
        <v>10</v>
      </c>
      <c r="H5" s="17">
        <v>1</v>
      </c>
      <c r="I5" s="17">
        <v>20</v>
      </c>
      <c r="J5" s="17" t="s">
        <v>45</v>
      </c>
      <c r="K5" s="1" t="s">
        <v>13</v>
      </c>
      <c r="L5" s="4"/>
    </row>
    <row r="6" spans="1:12" x14ac:dyDescent="0.2">
      <c r="B6" s="1" t="s">
        <v>257</v>
      </c>
      <c r="C6" s="1" t="s">
        <v>256</v>
      </c>
      <c r="D6" s="1" t="s">
        <v>90</v>
      </c>
      <c r="E6" s="17" t="s">
        <v>45</v>
      </c>
      <c r="F6" s="17" t="s">
        <v>45</v>
      </c>
      <c r="G6" s="11">
        <v>1000</v>
      </c>
      <c r="H6" s="17" t="s">
        <v>45</v>
      </c>
      <c r="I6" s="17" t="s">
        <v>45</v>
      </c>
      <c r="J6" s="17" t="s">
        <v>45</v>
      </c>
      <c r="K6" s="1" t="s">
        <v>13</v>
      </c>
      <c r="L6" s="4"/>
    </row>
    <row r="7" spans="1:12" x14ac:dyDescent="0.2">
      <c r="B7" s="1" t="s">
        <v>258</v>
      </c>
      <c r="C7" s="1" t="s">
        <v>254</v>
      </c>
      <c r="D7" s="1" t="s">
        <v>480</v>
      </c>
      <c r="E7" s="17" t="s">
        <v>45</v>
      </c>
      <c r="F7" s="17" t="s">
        <v>45</v>
      </c>
      <c r="G7" s="6">
        <v>38</v>
      </c>
      <c r="H7" s="17">
        <v>15</v>
      </c>
      <c r="I7" s="17">
        <v>64</v>
      </c>
      <c r="J7" s="17" t="s">
        <v>4</v>
      </c>
      <c r="K7" s="80" t="s">
        <v>251</v>
      </c>
      <c r="L7" s="5"/>
    </row>
    <row r="8" spans="1:12" s="46" customFormat="1" x14ac:dyDescent="0.2">
      <c r="A8" s="118"/>
      <c r="B8" s="46" t="s">
        <v>85</v>
      </c>
      <c r="D8" s="46" t="s">
        <v>89</v>
      </c>
      <c r="E8" s="47"/>
      <c r="F8" s="47"/>
      <c r="G8" s="54"/>
      <c r="H8" s="47"/>
      <c r="I8" s="47"/>
      <c r="J8" s="47"/>
      <c r="L8" s="55"/>
    </row>
    <row r="9" spans="1:12" s="118" customFormat="1" x14ac:dyDescent="0.2">
      <c r="B9" s="1" t="s">
        <v>85</v>
      </c>
      <c r="C9" s="1" t="s">
        <v>394</v>
      </c>
      <c r="D9" s="1" t="s">
        <v>393</v>
      </c>
      <c r="E9" s="17" t="s">
        <v>45</v>
      </c>
      <c r="F9" s="17" t="s">
        <v>45</v>
      </c>
      <c r="G9" s="11">
        <v>425773</v>
      </c>
      <c r="H9" s="13">
        <f>_xlfn.CHISQ.INV(0.025,2*G9)/2</f>
        <v>424495.04576002725</v>
      </c>
      <c r="I9" s="13">
        <f>_xlfn.CHISQ.INV(0.975,2*(G9-1))/2</f>
        <v>427051.84704367357</v>
      </c>
      <c r="J9" s="17" t="s">
        <v>397</v>
      </c>
      <c r="K9" s="1" t="s">
        <v>391</v>
      </c>
      <c r="L9" s="4" t="s">
        <v>398</v>
      </c>
    </row>
    <row r="10" spans="1:12" s="118" customFormat="1" x14ac:dyDescent="0.2">
      <c r="B10" s="1" t="s">
        <v>85</v>
      </c>
      <c r="C10" s="1" t="s">
        <v>395</v>
      </c>
      <c r="D10" s="1" t="s">
        <v>392</v>
      </c>
      <c r="E10" s="17" t="s">
        <v>45</v>
      </c>
      <c r="F10" s="17" t="s">
        <v>45</v>
      </c>
      <c r="G10" s="11">
        <f>G9/(200.84/100000)</f>
        <v>211996116.31149173</v>
      </c>
      <c r="H10" s="17" t="s">
        <v>45</v>
      </c>
      <c r="I10" s="17" t="s">
        <v>45</v>
      </c>
      <c r="J10" s="17" t="s">
        <v>45</v>
      </c>
      <c r="K10" s="1" t="s">
        <v>391</v>
      </c>
      <c r="L10" s="4" t="s">
        <v>398</v>
      </c>
    </row>
    <row r="11" spans="1:12" x14ac:dyDescent="0.2">
      <c r="B11" s="1" t="s">
        <v>85</v>
      </c>
      <c r="C11" s="1" t="s">
        <v>8</v>
      </c>
      <c r="D11" s="1" t="s">
        <v>547</v>
      </c>
      <c r="E11" s="17" t="s">
        <v>45</v>
      </c>
      <c r="F11" s="17" t="s">
        <v>45</v>
      </c>
      <c r="G11" s="6">
        <v>3.4</v>
      </c>
      <c r="H11" s="6">
        <v>2.4</v>
      </c>
      <c r="I11" s="6">
        <v>4.2</v>
      </c>
      <c r="J11" s="87" t="s">
        <v>4</v>
      </c>
      <c r="K11" s="42" t="s">
        <v>17</v>
      </c>
      <c r="L11" s="4"/>
    </row>
    <row r="12" spans="1:12" x14ac:dyDescent="0.2">
      <c r="B12" s="1" t="s">
        <v>85</v>
      </c>
      <c r="C12" s="1" t="s">
        <v>637</v>
      </c>
      <c r="D12" s="1" t="s">
        <v>622</v>
      </c>
      <c r="E12" s="17" t="s">
        <v>45</v>
      </c>
      <c r="F12" s="17" t="s">
        <v>45</v>
      </c>
      <c r="G12" s="6">
        <v>1</v>
      </c>
      <c r="H12" s="114">
        <f>G12*(1-0.05)</f>
        <v>0.95</v>
      </c>
      <c r="I12" s="114">
        <f>G12*(1+0.05)</f>
        <v>1.05</v>
      </c>
      <c r="J12" s="87" t="s">
        <v>59</v>
      </c>
      <c r="K12" s="42" t="s">
        <v>13</v>
      </c>
      <c r="L12" s="4"/>
    </row>
    <row r="13" spans="1:12" x14ac:dyDescent="0.2">
      <c r="B13" s="1" t="s">
        <v>85</v>
      </c>
      <c r="C13" s="1" t="s">
        <v>402</v>
      </c>
      <c r="D13" s="1" t="s">
        <v>22</v>
      </c>
      <c r="E13" s="17" t="s">
        <v>45</v>
      </c>
      <c r="F13" s="17" t="s">
        <v>45</v>
      </c>
      <c r="G13" s="10">
        <v>5</v>
      </c>
      <c r="H13" s="10">
        <v>1</v>
      </c>
      <c r="I13" s="10">
        <v>12</v>
      </c>
      <c r="J13" s="87" t="s">
        <v>4</v>
      </c>
      <c r="K13" s="37" t="s">
        <v>641</v>
      </c>
      <c r="L13" s="4" t="s">
        <v>10</v>
      </c>
    </row>
    <row r="14" spans="1:12" x14ac:dyDescent="0.2">
      <c r="B14" s="1" t="s">
        <v>85</v>
      </c>
      <c r="C14" s="1" t="s">
        <v>403</v>
      </c>
      <c r="D14" s="1" t="s">
        <v>20</v>
      </c>
      <c r="E14" s="17" t="s">
        <v>45</v>
      </c>
      <c r="F14" s="17" t="s">
        <v>45</v>
      </c>
      <c r="G14" s="10">
        <v>8.5</v>
      </c>
      <c r="H14" s="10">
        <v>7</v>
      </c>
      <c r="I14" s="10">
        <v>10</v>
      </c>
      <c r="J14" s="87" t="s">
        <v>4</v>
      </c>
      <c r="K14" s="37" t="s">
        <v>641</v>
      </c>
      <c r="L14" s="4" t="s">
        <v>11</v>
      </c>
    </row>
    <row r="15" spans="1:12" x14ac:dyDescent="0.2">
      <c r="B15" s="1" t="s">
        <v>85</v>
      </c>
      <c r="C15" s="1" t="s">
        <v>623</v>
      </c>
      <c r="D15" s="1" t="s">
        <v>591</v>
      </c>
      <c r="E15" s="17" t="s">
        <v>45</v>
      </c>
      <c r="F15" s="17" t="s">
        <v>45</v>
      </c>
      <c r="G15" s="6">
        <v>0.52100000000000002</v>
      </c>
      <c r="H15" s="6">
        <v>0.44500000000000001</v>
      </c>
      <c r="I15" s="6">
        <v>0.59699999999999998</v>
      </c>
      <c r="J15" s="87" t="s">
        <v>4</v>
      </c>
      <c r="K15" s="36" t="s">
        <v>16</v>
      </c>
      <c r="L15" s="37"/>
    </row>
    <row r="16" spans="1:12" x14ac:dyDescent="0.2">
      <c r="B16" s="1" t="s">
        <v>85</v>
      </c>
      <c r="C16" s="1" t="s">
        <v>265</v>
      </c>
      <c r="D16" s="1" t="s">
        <v>79</v>
      </c>
      <c r="E16" s="17" t="s">
        <v>45</v>
      </c>
      <c r="F16" s="17" t="s">
        <v>45</v>
      </c>
      <c r="G16" s="17">
        <v>1.7999999999999999E-2</v>
      </c>
      <c r="H16" s="8">
        <f>(1-0.25)*G16</f>
        <v>1.3499999999999998E-2</v>
      </c>
      <c r="I16" s="8">
        <f>(1+0.25)*G16</f>
        <v>2.2499999999999999E-2</v>
      </c>
      <c r="J16" s="18" t="s">
        <v>2</v>
      </c>
      <c r="K16" s="36" t="s">
        <v>52</v>
      </c>
      <c r="L16" s="1" t="s">
        <v>58</v>
      </c>
    </row>
    <row r="17" spans="2:13" x14ac:dyDescent="0.2">
      <c r="B17" s="1" t="s">
        <v>85</v>
      </c>
      <c r="C17" s="1" t="s">
        <v>485</v>
      </c>
      <c r="D17" s="1" t="s">
        <v>486</v>
      </c>
      <c r="E17" s="17" t="s">
        <v>45</v>
      </c>
      <c r="F17" s="17" t="s">
        <v>45</v>
      </c>
      <c r="G17" s="18">
        <f>(84+1)/(7337+84+2)</f>
        <v>1.1450895864205847E-2</v>
      </c>
      <c r="H17" s="7">
        <f>_xlfn.BETA.INV(0.025, 84+1, 7337+84-84+1)</f>
        <v>9.1577628242355009E-3</v>
      </c>
      <c r="I17" s="7">
        <f>_xlfn.BETA.INV(0.975, 84+1, 7337+84-84+1)</f>
        <v>1.3993175955016257E-2</v>
      </c>
      <c r="J17" s="18" t="s">
        <v>2</v>
      </c>
      <c r="K17" s="36" t="s">
        <v>483</v>
      </c>
      <c r="L17" s="5" t="s">
        <v>484</v>
      </c>
      <c r="M17" s="5"/>
    </row>
    <row r="18" spans="2:13" x14ac:dyDescent="0.2">
      <c r="B18" s="1" t="s">
        <v>85</v>
      </c>
      <c r="C18" s="1" t="s">
        <v>490</v>
      </c>
      <c r="D18" s="1" t="s">
        <v>487</v>
      </c>
      <c r="E18" s="17" t="s">
        <v>45</v>
      </c>
      <c r="F18" s="17" t="s">
        <v>45</v>
      </c>
      <c r="G18" s="124">
        <v>250</v>
      </c>
      <c r="H18" s="13">
        <f>_xlfn.CHISQ.INV(0.025,2*G18)/2</f>
        <v>219.96799563093731</v>
      </c>
      <c r="I18" s="13">
        <f>_xlfn.CHISQ.INV(0.975,2*(G18-1))/2</f>
        <v>280.86370020360192</v>
      </c>
      <c r="J18" s="17" t="s">
        <v>397</v>
      </c>
      <c r="K18" s="36" t="s">
        <v>488</v>
      </c>
      <c r="L18" s="37" t="s">
        <v>489</v>
      </c>
      <c r="M18" s="5"/>
    </row>
    <row r="19" spans="2:13" x14ac:dyDescent="0.2">
      <c r="B19" s="1" t="s">
        <v>85</v>
      </c>
      <c r="C19" s="1" t="s">
        <v>491</v>
      </c>
      <c r="D19" s="1" t="s">
        <v>392</v>
      </c>
      <c r="E19" s="17" t="s">
        <v>45</v>
      </c>
      <c r="F19" s="17" t="s">
        <v>45</v>
      </c>
      <c r="G19" s="11">
        <f>+G18*100000/1.2</f>
        <v>20833333.333333336</v>
      </c>
      <c r="H19" s="17" t="s">
        <v>45</v>
      </c>
      <c r="I19" s="17" t="s">
        <v>45</v>
      </c>
      <c r="J19" s="17" t="s">
        <v>45</v>
      </c>
      <c r="K19" s="36" t="s">
        <v>488</v>
      </c>
      <c r="L19" s="37" t="s">
        <v>489</v>
      </c>
      <c r="M19" s="5"/>
    </row>
    <row r="20" spans="2:13" x14ac:dyDescent="0.2">
      <c r="B20" s="1" t="s">
        <v>85</v>
      </c>
      <c r="C20" s="1" t="s">
        <v>632</v>
      </c>
      <c r="D20" s="1" t="s">
        <v>372</v>
      </c>
      <c r="E20" s="17" t="s">
        <v>45</v>
      </c>
      <c r="F20" s="17" t="s">
        <v>45</v>
      </c>
      <c r="G20" s="6">
        <v>0</v>
      </c>
      <c r="H20" s="6">
        <v>0</v>
      </c>
      <c r="I20" s="6">
        <v>5.2999999999999999E-2</v>
      </c>
      <c r="J20" s="87" t="s">
        <v>2</v>
      </c>
      <c r="K20" s="36" t="s">
        <v>12</v>
      </c>
      <c r="L20" s="4" t="s">
        <v>374</v>
      </c>
    </row>
    <row r="21" spans="2:13" x14ac:dyDescent="0.2">
      <c r="B21" s="1" t="s">
        <v>85</v>
      </c>
      <c r="C21" s="1" t="s">
        <v>633</v>
      </c>
      <c r="D21" s="1" t="s">
        <v>373</v>
      </c>
      <c r="E21" s="17" t="s">
        <v>45</v>
      </c>
      <c r="F21" s="17" t="s">
        <v>45</v>
      </c>
      <c r="G21" s="6">
        <v>0.98399999999999999</v>
      </c>
      <c r="H21" s="6">
        <v>0.95299999999999996</v>
      </c>
      <c r="I21" s="6">
        <v>0.997</v>
      </c>
      <c r="J21" s="87" t="s">
        <v>2</v>
      </c>
      <c r="K21" s="36" t="s">
        <v>12</v>
      </c>
      <c r="L21" s="4" t="s">
        <v>374</v>
      </c>
    </row>
    <row r="22" spans="2:13" x14ac:dyDescent="0.2">
      <c r="B22" s="1" t="s">
        <v>85</v>
      </c>
      <c r="C22" s="1" t="s">
        <v>631</v>
      </c>
      <c r="D22" s="1" t="s">
        <v>427</v>
      </c>
      <c r="E22" s="17" t="s">
        <v>45</v>
      </c>
      <c r="F22" s="17" t="s">
        <v>45</v>
      </c>
      <c r="G22" s="6">
        <v>0.84</v>
      </c>
      <c r="H22" s="6">
        <v>0.81699999999999995</v>
      </c>
      <c r="I22" s="6">
        <v>0.85599999999999998</v>
      </c>
      <c r="J22" s="87" t="s">
        <v>2</v>
      </c>
      <c r="K22" s="89" t="s">
        <v>40</v>
      </c>
      <c r="L22" s="4" t="s">
        <v>371</v>
      </c>
    </row>
    <row r="23" spans="2:13" x14ac:dyDescent="0.2">
      <c r="B23" s="1" t="s">
        <v>85</v>
      </c>
      <c r="C23" s="1" t="s">
        <v>634</v>
      </c>
      <c r="D23" s="1" t="s">
        <v>562</v>
      </c>
      <c r="E23" s="17" t="s">
        <v>45</v>
      </c>
      <c r="F23" s="17" t="s">
        <v>45</v>
      </c>
      <c r="G23" s="6">
        <v>0.8</v>
      </c>
      <c r="H23" s="6">
        <v>0.7</v>
      </c>
      <c r="I23" s="6">
        <v>1</v>
      </c>
      <c r="J23" s="87" t="s">
        <v>45</v>
      </c>
      <c r="K23" s="42" t="s">
        <v>13</v>
      </c>
      <c r="L23" s="4"/>
    </row>
    <row r="24" spans="2:13" x14ac:dyDescent="0.2">
      <c r="B24" s="1" t="s">
        <v>85</v>
      </c>
      <c r="C24" s="1" t="s">
        <v>444</v>
      </c>
      <c r="D24" s="1" t="s">
        <v>428</v>
      </c>
      <c r="E24" s="17" t="s">
        <v>45</v>
      </c>
      <c r="F24" s="17" t="s">
        <v>45</v>
      </c>
      <c r="G24" s="18">
        <f>58/3082</f>
        <v>1.8818948734587931E-2</v>
      </c>
      <c r="H24" s="125">
        <f>_xlfn.BETA.INV(0.025, 58, 3082-58+1)</f>
        <v>1.4320247704488179E-2</v>
      </c>
      <c r="I24" s="125">
        <f>_xlfn.BETA.INV(0.975, 58+1, 3082-58)</f>
        <v>2.426066347872291E-2</v>
      </c>
      <c r="J24" s="17" t="s">
        <v>2</v>
      </c>
      <c r="K24" s="42" t="s">
        <v>39</v>
      </c>
      <c r="L24" s="1" t="s">
        <v>425</v>
      </c>
    </row>
    <row r="25" spans="2:13" x14ac:dyDescent="0.2">
      <c r="B25" s="1" t="s">
        <v>85</v>
      </c>
      <c r="C25" s="1" t="s">
        <v>445</v>
      </c>
      <c r="D25" s="1" t="s">
        <v>429</v>
      </c>
      <c r="E25" s="17" t="s">
        <v>45</v>
      </c>
      <c r="F25" s="17" t="s">
        <v>45</v>
      </c>
      <c r="G25" s="18">
        <f>73/2790</f>
        <v>2.6164874551971327E-2</v>
      </c>
      <c r="H25" s="125">
        <f>_xlfn.BETA.INV(0.025, 73, 2790-73+1)</f>
        <v>2.0563875462144107E-2</v>
      </c>
      <c r="I25" s="125">
        <f>_xlfn.BETA.INV(0.975, 73+1, 2790-73)</f>
        <v>3.2787183574374379E-2</v>
      </c>
      <c r="J25" s="17" t="s">
        <v>2</v>
      </c>
      <c r="K25" s="42" t="s">
        <v>40</v>
      </c>
      <c r="L25" s="1" t="s">
        <v>426</v>
      </c>
    </row>
    <row r="26" spans="2:13" x14ac:dyDescent="0.2">
      <c r="B26" s="1" t="s">
        <v>85</v>
      </c>
      <c r="C26" s="1" t="s">
        <v>446</v>
      </c>
      <c r="D26" s="1" t="s">
        <v>430</v>
      </c>
      <c r="E26" s="17" t="s">
        <v>45</v>
      </c>
      <c r="F26" s="17" t="s">
        <v>45</v>
      </c>
      <c r="G26" s="18">
        <f>2/3082</f>
        <v>6.4892926670992858E-4</v>
      </c>
      <c r="H26" s="125">
        <f>_xlfn.BETA.INV(0.025, 2, 3082-2+1)</f>
        <v>7.8598008528805072E-5</v>
      </c>
      <c r="I26" s="125">
        <f>_xlfn.BETA.INV(0.975, 2+1, 3082-2)</f>
        <v>2.3421695392724651E-3</v>
      </c>
      <c r="J26" s="17" t="s">
        <v>2</v>
      </c>
      <c r="K26" s="42" t="s">
        <v>39</v>
      </c>
      <c r="L26" s="1" t="s">
        <v>424</v>
      </c>
    </row>
    <row r="27" spans="2:13" x14ac:dyDescent="0.2">
      <c r="B27" s="1" t="s">
        <v>85</v>
      </c>
      <c r="C27" s="1" t="s">
        <v>447</v>
      </c>
      <c r="D27" s="1" t="s">
        <v>431</v>
      </c>
      <c r="E27" s="17" t="s">
        <v>45</v>
      </c>
      <c r="F27" s="17" t="s">
        <v>45</v>
      </c>
      <c r="G27" s="18">
        <f>(23-1)/2790</f>
        <v>7.8853046594982087E-3</v>
      </c>
      <c r="H27" s="125">
        <f>_xlfn.BETA.INV(0.025, 23-1, 2790-(23-1)+1)</f>
        <v>4.9480847825384118E-3</v>
      </c>
      <c r="I27" s="125">
        <f>_xlfn.BETA.INV(0.975, 73+1, 2790-73)</f>
        <v>3.2787183574374379E-2</v>
      </c>
      <c r="J27" s="17" t="s">
        <v>2</v>
      </c>
      <c r="K27" s="42" t="s">
        <v>40</v>
      </c>
      <c r="L27" s="1" t="s">
        <v>425</v>
      </c>
    </row>
    <row r="28" spans="2:13" ht="15" customHeight="1" x14ac:dyDescent="0.2">
      <c r="B28" s="1" t="s">
        <v>85</v>
      </c>
      <c r="C28" s="1" t="s">
        <v>627</v>
      </c>
      <c r="D28" s="1" t="s">
        <v>630</v>
      </c>
      <c r="E28" s="17" t="s">
        <v>45</v>
      </c>
      <c r="F28" s="17" t="s">
        <v>45</v>
      </c>
      <c r="G28" s="126">
        <v>0.55000000000000004</v>
      </c>
      <c r="H28" s="126">
        <v>0.51</v>
      </c>
      <c r="I28" s="126">
        <v>0.7</v>
      </c>
      <c r="J28" s="87" t="s">
        <v>59</v>
      </c>
      <c r="K28" s="1" t="s">
        <v>13</v>
      </c>
      <c r="L28" s="121" t="s">
        <v>629</v>
      </c>
    </row>
    <row r="29" spans="2:13" s="91" customFormat="1" x14ac:dyDescent="0.2">
      <c r="B29" s="91" t="s">
        <v>85</v>
      </c>
      <c r="C29" s="91" t="s">
        <v>626</v>
      </c>
      <c r="D29" s="91" t="s">
        <v>628</v>
      </c>
      <c r="E29" s="211" t="s">
        <v>45</v>
      </c>
      <c r="F29" s="211" t="s">
        <v>45</v>
      </c>
      <c r="G29" s="212">
        <v>0.6</v>
      </c>
      <c r="H29" s="212">
        <v>0.4</v>
      </c>
      <c r="I29" s="212">
        <v>0.75</v>
      </c>
      <c r="J29" s="213" t="s">
        <v>59</v>
      </c>
      <c r="K29" s="91" t="s">
        <v>13</v>
      </c>
    </row>
    <row r="30" spans="2:13" s="91" customFormat="1" x14ac:dyDescent="0.2">
      <c r="B30" s="91" t="s">
        <v>85</v>
      </c>
      <c r="C30" s="91" t="s">
        <v>638</v>
      </c>
      <c r="D30" s="91" t="s">
        <v>639</v>
      </c>
      <c r="E30" s="211" t="s">
        <v>45</v>
      </c>
      <c r="F30" s="211" t="s">
        <v>45</v>
      </c>
      <c r="G30" s="212">
        <v>1</v>
      </c>
      <c r="H30" s="212">
        <v>0.5</v>
      </c>
      <c r="I30" s="212">
        <v>1.5</v>
      </c>
      <c r="J30" s="213" t="s">
        <v>59</v>
      </c>
      <c r="K30" s="91" t="s">
        <v>13</v>
      </c>
    </row>
    <row r="31" spans="2:13" x14ac:dyDescent="0.2">
      <c r="B31" s="1" t="s">
        <v>85</v>
      </c>
      <c r="C31" s="1" t="s">
        <v>624</v>
      </c>
      <c r="D31" s="1" t="s">
        <v>625</v>
      </c>
      <c r="E31" s="17" t="s">
        <v>45</v>
      </c>
      <c r="F31" s="17" t="s">
        <v>45</v>
      </c>
      <c r="G31" s="126">
        <v>1</v>
      </c>
      <c r="H31" s="7">
        <v>0.5</v>
      </c>
      <c r="I31" s="7">
        <v>1.2</v>
      </c>
      <c r="J31" s="87" t="s">
        <v>59</v>
      </c>
      <c r="K31" s="42" t="s">
        <v>13</v>
      </c>
      <c r="L31" s="4"/>
      <c r="M31" s="5"/>
    </row>
    <row r="32" spans="2:13" x14ac:dyDescent="0.2">
      <c r="B32" s="1" t="s">
        <v>85</v>
      </c>
      <c r="C32" s="1" t="s">
        <v>618</v>
      </c>
      <c r="D32" s="1" t="s">
        <v>381</v>
      </c>
      <c r="E32" s="17" t="s">
        <v>45</v>
      </c>
      <c r="F32" s="17" t="s">
        <v>45</v>
      </c>
      <c r="G32" s="214">
        <v>2.6401609999999999E-5</v>
      </c>
      <c r="H32" s="214">
        <v>0</v>
      </c>
      <c r="I32" s="214">
        <v>6.9434430000000003E-5</v>
      </c>
      <c r="J32" s="87" t="s">
        <v>367</v>
      </c>
      <c r="K32" s="4" t="s">
        <v>382</v>
      </c>
      <c r="L32" s="4" t="s">
        <v>412</v>
      </c>
    </row>
    <row r="33" spans="1:14" x14ac:dyDescent="0.2">
      <c r="B33" s="1" t="s">
        <v>85</v>
      </c>
      <c r="C33" s="1" t="s">
        <v>619</v>
      </c>
      <c r="D33" s="1" t="s">
        <v>396</v>
      </c>
      <c r="E33" s="17" t="s">
        <v>45</v>
      </c>
      <c r="F33" s="17" t="s">
        <v>45</v>
      </c>
      <c r="G33" s="214">
        <v>8.2986819999999995E-4</v>
      </c>
      <c r="H33" s="214">
        <v>6.7953079999999997E-4</v>
      </c>
      <c r="I33" s="214">
        <v>9.955331999999999E-4</v>
      </c>
      <c r="J33" s="87" t="s">
        <v>367</v>
      </c>
      <c r="K33" s="4" t="s">
        <v>496</v>
      </c>
      <c r="L33" s="4" t="s">
        <v>412</v>
      </c>
    </row>
    <row r="34" spans="1:14" x14ac:dyDescent="0.2">
      <c r="B34" s="1" t="s">
        <v>85</v>
      </c>
      <c r="C34" s="1" t="s">
        <v>404</v>
      </c>
      <c r="D34" s="1" t="s">
        <v>27</v>
      </c>
      <c r="E34" s="17" t="s">
        <v>45</v>
      </c>
      <c r="F34" s="17" t="s">
        <v>45</v>
      </c>
      <c r="G34" s="11">
        <v>365</v>
      </c>
      <c r="H34" s="13">
        <f>(1/3)*G34</f>
        <v>121.66666666666666</v>
      </c>
      <c r="I34" s="13">
        <f>2*G34</f>
        <v>730</v>
      </c>
      <c r="J34" s="87" t="s">
        <v>4</v>
      </c>
      <c r="K34" s="36" t="s">
        <v>14</v>
      </c>
      <c r="L34" s="4" t="s">
        <v>15</v>
      </c>
    </row>
    <row r="35" spans="1:14" s="50" customFormat="1" x14ac:dyDescent="0.2">
      <c r="A35" s="1"/>
      <c r="B35" s="50" t="s">
        <v>84</v>
      </c>
      <c r="D35" s="46" t="s">
        <v>84</v>
      </c>
      <c r="E35" s="51"/>
      <c r="F35" s="51"/>
      <c r="G35" s="52"/>
      <c r="H35" s="52"/>
      <c r="I35" s="52"/>
      <c r="J35" s="51"/>
      <c r="K35" s="53"/>
    </row>
    <row r="36" spans="1:14" x14ac:dyDescent="0.2">
      <c r="B36" s="1" t="s">
        <v>84</v>
      </c>
      <c r="C36" s="1" t="s">
        <v>177</v>
      </c>
      <c r="D36" s="1" t="s">
        <v>28</v>
      </c>
      <c r="E36" s="17" t="s">
        <v>45</v>
      </c>
      <c r="F36" s="17" t="s">
        <v>45</v>
      </c>
      <c r="G36" s="18">
        <v>0.82399999999999995</v>
      </c>
      <c r="H36" s="22">
        <f>G36 - _xlfn.T.INV.2T(0.05, 5774-1) * (0.172 / SQRT(5774))</f>
        <v>0.81956259353910532</v>
      </c>
      <c r="I36" s="22">
        <f>G36 + _xlfn.T.INV.2T(0.05, 5774-1) * (0.172 / SQRT(5774))</f>
        <v>0.82843740646089459</v>
      </c>
      <c r="J36" s="17" t="s">
        <v>2</v>
      </c>
      <c r="K36" s="42" t="s">
        <v>34</v>
      </c>
    </row>
    <row r="37" spans="1:14" x14ac:dyDescent="0.2">
      <c r="B37" s="1" t="s">
        <v>84</v>
      </c>
      <c r="C37" s="1" t="s">
        <v>179</v>
      </c>
      <c r="D37" s="1" t="s">
        <v>33</v>
      </c>
      <c r="E37" s="17" t="s">
        <v>45</v>
      </c>
      <c r="F37" s="17" t="s">
        <v>45</v>
      </c>
      <c r="G37" s="18">
        <v>0</v>
      </c>
      <c r="H37" s="17" t="s">
        <v>45</v>
      </c>
      <c r="I37" s="17" t="s">
        <v>45</v>
      </c>
      <c r="J37" s="17" t="s">
        <v>45</v>
      </c>
      <c r="K37" s="1" t="s">
        <v>13</v>
      </c>
    </row>
    <row r="38" spans="1:14" x14ac:dyDescent="0.2">
      <c r="B38" s="1" t="s">
        <v>84</v>
      </c>
      <c r="C38" s="1" t="s">
        <v>180</v>
      </c>
      <c r="D38" s="1" t="s">
        <v>546</v>
      </c>
      <c r="E38" s="17" t="s">
        <v>45</v>
      </c>
      <c r="F38" s="17" t="s">
        <v>45</v>
      </c>
      <c r="G38" s="18">
        <f>0.803</f>
        <v>0.80300000000000005</v>
      </c>
      <c r="H38" s="18">
        <f>0.72</f>
        <v>0.72</v>
      </c>
      <c r="I38" s="18">
        <f>0.875</f>
        <v>0.875</v>
      </c>
      <c r="J38" s="17" t="s">
        <v>2</v>
      </c>
      <c r="K38" s="42" t="s">
        <v>36</v>
      </c>
      <c r="L38" s="1" t="s">
        <v>37</v>
      </c>
    </row>
    <row r="39" spans="1:14" x14ac:dyDescent="0.2">
      <c r="B39" s="1" t="s">
        <v>84</v>
      </c>
      <c r="C39" s="1" t="s">
        <v>181</v>
      </c>
      <c r="D39" s="1" t="s">
        <v>545</v>
      </c>
      <c r="E39" s="17" t="s">
        <v>45</v>
      </c>
      <c r="F39" s="17" t="s">
        <v>45</v>
      </c>
      <c r="G39" s="18">
        <f>0.85</f>
        <v>0.85</v>
      </c>
      <c r="H39" s="22">
        <f>MAX((1-0.25)*G39, 0)</f>
        <v>0.63749999999999996</v>
      </c>
      <c r="I39" s="22">
        <f>MIN(1, (1+0.25)*G39)</f>
        <v>1</v>
      </c>
      <c r="J39" s="17" t="s">
        <v>2</v>
      </c>
      <c r="K39" s="1" t="s">
        <v>13</v>
      </c>
      <c r="L39" s="1" t="s">
        <v>35</v>
      </c>
    </row>
    <row r="40" spans="1:14" x14ac:dyDescent="0.2">
      <c r="B40" s="1" t="s">
        <v>84</v>
      </c>
      <c r="C40" s="1" t="s">
        <v>182</v>
      </c>
      <c r="D40" s="1" t="s">
        <v>544</v>
      </c>
      <c r="E40" s="17" t="s">
        <v>45</v>
      </c>
      <c r="F40" s="17" t="s">
        <v>45</v>
      </c>
      <c r="G40" s="18">
        <f>0.6</f>
        <v>0.6</v>
      </c>
      <c r="H40" s="18">
        <f>G40-((0.19)/SQRT(315))*_xlfn.T.INV.2T(0.05, 315-1)</f>
        <v>0.57893683676003582</v>
      </c>
      <c r="I40" s="18">
        <f>G40+((0.19)/SQRT(315))*_xlfn.T.INV.2T(0.05, 315-1)</f>
        <v>0.62106316323996413</v>
      </c>
      <c r="J40" s="17" t="s">
        <v>2</v>
      </c>
      <c r="K40" s="42" t="s">
        <v>38</v>
      </c>
      <c r="L40" s="1" t="s">
        <v>41</v>
      </c>
    </row>
    <row r="41" spans="1:14" x14ac:dyDescent="0.2">
      <c r="B41" s="1" t="s">
        <v>84</v>
      </c>
      <c r="C41" s="1" t="s">
        <v>422</v>
      </c>
      <c r="D41" s="1" t="s">
        <v>538</v>
      </c>
      <c r="E41" s="17" t="s">
        <v>45</v>
      </c>
      <c r="F41" s="17" t="s">
        <v>45</v>
      </c>
      <c r="G41" s="6">
        <v>0.63</v>
      </c>
      <c r="H41" s="115">
        <v>0.19</v>
      </c>
      <c r="I41" s="6">
        <v>0.91</v>
      </c>
      <c r="J41" s="87" t="s">
        <v>59</v>
      </c>
      <c r="K41" s="16" t="s">
        <v>420</v>
      </c>
      <c r="L41" s="2" t="s">
        <v>417</v>
      </c>
      <c r="M41" s="1" t="s">
        <v>539</v>
      </c>
    </row>
    <row r="42" spans="1:14" ht="19" customHeight="1" x14ac:dyDescent="0.2">
      <c r="B42" s="1" t="s">
        <v>84</v>
      </c>
      <c r="C42" s="1" t="s">
        <v>421</v>
      </c>
      <c r="D42" s="1" t="s">
        <v>540</v>
      </c>
      <c r="E42" s="17" t="s">
        <v>45</v>
      </c>
      <c r="F42" s="17" t="s">
        <v>45</v>
      </c>
      <c r="G42" s="18">
        <v>2E-3</v>
      </c>
      <c r="H42" s="18">
        <v>0</v>
      </c>
      <c r="I42" s="17">
        <v>5.2999999999999999E-2</v>
      </c>
      <c r="J42" s="17" t="s">
        <v>59</v>
      </c>
      <c r="K42" s="1" t="s">
        <v>497</v>
      </c>
      <c r="L42" s="2" t="s">
        <v>417</v>
      </c>
      <c r="M42" s="121" t="s">
        <v>541</v>
      </c>
    </row>
    <row r="43" spans="1:14" ht="18" customHeight="1" x14ac:dyDescent="0.2">
      <c r="B43" s="1" t="s">
        <v>84</v>
      </c>
      <c r="C43" s="1" t="s">
        <v>423</v>
      </c>
      <c r="D43" s="1" t="s">
        <v>543</v>
      </c>
      <c r="E43" s="17" t="s">
        <v>45</v>
      </c>
      <c r="F43" s="17" t="s">
        <v>45</v>
      </c>
      <c r="G43" s="18">
        <v>7.5999999999999998E-2</v>
      </c>
      <c r="H43" s="17">
        <v>5.3999999999999999E-2</v>
      </c>
      <c r="I43" s="18">
        <v>1</v>
      </c>
      <c r="J43" s="17" t="s">
        <v>59</v>
      </c>
      <c r="K43" s="1" t="s">
        <v>498</v>
      </c>
      <c r="L43" s="1" t="s">
        <v>417</v>
      </c>
      <c r="M43" s="121" t="s">
        <v>450</v>
      </c>
      <c r="N43" s="1" t="s">
        <v>542</v>
      </c>
    </row>
    <row r="44" spans="1:14" s="46" customFormat="1" x14ac:dyDescent="0.2">
      <c r="A44" s="118"/>
      <c r="B44" s="46" t="s">
        <v>67</v>
      </c>
      <c r="D44" s="46" t="s">
        <v>67</v>
      </c>
      <c r="E44" s="47"/>
      <c r="F44" s="47"/>
      <c r="G44" s="48"/>
      <c r="H44" s="48"/>
      <c r="I44" s="48"/>
      <c r="J44" s="47"/>
      <c r="K44" s="49"/>
    </row>
    <row r="45" spans="1:14" s="23" customFormat="1" x14ac:dyDescent="0.2">
      <c r="A45" s="1"/>
      <c r="B45" s="23" t="s">
        <v>67</v>
      </c>
      <c r="D45" s="24" t="s">
        <v>86</v>
      </c>
      <c r="E45" s="27"/>
      <c r="F45" s="27"/>
      <c r="G45" s="209"/>
      <c r="H45" s="28">
        <f>G49/G48</f>
        <v>1.25</v>
      </c>
      <c r="I45" s="28"/>
      <c r="J45" s="27"/>
      <c r="K45" s="29"/>
    </row>
    <row r="46" spans="1:14" x14ac:dyDescent="0.2">
      <c r="B46" s="1" t="s">
        <v>67</v>
      </c>
      <c r="C46" s="1" t="s">
        <v>531</v>
      </c>
      <c r="D46" s="1" t="s">
        <v>558</v>
      </c>
      <c r="E46" s="17" t="s">
        <v>77</v>
      </c>
      <c r="F46" s="17">
        <v>2025</v>
      </c>
      <c r="G46" s="9">
        <f>chiqx_price!$I$10</f>
        <v>929.12</v>
      </c>
      <c r="H46" s="9">
        <f>chiqx_price!$I$9</f>
        <v>761.88</v>
      </c>
      <c r="I46" s="9">
        <f>chiqx_price!$I$11</f>
        <v>989.45</v>
      </c>
      <c r="J46" s="17" t="s">
        <v>4</v>
      </c>
      <c r="K46" s="92" t="s">
        <v>533</v>
      </c>
      <c r="L46" s="92" t="s">
        <v>534</v>
      </c>
      <c r="M46" s="92" t="s">
        <v>50</v>
      </c>
    </row>
    <row r="47" spans="1:14" x14ac:dyDescent="0.2">
      <c r="B47" s="1" t="s">
        <v>67</v>
      </c>
      <c r="C47" s="1" t="s">
        <v>532</v>
      </c>
      <c r="D47" s="1" t="s">
        <v>559</v>
      </c>
      <c r="E47" s="17" t="s">
        <v>77</v>
      </c>
      <c r="F47" s="17">
        <v>2025</v>
      </c>
      <c r="G47" s="9">
        <f>chiqx_price!$J$10</f>
        <v>1246.3800000000001</v>
      </c>
      <c r="H47" s="9">
        <f>chiqx_price!$J$9</f>
        <v>1022.03</v>
      </c>
      <c r="I47" s="9">
        <f>chiqx_price!$J$11</f>
        <v>1327.31</v>
      </c>
      <c r="J47" s="17" t="s">
        <v>4</v>
      </c>
      <c r="K47" s="92" t="s">
        <v>533</v>
      </c>
      <c r="L47" s="92" t="s">
        <v>534</v>
      </c>
      <c r="M47" s="92" t="s">
        <v>50</v>
      </c>
    </row>
    <row r="48" spans="1:14" x14ac:dyDescent="0.2">
      <c r="B48" s="1" t="s">
        <v>67</v>
      </c>
      <c r="C48" s="1" t="s">
        <v>611</v>
      </c>
      <c r="D48" s="1" t="s">
        <v>610</v>
      </c>
      <c r="E48" s="17" t="s">
        <v>73</v>
      </c>
      <c r="F48" s="17">
        <v>2025</v>
      </c>
      <c r="G48" s="9">
        <v>209</v>
      </c>
      <c r="H48" s="9">
        <v>160</v>
      </c>
      <c r="I48" s="9">
        <v>275</v>
      </c>
      <c r="J48" s="17" t="s">
        <v>612</v>
      </c>
      <c r="K48" s="202" t="s">
        <v>417</v>
      </c>
      <c r="L48" s="92"/>
      <c r="M48" s="92"/>
    </row>
    <row r="49" spans="1:13" x14ac:dyDescent="0.2">
      <c r="B49" s="1" t="s">
        <v>67</v>
      </c>
      <c r="C49" s="1" t="s">
        <v>613</v>
      </c>
      <c r="D49" s="1" t="s">
        <v>614</v>
      </c>
      <c r="E49" s="17" t="s">
        <v>73</v>
      </c>
      <c r="F49" s="17">
        <v>2025</v>
      </c>
      <c r="G49" s="9">
        <f>+(G48/I48)*I49</f>
        <v>261.25</v>
      </c>
      <c r="H49" s="9">
        <f>+(H48/I48)*I49</f>
        <v>200</v>
      </c>
      <c r="I49" s="9">
        <v>343.75</v>
      </c>
      <c r="J49" s="17" t="s">
        <v>612</v>
      </c>
      <c r="K49" s="202" t="s">
        <v>615</v>
      </c>
      <c r="L49" s="92"/>
      <c r="M49" s="92"/>
    </row>
    <row r="50" spans="1:13" x14ac:dyDescent="0.2">
      <c r="B50" s="1" t="s">
        <v>67</v>
      </c>
      <c r="C50" s="1" t="s">
        <v>635</v>
      </c>
      <c r="D50" s="1" t="s">
        <v>636</v>
      </c>
      <c r="E50" s="17" t="s">
        <v>45</v>
      </c>
      <c r="F50" s="17" t="s">
        <v>45</v>
      </c>
      <c r="G50" s="18">
        <v>0.5</v>
      </c>
      <c r="H50" s="9">
        <v>0</v>
      </c>
      <c r="I50" s="9">
        <v>0.75</v>
      </c>
      <c r="J50" s="17" t="s">
        <v>59</v>
      </c>
      <c r="K50" s="1" t="s">
        <v>47</v>
      </c>
      <c r="L50" s="1" t="s">
        <v>585</v>
      </c>
      <c r="M50" s="92"/>
    </row>
    <row r="51" spans="1:13" x14ac:dyDescent="0.2">
      <c r="B51" s="1" t="s">
        <v>67</v>
      </c>
      <c r="C51" s="1" t="s">
        <v>327</v>
      </c>
      <c r="D51" s="1" t="s">
        <v>68</v>
      </c>
      <c r="E51" s="17" t="s">
        <v>45</v>
      </c>
      <c r="F51" s="17" t="s">
        <v>45</v>
      </c>
      <c r="G51" s="19">
        <v>0.1</v>
      </c>
      <c r="H51" s="19">
        <v>0.05</v>
      </c>
      <c r="I51" s="19">
        <v>0.15</v>
      </c>
      <c r="J51" s="17" t="s">
        <v>59</v>
      </c>
      <c r="K51" s="36" t="s">
        <v>60</v>
      </c>
      <c r="L51" s="1" t="s">
        <v>61</v>
      </c>
    </row>
    <row r="52" spans="1:13" s="14" customFormat="1" x14ac:dyDescent="0.2">
      <c r="A52" s="1"/>
      <c r="B52" s="14" t="s">
        <v>67</v>
      </c>
      <c r="C52" s="14" t="s">
        <v>176</v>
      </c>
      <c r="D52" s="14" t="s">
        <v>62</v>
      </c>
      <c r="E52" s="21" t="s">
        <v>77</v>
      </c>
      <c r="F52" s="21">
        <v>2016</v>
      </c>
      <c r="G52" s="88">
        <v>7.3</v>
      </c>
      <c r="H52" s="93">
        <f>(1-0.25)*G52</f>
        <v>5.4749999999999996</v>
      </c>
      <c r="I52" s="93">
        <f>(1+0.25)*G52</f>
        <v>9.125</v>
      </c>
      <c r="J52" s="21" t="s">
        <v>4</v>
      </c>
      <c r="K52" s="89" t="s">
        <v>60</v>
      </c>
      <c r="L52" s="14" t="s">
        <v>63</v>
      </c>
    </row>
    <row r="53" spans="1:13" s="23" customFormat="1" x14ac:dyDescent="0.2">
      <c r="A53" s="1"/>
      <c r="B53" s="23" t="s">
        <v>67</v>
      </c>
      <c r="D53" s="24" t="s">
        <v>87</v>
      </c>
      <c r="E53" s="30"/>
      <c r="F53" s="30"/>
      <c r="G53" s="26"/>
      <c r="H53" s="26"/>
      <c r="I53" s="26"/>
      <c r="J53" s="27"/>
    </row>
    <row r="54" spans="1:13" x14ac:dyDescent="0.2">
      <c r="B54" s="1" t="s">
        <v>67</v>
      </c>
      <c r="C54" s="1" t="s">
        <v>264</v>
      </c>
      <c r="D54" s="1" t="s">
        <v>72</v>
      </c>
      <c r="E54" s="17" t="s">
        <v>45</v>
      </c>
      <c r="F54" s="17" t="s">
        <v>45</v>
      </c>
      <c r="G54" s="9">
        <v>10.85</v>
      </c>
      <c r="H54" s="119">
        <f t="shared" ref="H54:H58" si="0">(1-0.25)*G54</f>
        <v>8.1374999999999993</v>
      </c>
      <c r="I54" s="119">
        <f t="shared" ref="I54:I58" si="1">(1+0.25)*G54</f>
        <v>13.5625</v>
      </c>
      <c r="J54" s="17" t="s">
        <v>4</v>
      </c>
      <c r="K54" s="36" t="s">
        <v>52</v>
      </c>
      <c r="L54" s="1" t="s">
        <v>56</v>
      </c>
    </row>
    <row r="55" spans="1:13" x14ac:dyDescent="0.2">
      <c r="B55" s="1" t="s">
        <v>67</v>
      </c>
      <c r="C55" s="1" t="s">
        <v>266</v>
      </c>
      <c r="D55" s="1" t="s">
        <v>74</v>
      </c>
      <c r="E55" s="17" t="s">
        <v>45</v>
      </c>
      <c r="F55" s="17" t="s">
        <v>45</v>
      </c>
      <c r="G55" s="19">
        <v>0.75</v>
      </c>
      <c r="H55" s="119">
        <f t="shared" si="0"/>
        <v>0.5625</v>
      </c>
      <c r="I55" s="119">
        <f t="shared" si="1"/>
        <v>0.9375</v>
      </c>
      <c r="J55" s="18" t="s">
        <v>2</v>
      </c>
      <c r="K55" s="36" t="s">
        <v>75</v>
      </c>
      <c r="L55" s="37" t="s">
        <v>417</v>
      </c>
      <c r="M55" s="1" t="s">
        <v>499</v>
      </c>
    </row>
    <row r="56" spans="1:13" x14ac:dyDescent="0.2">
      <c r="B56" s="1" t="s">
        <v>67</v>
      </c>
      <c r="C56" s="1" t="s">
        <v>267</v>
      </c>
      <c r="D56" s="1" t="s">
        <v>76</v>
      </c>
      <c r="E56" s="17" t="s">
        <v>77</v>
      </c>
      <c r="F56" s="17">
        <v>2019</v>
      </c>
      <c r="G56" s="11">
        <v>347.37</v>
      </c>
      <c r="H56" s="134">
        <f t="shared" si="0"/>
        <v>260.52750000000003</v>
      </c>
      <c r="I56" s="134">
        <f t="shared" si="1"/>
        <v>434.21249999999998</v>
      </c>
      <c r="J56" s="17" t="s">
        <v>4</v>
      </c>
      <c r="K56" s="3" t="s">
        <v>53</v>
      </c>
    </row>
    <row r="57" spans="1:13" x14ac:dyDescent="0.2">
      <c r="B57" s="1" t="s">
        <v>67</v>
      </c>
      <c r="C57" s="1" t="s">
        <v>268</v>
      </c>
      <c r="D57" s="1" t="s">
        <v>78</v>
      </c>
      <c r="E57" s="17" t="s">
        <v>77</v>
      </c>
      <c r="F57" s="17">
        <v>2019</v>
      </c>
      <c r="G57" s="11">
        <v>2474.0500000000002</v>
      </c>
      <c r="H57" s="134">
        <f t="shared" si="0"/>
        <v>1855.5375000000001</v>
      </c>
      <c r="I57" s="134">
        <f t="shared" si="1"/>
        <v>3092.5625</v>
      </c>
      <c r="J57" s="17" t="s">
        <v>4</v>
      </c>
      <c r="K57" s="3" t="s">
        <v>53</v>
      </c>
    </row>
    <row r="58" spans="1:13" s="14" customFormat="1" ht="17" customHeight="1" x14ac:dyDescent="0.2">
      <c r="A58" s="1"/>
      <c r="B58" s="14" t="s">
        <v>67</v>
      </c>
      <c r="C58" s="14" t="s">
        <v>269</v>
      </c>
      <c r="D58" s="14" t="s">
        <v>270</v>
      </c>
      <c r="E58" s="21" t="s">
        <v>77</v>
      </c>
      <c r="F58" s="21">
        <v>2019</v>
      </c>
      <c r="G58" s="41">
        <v>23.17</v>
      </c>
      <c r="H58" s="41">
        <f t="shared" si="0"/>
        <v>17.377500000000001</v>
      </c>
      <c r="I58" s="41">
        <f t="shared" si="1"/>
        <v>28.962500000000002</v>
      </c>
      <c r="J58" s="21" t="s">
        <v>4</v>
      </c>
      <c r="K58" s="127" t="s">
        <v>53</v>
      </c>
      <c r="L58" s="123"/>
    </row>
    <row r="59" spans="1:13" s="23" customFormat="1" x14ac:dyDescent="0.2">
      <c r="A59" s="1"/>
      <c r="B59" s="23" t="s">
        <v>67</v>
      </c>
      <c r="D59" s="43" t="s">
        <v>107</v>
      </c>
      <c r="E59" s="27"/>
      <c r="F59" s="27"/>
      <c r="G59" s="44"/>
      <c r="H59" s="44"/>
      <c r="I59" s="44"/>
      <c r="J59" s="27"/>
      <c r="K59" s="45"/>
      <c r="L59" s="45"/>
    </row>
    <row r="60" spans="1:13" x14ac:dyDescent="0.2">
      <c r="B60" s="1" t="s">
        <v>67</v>
      </c>
      <c r="C60" s="1" t="s">
        <v>272</v>
      </c>
      <c r="D60" s="1" t="s">
        <v>104</v>
      </c>
      <c r="E60" s="17" t="s">
        <v>45</v>
      </c>
      <c r="F60" s="17">
        <v>2019</v>
      </c>
      <c r="G60" s="11">
        <v>38830</v>
      </c>
      <c r="H60" s="13">
        <f t="shared" ref="H60" si="2">(1-0.25)*G60</f>
        <v>29122.5</v>
      </c>
      <c r="I60" s="13">
        <f t="shared" ref="I60" si="3">(1+0.25)*G60</f>
        <v>48537.5</v>
      </c>
      <c r="J60" s="17" t="s">
        <v>4</v>
      </c>
      <c r="K60" s="36" t="s">
        <v>53</v>
      </c>
      <c r="L60" s="36"/>
    </row>
    <row r="61" spans="1:13" x14ac:dyDescent="0.2">
      <c r="B61" s="1" t="s">
        <v>67</v>
      </c>
      <c r="C61" s="1" t="s">
        <v>274</v>
      </c>
      <c r="D61" s="1" t="s">
        <v>94</v>
      </c>
      <c r="E61" s="17" t="s">
        <v>45</v>
      </c>
      <c r="F61" s="17" t="s">
        <v>45</v>
      </c>
      <c r="G61" s="11">
        <v>2</v>
      </c>
      <c r="H61" s="20" t="s">
        <v>45</v>
      </c>
      <c r="I61" s="20" t="s">
        <v>45</v>
      </c>
      <c r="J61" s="17" t="s">
        <v>45</v>
      </c>
      <c r="K61" s="36" t="s">
        <v>13</v>
      </c>
      <c r="L61" s="36" t="s">
        <v>95</v>
      </c>
    </row>
    <row r="62" spans="1:13" x14ac:dyDescent="0.2">
      <c r="B62" s="1" t="s">
        <v>67</v>
      </c>
      <c r="C62" s="1" t="s">
        <v>277</v>
      </c>
      <c r="D62" s="1" t="s">
        <v>105</v>
      </c>
      <c r="E62" s="17" t="s">
        <v>45</v>
      </c>
      <c r="F62" s="17" t="s">
        <v>45</v>
      </c>
      <c r="G62" s="9">
        <v>0.47</v>
      </c>
      <c r="H62" s="12">
        <f>(1-0.25)*G62</f>
        <v>0.35249999999999998</v>
      </c>
      <c r="I62" s="12">
        <f>(1+0.25)*G62</f>
        <v>0.58749999999999991</v>
      </c>
      <c r="J62" s="17" t="s">
        <v>2</v>
      </c>
      <c r="K62" s="36" t="s">
        <v>103</v>
      </c>
      <c r="L62" s="36"/>
    </row>
    <row r="63" spans="1:13" x14ac:dyDescent="0.2">
      <c r="B63" s="1" t="s">
        <v>67</v>
      </c>
      <c r="C63" s="1" t="s">
        <v>280</v>
      </c>
      <c r="D63" s="1" t="s">
        <v>98</v>
      </c>
      <c r="E63" s="17" t="s">
        <v>45</v>
      </c>
      <c r="F63" s="17" t="s">
        <v>45</v>
      </c>
      <c r="G63" s="11">
        <v>7</v>
      </c>
      <c r="H63" s="20" t="s">
        <v>45</v>
      </c>
      <c r="I63" s="20" t="s">
        <v>45</v>
      </c>
      <c r="J63" s="17" t="s">
        <v>45</v>
      </c>
      <c r="K63" s="36" t="s">
        <v>53</v>
      </c>
      <c r="L63" s="36"/>
    </row>
    <row r="64" spans="1:13" x14ac:dyDescent="0.2">
      <c r="B64" s="1" t="s">
        <v>67</v>
      </c>
      <c r="C64" s="1" t="s">
        <v>281</v>
      </c>
      <c r="D64" t="s">
        <v>96</v>
      </c>
      <c r="E64" s="17" t="s">
        <v>77</v>
      </c>
      <c r="F64" s="17">
        <v>2019</v>
      </c>
      <c r="G64" s="9">
        <v>4.33</v>
      </c>
      <c r="H64" s="12">
        <f t="shared" ref="H64:H65" si="4">(1-0.25)*G64</f>
        <v>3.2475000000000001</v>
      </c>
      <c r="I64" s="12">
        <f t="shared" ref="I64:I65" si="5">(1+0.25)*G64</f>
        <v>5.4124999999999996</v>
      </c>
      <c r="J64" s="17" t="s">
        <v>4</v>
      </c>
      <c r="K64" s="36" t="s">
        <v>53</v>
      </c>
      <c r="L64" s="36"/>
    </row>
    <row r="65" spans="1:12" x14ac:dyDescent="0.2">
      <c r="B65" s="1" t="s">
        <v>67</v>
      </c>
      <c r="C65" s="1" t="s">
        <v>282</v>
      </c>
      <c r="D65" t="s">
        <v>97</v>
      </c>
      <c r="E65" s="17" t="s">
        <v>77</v>
      </c>
      <c r="F65" s="17">
        <v>2019</v>
      </c>
      <c r="G65" s="9">
        <v>1.1299999999999999</v>
      </c>
      <c r="H65" s="12">
        <f t="shared" si="4"/>
        <v>0.84749999999999992</v>
      </c>
      <c r="I65" s="12">
        <f t="shared" si="5"/>
        <v>1.4124999999999999</v>
      </c>
      <c r="J65" s="17" t="s">
        <v>4</v>
      </c>
      <c r="K65" s="36" t="s">
        <v>53</v>
      </c>
      <c r="L65" s="36"/>
    </row>
    <row r="66" spans="1:12" x14ac:dyDescent="0.2">
      <c r="B66" s="1" t="s">
        <v>67</v>
      </c>
      <c r="C66" s="1" t="s">
        <v>283</v>
      </c>
      <c r="D66" s="1" t="s">
        <v>99</v>
      </c>
      <c r="E66" s="17" t="s">
        <v>45</v>
      </c>
      <c r="F66" s="17" t="s">
        <v>45</v>
      </c>
      <c r="G66" s="11">
        <v>7</v>
      </c>
      <c r="H66" s="20" t="s">
        <v>45</v>
      </c>
      <c r="I66" s="20" t="s">
        <v>45</v>
      </c>
      <c r="J66" s="17" t="s">
        <v>45</v>
      </c>
      <c r="K66" s="36" t="s">
        <v>53</v>
      </c>
      <c r="L66" s="36"/>
    </row>
    <row r="67" spans="1:12" x14ac:dyDescent="0.2">
      <c r="B67" s="1" t="s">
        <v>67</v>
      </c>
      <c r="C67" s="1" t="s">
        <v>284</v>
      </c>
      <c r="D67" t="s">
        <v>100</v>
      </c>
      <c r="E67" s="17" t="s">
        <v>77</v>
      </c>
      <c r="F67" s="17">
        <v>2019</v>
      </c>
      <c r="G67" s="9">
        <v>4.24</v>
      </c>
      <c r="H67" s="12">
        <f t="shared" ref="H67:H69" si="6">(1-0.25)*G67</f>
        <v>3.18</v>
      </c>
      <c r="I67" s="12">
        <f t="shared" ref="I67:I69" si="7">(1+0.25)*G67</f>
        <v>5.3000000000000007</v>
      </c>
      <c r="J67" s="17" t="s">
        <v>4</v>
      </c>
      <c r="K67" s="36" t="s">
        <v>53</v>
      </c>
      <c r="L67" s="36"/>
    </row>
    <row r="68" spans="1:12" x14ac:dyDescent="0.2">
      <c r="B68" s="1" t="s">
        <v>67</v>
      </c>
      <c r="C68" s="1" t="s">
        <v>285</v>
      </c>
      <c r="D68" t="s">
        <v>101</v>
      </c>
      <c r="E68" s="17" t="s">
        <v>77</v>
      </c>
      <c r="F68" s="17">
        <v>2019</v>
      </c>
      <c r="G68" s="9">
        <v>20.95</v>
      </c>
      <c r="H68" s="12">
        <f t="shared" si="6"/>
        <v>15.712499999999999</v>
      </c>
      <c r="I68" s="12">
        <f t="shared" si="7"/>
        <v>26.1875</v>
      </c>
      <c r="J68" s="17" t="s">
        <v>4</v>
      </c>
      <c r="K68" s="36" t="s">
        <v>53</v>
      </c>
      <c r="L68" s="36"/>
    </row>
    <row r="69" spans="1:12" x14ac:dyDescent="0.2">
      <c r="B69" s="1" t="s">
        <v>67</v>
      </c>
      <c r="C69" s="1" t="s">
        <v>286</v>
      </c>
      <c r="D69" s="31" t="s">
        <v>102</v>
      </c>
      <c r="E69" s="17" t="s">
        <v>77</v>
      </c>
      <c r="F69" s="17">
        <v>2019</v>
      </c>
      <c r="G69" s="9">
        <v>89.33</v>
      </c>
      <c r="H69" s="12">
        <f t="shared" si="6"/>
        <v>66.997500000000002</v>
      </c>
      <c r="I69" s="12">
        <f t="shared" si="7"/>
        <v>111.66249999999999</v>
      </c>
      <c r="J69" s="17" t="s">
        <v>4</v>
      </c>
      <c r="K69" s="36" t="s">
        <v>53</v>
      </c>
      <c r="L69" s="36"/>
    </row>
    <row r="70" spans="1:12" s="23" customFormat="1" x14ac:dyDescent="0.2">
      <c r="A70" s="1"/>
      <c r="B70" s="23" t="s">
        <v>67</v>
      </c>
      <c r="D70" s="43" t="s">
        <v>294</v>
      </c>
      <c r="E70" s="27"/>
      <c r="F70" s="27"/>
      <c r="G70" s="44"/>
      <c r="H70" s="44"/>
      <c r="I70" s="44"/>
      <c r="J70" s="27"/>
      <c r="K70" s="45"/>
      <c r="L70" s="45"/>
    </row>
    <row r="71" spans="1:12" x14ac:dyDescent="0.2">
      <c r="B71" s="1" t="s">
        <v>67</v>
      </c>
      <c r="C71" s="1" t="s">
        <v>271</v>
      </c>
      <c r="D71" s="1" t="s">
        <v>110</v>
      </c>
      <c r="E71" s="17" t="s">
        <v>45</v>
      </c>
      <c r="F71" s="17">
        <v>2019</v>
      </c>
      <c r="G71" s="11">
        <v>20852</v>
      </c>
      <c r="H71" s="13">
        <f t="shared" ref="H71" si="8">(1-0.25)*G71</f>
        <v>15639</v>
      </c>
      <c r="I71" s="13">
        <f t="shared" ref="I71" si="9">(1+0.25)*G71</f>
        <v>26065</v>
      </c>
      <c r="J71" s="17" t="s">
        <v>4</v>
      </c>
      <c r="K71" s="36" t="s">
        <v>53</v>
      </c>
      <c r="L71" s="36"/>
    </row>
    <row r="72" spans="1:12" x14ac:dyDescent="0.2">
      <c r="B72" s="1" t="s">
        <v>67</v>
      </c>
      <c r="C72" s="1" t="s">
        <v>275</v>
      </c>
      <c r="D72" s="1" t="s">
        <v>108</v>
      </c>
      <c r="E72" s="17" t="s">
        <v>45</v>
      </c>
      <c r="F72" s="17" t="s">
        <v>45</v>
      </c>
      <c r="G72" s="11">
        <v>3</v>
      </c>
      <c r="H72" s="20" t="s">
        <v>45</v>
      </c>
      <c r="I72" s="20" t="s">
        <v>45</v>
      </c>
      <c r="J72" s="17" t="s">
        <v>45</v>
      </c>
      <c r="K72" s="36" t="s">
        <v>13</v>
      </c>
      <c r="L72" s="36" t="s">
        <v>109</v>
      </c>
    </row>
    <row r="73" spans="1:12" x14ac:dyDescent="0.2">
      <c r="B73" s="1" t="s">
        <v>67</v>
      </c>
      <c r="C73" s="1" t="s">
        <v>278</v>
      </c>
      <c r="D73" s="1" t="s">
        <v>121</v>
      </c>
      <c r="E73" s="17" t="s">
        <v>45</v>
      </c>
      <c r="F73" s="17" t="s">
        <v>45</v>
      </c>
      <c r="G73" s="9">
        <v>0.755</v>
      </c>
      <c r="H73" s="12">
        <f>(1-0.25)*G73</f>
        <v>0.56625000000000003</v>
      </c>
      <c r="I73" s="12">
        <f>(1+0.25)*G73</f>
        <v>0.94374999999999998</v>
      </c>
      <c r="J73" s="17" t="s">
        <v>2</v>
      </c>
      <c r="K73" s="36" t="s">
        <v>103</v>
      </c>
      <c r="L73" s="36"/>
    </row>
    <row r="74" spans="1:12" x14ac:dyDescent="0.2">
      <c r="B74" s="1" t="s">
        <v>67</v>
      </c>
      <c r="C74" s="1" t="s">
        <v>287</v>
      </c>
      <c r="D74" s="1" t="s">
        <v>111</v>
      </c>
      <c r="E74" s="17" t="s">
        <v>77</v>
      </c>
      <c r="F74" s="17">
        <v>2019</v>
      </c>
      <c r="G74" s="12">
        <v>16.28</v>
      </c>
      <c r="H74" s="12">
        <f t="shared" ref="H74:H77" si="10">(1-0.25)*G74</f>
        <v>12.21</v>
      </c>
      <c r="I74" s="12">
        <f t="shared" ref="I74:I77" si="11">(1+0.25)*G74</f>
        <v>20.350000000000001</v>
      </c>
      <c r="J74" s="17" t="s">
        <v>4</v>
      </c>
      <c r="K74" s="36" t="s">
        <v>53</v>
      </c>
      <c r="L74" s="36" t="s">
        <v>116</v>
      </c>
    </row>
    <row r="75" spans="1:12" x14ac:dyDescent="0.2">
      <c r="B75" s="1" t="s">
        <v>67</v>
      </c>
      <c r="C75" s="1" t="s">
        <v>288</v>
      </c>
      <c r="D75" s="1" t="s">
        <v>112</v>
      </c>
      <c r="E75" s="17" t="s">
        <v>77</v>
      </c>
      <c r="F75" s="17">
        <v>2019</v>
      </c>
      <c r="G75" s="12">
        <v>16.100000000000001</v>
      </c>
      <c r="H75" s="12">
        <f t="shared" si="10"/>
        <v>12.075000000000001</v>
      </c>
      <c r="I75" s="12">
        <f t="shared" si="11"/>
        <v>20.125</v>
      </c>
      <c r="J75" s="17" t="s">
        <v>4</v>
      </c>
      <c r="K75" s="36" t="s">
        <v>53</v>
      </c>
      <c r="L75" s="36" t="s">
        <v>117</v>
      </c>
    </row>
    <row r="76" spans="1:12" x14ac:dyDescent="0.2">
      <c r="B76" s="1" t="s">
        <v>67</v>
      </c>
      <c r="C76" s="1" t="s">
        <v>289</v>
      </c>
      <c r="D76" s="1" t="s">
        <v>113</v>
      </c>
      <c r="E76" s="17" t="s">
        <v>77</v>
      </c>
      <c r="F76" s="17">
        <v>2019</v>
      </c>
      <c r="G76" s="12">
        <v>1.06</v>
      </c>
      <c r="H76" s="12">
        <f t="shared" si="10"/>
        <v>0.79500000000000004</v>
      </c>
      <c r="I76" s="12">
        <f t="shared" si="11"/>
        <v>1.3250000000000002</v>
      </c>
      <c r="J76" s="17" t="s">
        <v>4</v>
      </c>
      <c r="K76" s="36" t="s">
        <v>53</v>
      </c>
      <c r="L76" s="36" t="s">
        <v>115</v>
      </c>
    </row>
    <row r="77" spans="1:12" x14ac:dyDescent="0.2">
      <c r="B77" s="1" t="s">
        <v>67</v>
      </c>
      <c r="C77" s="1" t="s">
        <v>290</v>
      </c>
      <c r="D77" s="1" t="s">
        <v>114</v>
      </c>
      <c r="E77" s="17" t="s">
        <v>77</v>
      </c>
      <c r="F77" s="17">
        <v>2019</v>
      </c>
      <c r="G77" s="12">
        <v>9.16</v>
      </c>
      <c r="H77" s="12">
        <f t="shared" si="10"/>
        <v>6.87</v>
      </c>
      <c r="I77" s="12">
        <f t="shared" si="11"/>
        <v>11.45</v>
      </c>
      <c r="J77" s="17" t="s">
        <v>4</v>
      </c>
      <c r="K77" s="36" t="s">
        <v>53</v>
      </c>
      <c r="L77" s="36" t="s">
        <v>115</v>
      </c>
    </row>
    <row r="78" spans="1:12" s="23" customFormat="1" x14ac:dyDescent="0.2">
      <c r="A78" s="1"/>
      <c r="B78" s="23" t="s">
        <v>67</v>
      </c>
      <c r="D78" s="43" t="s">
        <v>122</v>
      </c>
      <c r="E78" s="27"/>
      <c r="F78" s="27"/>
      <c r="G78" s="44"/>
      <c r="H78" s="44"/>
      <c r="I78" s="44"/>
      <c r="J78" s="27"/>
      <c r="K78" s="45"/>
      <c r="L78" s="45"/>
    </row>
    <row r="79" spans="1:12" x14ac:dyDescent="0.2">
      <c r="B79" s="1" t="s">
        <v>67</v>
      </c>
      <c r="C79" s="1" t="s">
        <v>273</v>
      </c>
      <c r="D79" s="1" t="s">
        <v>124</v>
      </c>
      <c r="E79" s="17" t="s">
        <v>45</v>
      </c>
      <c r="F79" s="17">
        <v>2019</v>
      </c>
      <c r="G79" s="11">
        <v>20192</v>
      </c>
      <c r="H79" s="13">
        <f t="shared" ref="H79" si="12">(1-0.25)*G79</f>
        <v>15144</v>
      </c>
      <c r="I79" s="13">
        <f t="shared" ref="I79" si="13">(1+0.25)*G79</f>
        <v>25240</v>
      </c>
      <c r="J79" s="17" t="s">
        <v>4</v>
      </c>
      <c r="K79" s="36" t="s">
        <v>53</v>
      </c>
      <c r="L79" s="36"/>
    </row>
    <row r="80" spans="1:12" x14ac:dyDescent="0.2">
      <c r="B80" s="1" t="s">
        <v>67</v>
      </c>
      <c r="C80" s="1" t="s">
        <v>276</v>
      </c>
      <c r="D80" s="1" t="s">
        <v>125</v>
      </c>
      <c r="E80" s="17" t="s">
        <v>45</v>
      </c>
      <c r="F80" s="17" t="s">
        <v>45</v>
      </c>
      <c r="G80" s="11">
        <v>3</v>
      </c>
      <c r="H80" s="20" t="s">
        <v>45</v>
      </c>
      <c r="I80" s="20" t="s">
        <v>45</v>
      </c>
      <c r="J80" s="17" t="s">
        <v>45</v>
      </c>
      <c r="K80" s="36" t="s">
        <v>13</v>
      </c>
      <c r="L80" s="36" t="s">
        <v>123</v>
      </c>
    </row>
    <row r="81" spans="1:12" x14ac:dyDescent="0.2">
      <c r="B81" s="1" t="s">
        <v>67</v>
      </c>
      <c r="C81" s="1" t="s">
        <v>279</v>
      </c>
      <c r="D81" s="1" t="s">
        <v>131</v>
      </c>
      <c r="E81" s="17" t="s">
        <v>45</v>
      </c>
      <c r="F81" s="17" t="s">
        <v>45</v>
      </c>
      <c r="G81" s="9">
        <v>0.40400000000000003</v>
      </c>
      <c r="H81" s="12">
        <f>(1-0.25)*G81</f>
        <v>0.30300000000000005</v>
      </c>
      <c r="I81" s="12">
        <f>(1+0.25)*G81</f>
        <v>0.505</v>
      </c>
      <c r="J81" s="17" t="s">
        <v>2</v>
      </c>
      <c r="K81" s="36" t="s">
        <v>103</v>
      </c>
      <c r="L81" s="36"/>
    </row>
    <row r="82" spans="1:12" x14ac:dyDescent="0.2">
      <c r="B82" s="1" t="s">
        <v>67</v>
      </c>
      <c r="C82" s="1" t="s">
        <v>291</v>
      </c>
      <c r="D82" s="1" t="s">
        <v>126</v>
      </c>
      <c r="E82" s="17" t="s">
        <v>77</v>
      </c>
      <c r="F82" s="17">
        <v>2019</v>
      </c>
      <c r="G82" s="9">
        <v>244.78</v>
      </c>
      <c r="H82" s="12">
        <f t="shared" ref="H82:H84" si="14">(1-0.25)*G82</f>
        <v>183.58500000000001</v>
      </c>
      <c r="I82" s="12">
        <f t="shared" ref="I82:I84" si="15">(1+0.25)*G82</f>
        <v>305.97500000000002</v>
      </c>
      <c r="J82" s="17" t="s">
        <v>4</v>
      </c>
      <c r="K82" s="36" t="s">
        <v>53</v>
      </c>
      <c r="L82" s="36"/>
    </row>
    <row r="83" spans="1:12" x14ac:dyDescent="0.2">
      <c r="B83" s="1" t="s">
        <v>67</v>
      </c>
      <c r="C83" s="1" t="s">
        <v>292</v>
      </c>
      <c r="D83" s="1" t="s">
        <v>127</v>
      </c>
      <c r="E83" s="17" t="s">
        <v>77</v>
      </c>
      <c r="F83" s="17">
        <v>2019</v>
      </c>
      <c r="G83" s="9">
        <v>109.86</v>
      </c>
      <c r="H83" s="12">
        <f t="shared" si="14"/>
        <v>82.394999999999996</v>
      </c>
      <c r="I83" s="12">
        <f t="shared" si="15"/>
        <v>137.32499999999999</v>
      </c>
      <c r="J83" s="17" t="s">
        <v>4</v>
      </c>
      <c r="K83" s="36" t="s">
        <v>53</v>
      </c>
    </row>
    <row r="84" spans="1:12" x14ac:dyDescent="0.2">
      <c r="B84" s="1" t="s">
        <v>67</v>
      </c>
      <c r="C84" s="1" t="s">
        <v>293</v>
      </c>
      <c r="D84" s="1" t="s">
        <v>128</v>
      </c>
      <c r="E84" s="17" t="s">
        <v>77</v>
      </c>
      <c r="F84" s="17">
        <v>2019</v>
      </c>
      <c r="G84" s="9">
        <v>0.87</v>
      </c>
      <c r="H84" s="12">
        <f t="shared" si="14"/>
        <v>0.65249999999999997</v>
      </c>
      <c r="I84" s="12">
        <f t="shared" si="15"/>
        <v>1.0874999999999999</v>
      </c>
      <c r="J84" s="17" t="s">
        <v>4</v>
      </c>
      <c r="K84" s="36" t="s">
        <v>53</v>
      </c>
      <c r="L84" s="36"/>
    </row>
    <row r="85" spans="1:12" s="23" customFormat="1" x14ac:dyDescent="0.2">
      <c r="A85" s="1"/>
      <c r="B85" s="23" t="s">
        <v>67</v>
      </c>
      <c r="D85" s="24" t="s">
        <v>88</v>
      </c>
      <c r="E85" s="30"/>
      <c r="F85" s="30"/>
      <c r="G85" s="25"/>
      <c r="H85" s="25"/>
      <c r="I85" s="25"/>
      <c r="J85" s="27"/>
    </row>
    <row r="86" spans="1:12" x14ac:dyDescent="0.2">
      <c r="B86" s="1" t="s">
        <v>67</v>
      </c>
      <c r="C86" s="1" t="s">
        <v>164</v>
      </c>
      <c r="D86" s="1" t="s">
        <v>64</v>
      </c>
      <c r="E86" s="17" t="s">
        <v>45</v>
      </c>
      <c r="F86" s="17" t="s">
        <v>45</v>
      </c>
      <c r="G86" s="17">
        <v>20.6</v>
      </c>
      <c r="H86" s="17">
        <v>11.8</v>
      </c>
      <c r="I86" s="17">
        <v>26.6</v>
      </c>
      <c r="J86" s="18" t="s">
        <v>4</v>
      </c>
      <c r="K86" s="3" t="s">
        <v>65</v>
      </c>
      <c r="L86" s="1" t="s">
        <v>469</v>
      </c>
    </row>
    <row r="87" spans="1:12" x14ac:dyDescent="0.2">
      <c r="B87" s="1" t="s">
        <v>67</v>
      </c>
      <c r="C87" s="1" t="s">
        <v>165</v>
      </c>
      <c r="D87" s="1" t="s">
        <v>132</v>
      </c>
      <c r="E87" s="17" t="s">
        <v>45</v>
      </c>
      <c r="F87" s="17" t="s">
        <v>45</v>
      </c>
      <c r="G87" s="17">
        <v>6.24</v>
      </c>
      <c r="H87" s="17">
        <v>0</v>
      </c>
      <c r="I87" s="17">
        <v>21</v>
      </c>
      <c r="J87" s="17" t="s">
        <v>4</v>
      </c>
      <c r="K87" s="36" t="s">
        <v>54</v>
      </c>
      <c r="L87" s="1" t="s">
        <v>470</v>
      </c>
    </row>
    <row r="88" spans="1:12" x14ac:dyDescent="0.2">
      <c r="B88" s="1" t="s">
        <v>67</v>
      </c>
      <c r="C88" s="1" t="s">
        <v>166</v>
      </c>
      <c r="D88" s="1" t="s">
        <v>133</v>
      </c>
      <c r="E88" s="17" t="s">
        <v>45</v>
      </c>
      <c r="F88" s="17" t="s">
        <v>45</v>
      </c>
      <c r="G88" s="17">
        <v>0.89</v>
      </c>
      <c r="H88" s="17">
        <v>0.77800000000000002</v>
      </c>
      <c r="I88" s="17">
        <v>1</v>
      </c>
      <c r="J88" s="17" t="s">
        <v>66</v>
      </c>
      <c r="K88" s="36" t="s">
        <v>54</v>
      </c>
      <c r="L88" s="1" t="s">
        <v>470</v>
      </c>
    </row>
    <row r="89" spans="1:12" s="14" customFormat="1" x14ac:dyDescent="0.2">
      <c r="A89" s="1"/>
      <c r="B89" s="14" t="s">
        <v>67</v>
      </c>
      <c r="C89" s="14" t="s">
        <v>167</v>
      </c>
      <c r="D89" s="14" t="s">
        <v>136</v>
      </c>
      <c r="E89" s="21" t="s">
        <v>45</v>
      </c>
      <c r="F89" s="21" t="s">
        <v>45</v>
      </c>
      <c r="G89" s="21">
        <v>0.87</v>
      </c>
      <c r="H89" s="21">
        <v>0.78400000000000003</v>
      </c>
      <c r="I89" s="21">
        <v>0.94699999999999995</v>
      </c>
      <c r="J89" s="21" t="s">
        <v>66</v>
      </c>
      <c r="K89" s="15" t="s">
        <v>54</v>
      </c>
      <c r="L89" s="14" t="s">
        <v>470</v>
      </c>
    </row>
    <row r="90" spans="1:12" x14ac:dyDescent="0.2">
      <c r="B90" s="1" t="s">
        <v>67</v>
      </c>
      <c r="C90" s="1" t="s">
        <v>259</v>
      </c>
      <c r="D90" s="1" t="s">
        <v>640</v>
      </c>
      <c r="E90" s="17" t="s">
        <v>77</v>
      </c>
      <c r="F90" s="17">
        <v>2024</v>
      </c>
      <c r="G90" s="11">
        <v>55247.45</v>
      </c>
      <c r="H90" s="17" t="s">
        <v>45</v>
      </c>
      <c r="I90" s="17" t="s">
        <v>45</v>
      </c>
      <c r="J90" s="17" t="s">
        <v>45</v>
      </c>
      <c r="K90" s="2" t="s">
        <v>260</v>
      </c>
      <c r="L90" s="4"/>
    </row>
    <row r="91" spans="1:12" x14ac:dyDescent="0.2">
      <c r="B91" s="1" t="s">
        <v>67</v>
      </c>
      <c r="C91" s="1" t="s">
        <v>183</v>
      </c>
      <c r="D91" s="1" t="s">
        <v>149</v>
      </c>
      <c r="E91" s="17" t="s">
        <v>77</v>
      </c>
      <c r="F91" s="17">
        <v>2024</v>
      </c>
      <c r="G91" s="11">
        <v>3057</v>
      </c>
      <c r="H91" s="11" t="s">
        <v>45</v>
      </c>
      <c r="I91" s="11" t="s">
        <v>45</v>
      </c>
      <c r="J91" s="17" t="s">
        <v>45</v>
      </c>
      <c r="K91" s="39" t="s">
        <v>344</v>
      </c>
    </row>
    <row r="92" spans="1:12" x14ac:dyDescent="0.2">
      <c r="B92" s="1" t="s">
        <v>67</v>
      </c>
      <c r="C92" s="1" t="s">
        <v>147</v>
      </c>
      <c r="D92" s="1" t="s">
        <v>148</v>
      </c>
      <c r="E92" s="17" t="s">
        <v>45</v>
      </c>
      <c r="F92" s="17">
        <v>2024</v>
      </c>
      <c r="G92" s="9">
        <v>0.2</v>
      </c>
      <c r="H92" s="17" t="s">
        <v>45</v>
      </c>
      <c r="I92" s="17" t="s">
        <v>45</v>
      </c>
      <c r="J92" s="17" t="s">
        <v>45</v>
      </c>
      <c r="K92" s="39" t="s">
        <v>150</v>
      </c>
    </row>
    <row r="93" spans="1:12" x14ac:dyDescent="0.2">
      <c r="B93" s="1" t="s">
        <v>67</v>
      </c>
      <c r="C93" s="1" t="s">
        <v>184</v>
      </c>
      <c r="D93" s="1" t="s">
        <v>141</v>
      </c>
      <c r="E93" s="17" t="s">
        <v>45</v>
      </c>
      <c r="F93" s="17" t="s">
        <v>45</v>
      </c>
      <c r="G93" s="17">
        <v>0.2</v>
      </c>
      <c r="H93" s="17" t="s">
        <v>45</v>
      </c>
      <c r="I93" s="17" t="s">
        <v>45</v>
      </c>
      <c r="J93" s="17" t="s">
        <v>45</v>
      </c>
      <c r="K93" s="39" t="s">
        <v>140</v>
      </c>
    </row>
    <row r="94" spans="1:12" s="14" customFormat="1" x14ac:dyDescent="0.2">
      <c r="A94" s="1"/>
      <c r="B94" s="14" t="s">
        <v>67</v>
      </c>
      <c r="C94" s="14" t="s">
        <v>185</v>
      </c>
      <c r="D94" s="40" t="s">
        <v>142</v>
      </c>
      <c r="E94" s="21" t="s">
        <v>77</v>
      </c>
      <c r="F94" s="21">
        <v>2024</v>
      </c>
      <c r="G94" s="41">
        <v>16754.34</v>
      </c>
      <c r="H94" s="21" t="s">
        <v>45</v>
      </c>
      <c r="I94" s="21" t="s">
        <v>45</v>
      </c>
      <c r="J94" s="21" t="s">
        <v>45</v>
      </c>
      <c r="K94" s="38" t="s">
        <v>343</v>
      </c>
      <c r="L94" s="38"/>
    </row>
    <row r="95" spans="1:12" x14ac:dyDescent="0.2">
      <c r="B95" s="1" t="s">
        <v>67</v>
      </c>
      <c r="C95" s="1" t="s">
        <v>170</v>
      </c>
      <c r="D95" s="1" t="s">
        <v>134</v>
      </c>
      <c r="E95" s="17" t="s">
        <v>45</v>
      </c>
      <c r="F95" s="17" t="s">
        <v>45</v>
      </c>
      <c r="G95" s="17">
        <v>4.82</v>
      </c>
      <c r="H95" s="17">
        <v>2.08</v>
      </c>
      <c r="I95" s="17">
        <v>7.56</v>
      </c>
      <c r="J95" s="17" t="s">
        <v>4</v>
      </c>
      <c r="K95" s="36" t="s">
        <v>54</v>
      </c>
      <c r="L95" s="1" t="s">
        <v>468</v>
      </c>
    </row>
    <row r="96" spans="1:12" x14ac:dyDescent="0.2">
      <c r="B96" s="1" t="s">
        <v>67</v>
      </c>
      <c r="C96" s="1" t="s">
        <v>171</v>
      </c>
      <c r="D96" s="1" t="s">
        <v>135</v>
      </c>
      <c r="E96" s="17" t="s">
        <v>45</v>
      </c>
      <c r="F96" s="17" t="s">
        <v>45</v>
      </c>
      <c r="G96" s="17">
        <v>0.18</v>
      </c>
      <c r="H96" s="17">
        <v>0.16900000000000001</v>
      </c>
      <c r="I96" s="17">
        <v>0.193</v>
      </c>
      <c r="J96" s="17" t="s">
        <v>66</v>
      </c>
      <c r="K96" s="36" t="s">
        <v>54</v>
      </c>
      <c r="L96" s="1" t="s">
        <v>467</v>
      </c>
    </row>
    <row r="97" spans="1:12" x14ac:dyDescent="0.2">
      <c r="B97" s="1" t="s">
        <v>67</v>
      </c>
      <c r="C97" s="1" t="s">
        <v>172</v>
      </c>
      <c r="D97" s="1" t="s">
        <v>137</v>
      </c>
      <c r="E97" s="17" t="s">
        <v>45</v>
      </c>
      <c r="F97" s="17" t="s">
        <v>45</v>
      </c>
      <c r="G97" s="17">
        <v>11.4</v>
      </c>
      <c r="H97" s="17">
        <v>9.1300000000000008</v>
      </c>
      <c r="I97" s="17">
        <v>13.71</v>
      </c>
      <c r="J97" s="17" t="s">
        <v>4</v>
      </c>
      <c r="K97" s="3" t="s">
        <v>54</v>
      </c>
      <c r="L97" s="1" t="s">
        <v>466</v>
      </c>
    </row>
    <row r="98" spans="1:12" s="14" customFormat="1" x14ac:dyDescent="0.2">
      <c r="A98" s="1"/>
      <c r="B98" s="14" t="s">
        <v>67</v>
      </c>
      <c r="C98" s="14" t="s">
        <v>173</v>
      </c>
      <c r="D98" s="14" t="s">
        <v>138</v>
      </c>
      <c r="E98" s="21" t="s">
        <v>45</v>
      </c>
      <c r="F98" s="21" t="s">
        <v>45</v>
      </c>
      <c r="G98" s="21">
        <v>0.34</v>
      </c>
      <c r="H98" s="21">
        <v>0.29799999999999999</v>
      </c>
      <c r="I98" s="21">
        <v>0.375</v>
      </c>
      <c r="J98" s="21" t="s">
        <v>66</v>
      </c>
      <c r="K98" s="15" t="s">
        <v>54</v>
      </c>
      <c r="L98" s="14" t="s">
        <v>466</v>
      </c>
    </row>
    <row r="99" spans="1:12" x14ac:dyDescent="0.2">
      <c r="B99" s="1" t="s">
        <v>67</v>
      </c>
      <c r="C99" s="1" t="s">
        <v>46</v>
      </c>
      <c r="D99" s="1" t="s">
        <v>186</v>
      </c>
      <c r="E99" s="17" t="s">
        <v>77</v>
      </c>
      <c r="F99" s="17">
        <v>2024</v>
      </c>
      <c r="G99" s="9">
        <v>0</v>
      </c>
      <c r="H99" s="20" t="s">
        <v>45</v>
      </c>
      <c r="I99" s="20" t="s">
        <v>45</v>
      </c>
      <c r="J99" s="20" t="s">
        <v>45</v>
      </c>
      <c r="K99" s="86" t="s">
        <v>47</v>
      </c>
    </row>
    <row r="100" spans="1:12" x14ac:dyDescent="0.2">
      <c r="B100" s="1" t="s">
        <v>67</v>
      </c>
      <c r="C100" s="1" t="s">
        <v>49</v>
      </c>
      <c r="D100" s="1" t="s">
        <v>48</v>
      </c>
      <c r="E100" s="17" t="s">
        <v>77</v>
      </c>
      <c r="F100" s="17">
        <v>2024</v>
      </c>
      <c r="G100" s="9">
        <v>0</v>
      </c>
      <c r="H100" s="20" t="s">
        <v>45</v>
      </c>
      <c r="I100" s="20" t="s">
        <v>45</v>
      </c>
      <c r="J100" s="20" t="s">
        <v>45</v>
      </c>
      <c r="K100" s="86" t="s">
        <v>47</v>
      </c>
    </row>
    <row r="101" spans="1:12" x14ac:dyDescent="0.2">
      <c r="B101" s="1" t="s">
        <v>67</v>
      </c>
      <c r="C101" s="1" t="s">
        <v>51</v>
      </c>
      <c r="D101" s="1" t="s">
        <v>29</v>
      </c>
      <c r="E101" s="17" t="s">
        <v>77</v>
      </c>
      <c r="F101" s="17">
        <v>2024</v>
      </c>
      <c r="G101" s="9">
        <v>0</v>
      </c>
      <c r="H101" s="20" t="s">
        <v>45</v>
      </c>
      <c r="I101" s="20" t="s">
        <v>45</v>
      </c>
      <c r="J101" s="20" t="s">
        <v>45</v>
      </c>
      <c r="K101" s="86" t="s">
        <v>47</v>
      </c>
    </row>
    <row r="102" spans="1:12" s="90" customFormat="1" x14ac:dyDescent="0.2">
      <c r="B102" s="90" t="s">
        <v>67</v>
      </c>
      <c r="C102" s="90" t="s">
        <v>55</v>
      </c>
      <c r="D102" s="90" t="s">
        <v>33</v>
      </c>
      <c r="E102" s="17" t="s">
        <v>77</v>
      </c>
      <c r="F102" s="17">
        <v>2024</v>
      </c>
      <c r="G102" s="9">
        <v>0</v>
      </c>
      <c r="H102" s="20" t="s">
        <v>45</v>
      </c>
      <c r="I102" s="20" t="s">
        <v>45</v>
      </c>
      <c r="J102" s="19" t="s">
        <v>45</v>
      </c>
      <c r="K102" s="86" t="s">
        <v>47</v>
      </c>
      <c r="L102" s="90" t="s">
        <v>202</v>
      </c>
    </row>
    <row r="103" spans="1:12" s="50" customFormat="1" x14ac:dyDescent="0.2">
      <c r="A103" s="1"/>
      <c r="D103" s="46" t="s">
        <v>93</v>
      </c>
      <c r="E103" s="57"/>
      <c r="F103" s="57"/>
      <c r="G103" s="58"/>
      <c r="H103" s="58"/>
      <c r="I103" s="58"/>
      <c r="J103" s="51"/>
    </row>
    <row r="104" spans="1:12" x14ac:dyDescent="0.2">
      <c r="B104" s="1" t="s">
        <v>359</v>
      </c>
      <c r="C104" s="1" t="s">
        <v>609</v>
      </c>
      <c r="D104" s="1" t="s">
        <v>608</v>
      </c>
      <c r="E104" s="17" t="s">
        <v>45</v>
      </c>
      <c r="F104" s="17">
        <v>2010</v>
      </c>
      <c r="G104" s="19">
        <f>1.76</f>
        <v>1.76</v>
      </c>
      <c r="H104" s="17" t="s">
        <v>45</v>
      </c>
      <c r="I104" s="17" t="s">
        <v>45</v>
      </c>
      <c r="J104" s="17" t="s">
        <v>45</v>
      </c>
      <c r="K104" s="36" t="s">
        <v>355</v>
      </c>
      <c r="L104" s="91"/>
    </row>
    <row r="105" spans="1:12" x14ac:dyDescent="0.2">
      <c r="B105" s="1" t="s">
        <v>359</v>
      </c>
      <c r="C105" s="1" t="s">
        <v>358</v>
      </c>
      <c r="D105" s="1" t="s">
        <v>356</v>
      </c>
      <c r="E105" s="17" t="s">
        <v>45</v>
      </c>
      <c r="F105" s="17">
        <v>2024</v>
      </c>
      <c r="G105" s="210">
        <f>spot_fx_rate!$B$31</f>
        <v>5.3872</v>
      </c>
      <c r="H105" s="17" t="s">
        <v>45</v>
      </c>
      <c r="I105" s="17" t="s">
        <v>45</v>
      </c>
      <c r="J105" s="17" t="s">
        <v>45</v>
      </c>
      <c r="K105" s="36" t="s">
        <v>355</v>
      </c>
      <c r="L105" s="91"/>
    </row>
    <row r="106" spans="1:12" x14ac:dyDescent="0.2">
      <c r="B106" s="1" t="s">
        <v>360</v>
      </c>
      <c r="C106" s="1" t="s">
        <v>300</v>
      </c>
      <c r="D106" s="1" t="s">
        <v>297</v>
      </c>
      <c r="E106" s="17" t="s">
        <v>45</v>
      </c>
      <c r="F106" s="17">
        <v>2010</v>
      </c>
      <c r="G106" s="9">
        <f>cpi!$C$374</f>
        <v>72.260279166666677</v>
      </c>
      <c r="H106" s="17" t="s">
        <v>45</v>
      </c>
      <c r="I106" s="17" t="s">
        <v>45</v>
      </c>
      <c r="J106" s="17" t="s">
        <v>45</v>
      </c>
      <c r="K106" s="36" t="s">
        <v>528</v>
      </c>
      <c r="L106" s="91"/>
    </row>
    <row r="107" spans="1:12" x14ac:dyDescent="0.2">
      <c r="B107" s="1" t="s">
        <v>360</v>
      </c>
      <c r="C107" s="1" t="s">
        <v>304</v>
      </c>
      <c r="D107" s="1" t="s">
        <v>305</v>
      </c>
      <c r="E107" s="17" t="s">
        <v>45</v>
      </c>
      <c r="F107" s="17">
        <v>2016</v>
      </c>
      <c r="G107" s="9">
        <f>cpi!$C$446</f>
        <v>108.73914166666667</v>
      </c>
      <c r="H107" s="17" t="s">
        <v>45</v>
      </c>
      <c r="I107" s="17" t="s">
        <v>45</v>
      </c>
      <c r="J107" s="17" t="s">
        <v>45</v>
      </c>
      <c r="K107" s="36" t="s">
        <v>528</v>
      </c>
      <c r="L107" s="91"/>
    </row>
    <row r="108" spans="1:12" x14ac:dyDescent="0.2">
      <c r="B108" s="1" t="s">
        <v>360</v>
      </c>
      <c r="C108" s="1" t="s">
        <v>301</v>
      </c>
      <c r="D108" s="1" t="s">
        <v>298</v>
      </c>
      <c r="E108" s="17" t="s">
        <v>45</v>
      </c>
      <c r="F108" s="17">
        <v>2017</v>
      </c>
      <c r="G108" s="9">
        <f>cpi!$C$458</f>
        <v>112.4867</v>
      </c>
      <c r="H108" s="17" t="s">
        <v>45</v>
      </c>
      <c r="I108" s="17" t="s">
        <v>45</v>
      </c>
      <c r="J108" s="17" t="s">
        <v>45</v>
      </c>
      <c r="K108" s="36" t="s">
        <v>528</v>
      </c>
      <c r="L108" s="91"/>
    </row>
    <row r="109" spans="1:12" x14ac:dyDescent="0.2">
      <c r="B109" s="1" t="s">
        <v>360</v>
      </c>
      <c r="C109" s="1" t="s">
        <v>501</v>
      </c>
      <c r="D109" s="1" t="s">
        <v>500</v>
      </c>
      <c r="E109" s="17" t="s">
        <v>45</v>
      </c>
      <c r="F109" s="17">
        <v>2018</v>
      </c>
      <c r="G109" s="9">
        <f>cpi!$C$470</f>
        <v>116.60916666666668</v>
      </c>
      <c r="H109" s="17" t="s">
        <v>45</v>
      </c>
      <c r="I109" s="17" t="s">
        <v>45</v>
      </c>
      <c r="J109" s="17" t="s">
        <v>45</v>
      </c>
      <c r="K109" s="36" t="s">
        <v>528</v>
      </c>
      <c r="L109" s="91"/>
    </row>
    <row r="110" spans="1:12" x14ac:dyDescent="0.2">
      <c r="B110" s="1" t="s">
        <v>360</v>
      </c>
      <c r="C110" s="1" t="s">
        <v>302</v>
      </c>
      <c r="D110" s="1" t="s">
        <v>299</v>
      </c>
      <c r="E110" s="17" t="s">
        <v>45</v>
      </c>
      <c r="F110" s="17">
        <v>2019</v>
      </c>
      <c r="G110" s="9">
        <f>cpi!$C$482</f>
        <v>120.96215833333333</v>
      </c>
      <c r="H110" s="17" t="s">
        <v>45</v>
      </c>
      <c r="I110" s="17" t="s">
        <v>45</v>
      </c>
      <c r="J110" s="17" t="s">
        <v>45</v>
      </c>
      <c r="K110" s="36" t="s">
        <v>528</v>
      </c>
      <c r="L110" s="91"/>
    </row>
    <row r="111" spans="1:12" x14ac:dyDescent="0.2">
      <c r="B111" s="1" t="s">
        <v>360</v>
      </c>
      <c r="C111" s="1" t="s">
        <v>302</v>
      </c>
      <c r="D111" s="1" t="s">
        <v>303</v>
      </c>
      <c r="E111" s="17" t="s">
        <v>45</v>
      </c>
      <c r="F111" s="17">
        <v>2024</v>
      </c>
      <c r="G111" s="9">
        <f>cpi!$C$542</f>
        <v>161.29655</v>
      </c>
      <c r="H111" s="17" t="s">
        <v>45</v>
      </c>
      <c r="I111" s="17" t="s">
        <v>45</v>
      </c>
      <c r="J111" s="17" t="s">
        <v>45</v>
      </c>
      <c r="K111" s="36" t="s">
        <v>528</v>
      </c>
      <c r="L111" s="91"/>
    </row>
    <row r="112" spans="1:12" x14ac:dyDescent="0.2">
      <c r="B112" s="1" t="s">
        <v>360</v>
      </c>
      <c r="C112" s="1" t="s">
        <v>479</v>
      </c>
      <c r="D112" s="1" t="s">
        <v>527</v>
      </c>
      <c r="E112" s="17" t="s">
        <v>45</v>
      </c>
      <c r="F112" s="17">
        <v>2025</v>
      </c>
      <c r="G112" s="9">
        <f>cpi!C546</f>
        <v>167.273875</v>
      </c>
      <c r="H112" s="17" t="s">
        <v>45</v>
      </c>
      <c r="I112" s="17" t="s">
        <v>45</v>
      </c>
      <c r="J112" s="17" t="s">
        <v>45</v>
      </c>
      <c r="K112" s="36" t="s">
        <v>528</v>
      </c>
      <c r="L112" s="91"/>
    </row>
    <row r="113" spans="1:13" s="97" customFormat="1" x14ac:dyDescent="0.2">
      <c r="A113" s="5"/>
      <c r="B113" s="14" t="s">
        <v>361</v>
      </c>
      <c r="C113" s="14" t="s">
        <v>191</v>
      </c>
      <c r="D113" s="14" t="s">
        <v>377</v>
      </c>
      <c r="E113" s="21" t="s">
        <v>45</v>
      </c>
      <c r="F113" s="21" t="s">
        <v>45</v>
      </c>
      <c r="G113" s="41">
        <v>0.05</v>
      </c>
      <c r="H113" s="41">
        <v>0</v>
      </c>
      <c r="I113" s="41">
        <v>0.1</v>
      </c>
      <c r="J113" s="21" t="s">
        <v>2</v>
      </c>
      <c r="K113" s="122" t="s">
        <v>592</v>
      </c>
      <c r="L113" s="97" t="s">
        <v>472</v>
      </c>
    </row>
    <row r="114" spans="1:13" s="50" customFormat="1" x14ac:dyDescent="0.2">
      <c r="A114" s="1"/>
      <c r="D114" s="46" t="s">
        <v>92</v>
      </c>
      <c r="E114" s="57"/>
      <c r="F114" s="57"/>
      <c r="G114" s="58"/>
      <c r="H114" s="58"/>
      <c r="I114" s="58"/>
      <c r="J114" s="51"/>
    </row>
    <row r="115" spans="1:13" x14ac:dyDescent="0.2">
      <c r="B115" s="1" t="s">
        <v>92</v>
      </c>
      <c r="C115" s="1" t="s">
        <v>255</v>
      </c>
      <c r="D115" s="1" t="s">
        <v>91</v>
      </c>
      <c r="E115" s="17" t="s">
        <v>77</v>
      </c>
      <c r="F115" s="17">
        <v>2024</v>
      </c>
      <c r="G115" s="11" t="s">
        <v>259</v>
      </c>
      <c r="H115" s="17" t="s">
        <v>45</v>
      </c>
      <c r="I115" s="17" t="s">
        <v>45</v>
      </c>
      <c r="J115" s="17" t="s">
        <v>45</v>
      </c>
      <c r="K115" s="86" t="s">
        <v>262</v>
      </c>
      <c r="L115" s="5" t="s">
        <v>261</v>
      </c>
      <c r="M115" s="1" t="s">
        <v>263</v>
      </c>
    </row>
    <row r="116" spans="1:13" x14ac:dyDescent="0.2">
      <c r="B116" s="1" t="s">
        <v>92</v>
      </c>
      <c r="C116" s="1" t="s">
        <v>253</v>
      </c>
      <c r="D116" s="1" t="s">
        <v>203</v>
      </c>
      <c r="E116" s="17" t="s">
        <v>45</v>
      </c>
      <c r="F116" s="17">
        <v>2023</v>
      </c>
      <c r="G116" s="6">
        <v>41.4</v>
      </c>
      <c r="H116" s="17" t="s">
        <v>45</v>
      </c>
      <c r="I116" s="17" t="s">
        <v>45</v>
      </c>
      <c r="J116" s="17" t="s">
        <v>45</v>
      </c>
      <c r="K116" s="86" t="s">
        <v>252</v>
      </c>
      <c r="L116" s="5"/>
    </row>
    <row r="117" spans="1:13" s="14" customFormat="1" x14ac:dyDescent="0.2">
      <c r="A117" s="1"/>
      <c r="B117" s="14" t="s">
        <v>92</v>
      </c>
      <c r="C117" s="14" t="s">
        <v>401</v>
      </c>
      <c r="D117" s="14" t="s">
        <v>6</v>
      </c>
      <c r="E117" s="21" t="s">
        <v>45</v>
      </c>
      <c r="F117" s="21" t="s">
        <v>45</v>
      </c>
      <c r="G117" s="130">
        <v>4.1567445021262202E-5</v>
      </c>
      <c r="H117" s="21" t="s">
        <v>45</v>
      </c>
      <c r="I117" s="21" t="s">
        <v>45</v>
      </c>
      <c r="J117" s="21" t="s">
        <v>45</v>
      </c>
      <c r="K117" s="96" t="s">
        <v>252</v>
      </c>
      <c r="L117" s="97"/>
    </row>
    <row r="118" spans="1:13" s="118" customFormat="1" x14ac:dyDescent="0.2">
      <c r="B118" s="1" t="s">
        <v>92</v>
      </c>
      <c r="C118" s="1" t="s">
        <v>400</v>
      </c>
      <c r="D118" s="1" t="s">
        <v>399</v>
      </c>
      <c r="E118" s="17" t="s">
        <v>45</v>
      </c>
      <c r="F118" s="17" t="s">
        <v>45</v>
      </c>
      <c r="G118" s="6" t="s">
        <v>459</v>
      </c>
      <c r="H118" s="17" t="s">
        <v>45</v>
      </c>
      <c r="I118" s="17" t="s">
        <v>45</v>
      </c>
      <c r="J118" s="17" t="s">
        <v>45</v>
      </c>
      <c r="K118" s="1" t="s">
        <v>19</v>
      </c>
      <c r="L118" s="4"/>
    </row>
    <row r="119" spans="1:13" x14ac:dyDescent="0.2">
      <c r="B119" s="1" t="s">
        <v>92</v>
      </c>
      <c r="C119" s="1" t="s">
        <v>481</v>
      </c>
      <c r="D119" s="1" t="s">
        <v>492</v>
      </c>
      <c r="E119" s="17" t="s">
        <v>45</v>
      </c>
      <c r="F119" s="17" t="s">
        <v>45</v>
      </c>
      <c r="G119" s="17" t="s">
        <v>494</v>
      </c>
      <c r="H119" s="17" t="s">
        <v>45</v>
      </c>
      <c r="I119" s="17" t="s">
        <v>45</v>
      </c>
      <c r="J119" s="17" t="s">
        <v>45</v>
      </c>
      <c r="K119" s="36" t="s">
        <v>19</v>
      </c>
      <c r="L119" s="5"/>
      <c r="M119" s="5"/>
    </row>
    <row r="120" spans="1:13" x14ac:dyDescent="0.2">
      <c r="B120" s="1" t="s">
        <v>92</v>
      </c>
      <c r="C120" s="1" t="s">
        <v>482</v>
      </c>
      <c r="D120" s="1" t="s">
        <v>493</v>
      </c>
      <c r="E120" s="17" t="s">
        <v>45</v>
      </c>
      <c r="F120" s="17" t="s">
        <v>45</v>
      </c>
      <c r="G120" s="17" t="s">
        <v>495</v>
      </c>
      <c r="H120" s="17" t="s">
        <v>45</v>
      </c>
      <c r="I120" s="17" t="s">
        <v>45</v>
      </c>
      <c r="J120" s="17" t="s">
        <v>45</v>
      </c>
      <c r="K120" s="36" t="s">
        <v>19</v>
      </c>
      <c r="L120" s="5"/>
      <c r="M120" s="5"/>
    </row>
    <row r="121" spans="1:13" x14ac:dyDescent="0.2">
      <c r="B121" s="1" t="s">
        <v>92</v>
      </c>
      <c r="C121" s="1" t="s">
        <v>405</v>
      </c>
      <c r="D121" s="1" t="s">
        <v>376</v>
      </c>
      <c r="E121" s="17" t="s">
        <v>45</v>
      </c>
      <c r="F121" s="17" t="s">
        <v>45</v>
      </c>
      <c r="G121" s="6" t="s">
        <v>375</v>
      </c>
      <c r="H121" s="6" t="s">
        <v>45</v>
      </c>
      <c r="I121" s="6" t="s">
        <v>45</v>
      </c>
      <c r="J121" s="87" t="s">
        <v>45</v>
      </c>
      <c r="K121" s="4" t="s">
        <v>19</v>
      </c>
      <c r="L121" s="4" t="s">
        <v>369</v>
      </c>
    </row>
    <row r="122" spans="1:13" x14ac:dyDescent="0.2">
      <c r="B122" s="1" t="s">
        <v>92</v>
      </c>
      <c r="C122" s="1" t="s">
        <v>406</v>
      </c>
      <c r="D122" s="1" t="s">
        <v>368</v>
      </c>
      <c r="E122" s="17" t="s">
        <v>45</v>
      </c>
      <c r="F122" s="17" t="s">
        <v>45</v>
      </c>
      <c r="G122" s="6" t="s">
        <v>458</v>
      </c>
      <c r="H122" s="87" t="s">
        <v>45</v>
      </c>
      <c r="I122" s="87" t="s">
        <v>45</v>
      </c>
      <c r="J122" s="87" t="s">
        <v>45</v>
      </c>
      <c r="K122" s="4" t="s">
        <v>19</v>
      </c>
      <c r="L122" s="4"/>
    </row>
    <row r="123" spans="1:13" x14ac:dyDescent="0.2">
      <c r="B123" s="1" t="s">
        <v>92</v>
      </c>
      <c r="C123" s="1" t="s">
        <v>407</v>
      </c>
      <c r="D123" s="1" t="s">
        <v>368</v>
      </c>
      <c r="E123" s="17" t="s">
        <v>45</v>
      </c>
      <c r="F123" s="17" t="s">
        <v>45</v>
      </c>
      <c r="G123" s="6" t="s">
        <v>460</v>
      </c>
      <c r="H123" s="87" t="s">
        <v>45</v>
      </c>
      <c r="I123" s="87" t="s">
        <v>45</v>
      </c>
      <c r="J123" s="87" t="s">
        <v>45</v>
      </c>
      <c r="K123" s="4" t="s">
        <v>19</v>
      </c>
      <c r="L123" s="4"/>
    </row>
    <row r="124" spans="1:13" x14ac:dyDescent="0.2">
      <c r="B124" s="1" t="s">
        <v>92</v>
      </c>
      <c r="C124" s="1" t="s">
        <v>408</v>
      </c>
      <c r="D124" s="1" t="s">
        <v>411</v>
      </c>
      <c r="E124" s="17" t="s">
        <v>45</v>
      </c>
      <c r="F124" s="17" t="s">
        <v>45</v>
      </c>
      <c r="G124" s="17" t="s">
        <v>620</v>
      </c>
      <c r="H124" s="87" t="s">
        <v>45</v>
      </c>
      <c r="I124" s="87" t="s">
        <v>45</v>
      </c>
      <c r="J124" s="87" t="s">
        <v>45</v>
      </c>
      <c r="K124" s="4" t="s">
        <v>19</v>
      </c>
      <c r="L124" s="4"/>
    </row>
    <row r="125" spans="1:13" x14ac:dyDescent="0.2">
      <c r="B125" s="1" t="s">
        <v>92</v>
      </c>
      <c r="C125" s="1" t="s">
        <v>409</v>
      </c>
      <c r="D125" s="1" t="s">
        <v>410</v>
      </c>
      <c r="E125" s="17" t="s">
        <v>45</v>
      </c>
      <c r="F125" s="17" t="s">
        <v>45</v>
      </c>
      <c r="G125" s="17" t="s">
        <v>621</v>
      </c>
      <c r="H125" s="87" t="s">
        <v>45</v>
      </c>
      <c r="I125" s="87" t="s">
        <v>45</v>
      </c>
      <c r="J125" s="87" t="s">
        <v>45</v>
      </c>
      <c r="K125" s="4" t="s">
        <v>19</v>
      </c>
      <c r="L125" s="4"/>
    </row>
    <row r="126" spans="1:13" x14ac:dyDescent="0.2">
      <c r="B126" s="1" t="s">
        <v>92</v>
      </c>
      <c r="C126" s="1" t="s">
        <v>413</v>
      </c>
      <c r="D126" s="1" t="s">
        <v>5</v>
      </c>
      <c r="E126" s="17" t="s">
        <v>45</v>
      </c>
      <c r="F126" s="17" t="s">
        <v>45</v>
      </c>
      <c r="G126" s="126" t="s">
        <v>461</v>
      </c>
      <c r="H126" s="87" t="s">
        <v>45</v>
      </c>
      <c r="I126" s="87" t="s">
        <v>45</v>
      </c>
      <c r="J126" s="87" t="s">
        <v>45</v>
      </c>
      <c r="K126" s="4" t="s">
        <v>19</v>
      </c>
      <c r="L126" s="4"/>
      <c r="M126" s="5"/>
    </row>
    <row r="127" spans="1:13" x14ac:dyDescent="0.2">
      <c r="B127" s="1" t="s">
        <v>92</v>
      </c>
      <c r="C127" s="1" t="s">
        <v>593</v>
      </c>
      <c r="D127" s="1" t="s">
        <v>603</v>
      </c>
      <c r="E127" s="17" t="s">
        <v>45</v>
      </c>
      <c r="F127" s="17" t="s">
        <v>45</v>
      </c>
      <c r="G127" s="6" t="s">
        <v>594</v>
      </c>
      <c r="H127" s="17" t="s">
        <v>45</v>
      </c>
      <c r="I127" s="17" t="s">
        <v>45</v>
      </c>
      <c r="J127" s="17" t="s">
        <v>45</v>
      </c>
      <c r="K127" s="36" t="s">
        <v>19</v>
      </c>
      <c r="L127" s="2"/>
    </row>
    <row r="128" spans="1:13" x14ac:dyDescent="0.2">
      <c r="B128" s="1" t="s">
        <v>92</v>
      </c>
      <c r="C128" s="1" t="s">
        <v>595</v>
      </c>
      <c r="D128" s="1" t="s">
        <v>604</v>
      </c>
      <c r="E128" s="17" t="s">
        <v>45</v>
      </c>
      <c r="F128" s="17" t="s">
        <v>45</v>
      </c>
      <c r="G128" s="6" t="s">
        <v>596</v>
      </c>
      <c r="H128" s="17" t="s">
        <v>45</v>
      </c>
      <c r="I128" s="17" t="s">
        <v>45</v>
      </c>
      <c r="J128" s="17" t="s">
        <v>45</v>
      </c>
      <c r="K128" s="36" t="s">
        <v>19</v>
      </c>
      <c r="L128" s="2"/>
    </row>
    <row r="129" spans="1:12" x14ac:dyDescent="0.2">
      <c r="B129" s="1" t="s">
        <v>92</v>
      </c>
      <c r="C129" s="1" t="s">
        <v>597</v>
      </c>
      <c r="D129" s="1" t="s">
        <v>605</v>
      </c>
      <c r="E129" s="17" t="s">
        <v>45</v>
      </c>
      <c r="F129" s="17" t="s">
        <v>45</v>
      </c>
      <c r="G129" s="6" t="s">
        <v>598</v>
      </c>
      <c r="H129" s="17" t="s">
        <v>45</v>
      </c>
      <c r="I129" s="17" t="s">
        <v>45</v>
      </c>
      <c r="J129" s="17" t="s">
        <v>45</v>
      </c>
      <c r="K129" s="36" t="s">
        <v>19</v>
      </c>
      <c r="L129" s="2"/>
    </row>
    <row r="130" spans="1:12" x14ac:dyDescent="0.2">
      <c r="B130" s="1" t="s">
        <v>92</v>
      </c>
      <c r="C130" s="1" t="s">
        <v>599</v>
      </c>
      <c r="D130" s="1" t="s">
        <v>606</v>
      </c>
      <c r="E130" s="17" t="s">
        <v>45</v>
      </c>
      <c r="F130" s="17" t="s">
        <v>45</v>
      </c>
      <c r="G130" s="6" t="s">
        <v>601</v>
      </c>
      <c r="H130" s="17" t="s">
        <v>45</v>
      </c>
      <c r="I130" s="17" t="s">
        <v>45</v>
      </c>
      <c r="J130" s="17" t="s">
        <v>45</v>
      </c>
      <c r="K130" s="36" t="s">
        <v>19</v>
      </c>
      <c r="L130" s="2"/>
    </row>
    <row r="131" spans="1:12" x14ac:dyDescent="0.2">
      <c r="B131" s="1" t="s">
        <v>92</v>
      </c>
      <c r="C131" s="1" t="s">
        <v>600</v>
      </c>
      <c r="D131" s="1" t="s">
        <v>607</v>
      </c>
      <c r="E131" s="17" t="s">
        <v>45</v>
      </c>
      <c r="F131" s="17" t="s">
        <v>45</v>
      </c>
      <c r="G131" s="6" t="s">
        <v>602</v>
      </c>
      <c r="H131" s="17" t="s">
        <v>45</v>
      </c>
      <c r="I131" s="17" t="s">
        <v>45</v>
      </c>
      <c r="J131" s="17" t="s">
        <v>45</v>
      </c>
      <c r="K131" s="36" t="s">
        <v>19</v>
      </c>
      <c r="L131" s="2"/>
    </row>
    <row r="132" spans="1:12" x14ac:dyDescent="0.2">
      <c r="B132" s="1" t="s">
        <v>92</v>
      </c>
      <c r="C132" s="1" t="s">
        <v>414</v>
      </c>
      <c r="D132" s="1" t="s">
        <v>3</v>
      </c>
      <c r="E132" s="17" t="s">
        <v>45</v>
      </c>
      <c r="F132" s="17" t="s">
        <v>45</v>
      </c>
      <c r="G132" s="18" t="s">
        <v>462</v>
      </c>
      <c r="H132" s="87" t="s">
        <v>45</v>
      </c>
      <c r="I132" s="87" t="s">
        <v>45</v>
      </c>
      <c r="J132" s="87" t="s">
        <v>45</v>
      </c>
      <c r="K132" s="4" t="s">
        <v>19</v>
      </c>
      <c r="L132" s="4"/>
    </row>
    <row r="133" spans="1:12" x14ac:dyDescent="0.2">
      <c r="B133" s="1" t="s">
        <v>92</v>
      </c>
      <c r="C133" s="1" t="s">
        <v>415</v>
      </c>
      <c r="D133" s="1" t="s">
        <v>21</v>
      </c>
      <c r="E133" s="17" t="s">
        <v>45</v>
      </c>
      <c r="F133" s="17" t="s">
        <v>45</v>
      </c>
      <c r="G133" s="18" t="s">
        <v>463</v>
      </c>
      <c r="H133" s="87" t="s">
        <v>45</v>
      </c>
      <c r="I133" s="87" t="s">
        <v>45</v>
      </c>
      <c r="J133" s="87" t="s">
        <v>45</v>
      </c>
      <c r="K133" s="4" t="s">
        <v>19</v>
      </c>
    </row>
    <row r="134" spans="1:12" s="14" customFormat="1" x14ac:dyDescent="0.2">
      <c r="A134" s="1"/>
      <c r="B134" s="14" t="s">
        <v>92</v>
      </c>
      <c r="C134" s="14" t="s">
        <v>416</v>
      </c>
      <c r="D134" s="14" t="s">
        <v>7</v>
      </c>
      <c r="E134" s="21" t="s">
        <v>45</v>
      </c>
      <c r="F134" s="21" t="s">
        <v>45</v>
      </c>
      <c r="G134" s="131" t="s">
        <v>464</v>
      </c>
      <c r="H134" s="94" t="s">
        <v>45</v>
      </c>
      <c r="I134" s="94" t="s">
        <v>45</v>
      </c>
      <c r="J134" s="21" t="s">
        <v>45</v>
      </c>
      <c r="K134" s="95" t="s">
        <v>19</v>
      </c>
    </row>
    <row r="135" spans="1:12" x14ac:dyDescent="0.2">
      <c r="B135" s="1" t="s">
        <v>92</v>
      </c>
      <c r="C135" s="1" t="s">
        <v>188</v>
      </c>
      <c r="D135" s="1" t="s">
        <v>42</v>
      </c>
      <c r="E135" s="17" t="s">
        <v>45</v>
      </c>
      <c r="F135" s="17" t="s">
        <v>45</v>
      </c>
      <c r="G135" s="18" t="s">
        <v>315</v>
      </c>
      <c r="H135" s="18" t="s">
        <v>45</v>
      </c>
      <c r="I135" s="18" t="s">
        <v>45</v>
      </c>
      <c r="J135" s="17" t="s">
        <v>45</v>
      </c>
      <c r="K135" s="1" t="s">
        <v>19</v>
      </c>
    </row>
    <row r="136" spans="1:12" x14ac:dyDescent="0.2">
      <c r="B136" s="1" t="s">
        <v>92</v>
      </c>
      <c r="C136" s="1" t="s">
        <v>189</v>
      </c>
      <c r="D136" s="1" t="s">
        <v>43</v>
      </c>
      <c r="E136" s="17" t="s">
        <v>45</v>
      </c>
      <c r="F136" s="17" t="s">
        <v>45</v>
      </c>
      <c r="G136" s="18" t="s">
        <v>316</v>
      </c>
      <c r="H136" s="18" t="s">
        <v>45</v>
      </c>
      <c r="I136" s="18" t="s">
        <v>45</v>
      </c>
      <c r="J136" s="17" t="s">
        <v>45</v>
      </c>
      <c r="K136" s="1" t="s">
        <v>19</v>
      </c>
    </row>
    <row r="137" spans="1:12" x14ac:dyDescent="0.2">
      <c r="B137" s="1" t="s">
        <v>92</v>
      </c>
      <c r="C137" s="1" t="s">
        <v>190</v>
      </c>
      <c r="D137" s="1" t="s">
        <v>44</v>
      </c>
      <c r="E137" s="17" t="s">
        <v>45</v>
      </c>
      <c r="F137" s="17" t="s">
        <v>45</v>
      </c>
      <c r="G137" s="18" t="s">
        <v>317</v>
      </c>
      <c r="H137" s="18" t="s">
        <v>45</v>
      </c>
      <c r="I137" s="18" t="s">
        <v>45</v>
      </c>
      <c r="J137" s="17" t="s">
        <v>45</v>
      </c>
      <c r="K137" s="1" t="s">
        <v>19</v>
      </c>
    </row>
    <row r="138" spans="1:12" x14ac:dyDescent="0.2">
      <c r="B138" s="1" t="s">
        <v>92</v>
      </c>
      <c r="C138" s="1" t="s">
        <v>178</v>
      </c>
      <c r="D138" s="1" t="s">
        <v>31</v>
      </c>
      <c r="E138" s="17" t="s">
        <v>45</v>
      </c>
      <c r="F138" s="17" t="s">
        <v>45</v>
      </c>
      <c r="G138" s="17" t="s">
        <v>177</v>
      </c>
      <c r="H138" s="17" t="s">
        <v>45</v>
      </c>
      <c r="I138" s="17" t="s">
        <v>45</v>
      </c>
      <c r="J138" s="17" t="s">
        <v>45</v>
      </c>
      <c r="K138" s="1" t="s">
        <v>19</v>
      </c>
    </row>
    <row r="139" spans="1:12" x14ac:dyDescent="0.2">
      <c r="B139" s="1" t="s">
        <v>92</v>
      </c>
      <c r="C139" s="1" t="s">
        <v>419</v>
      </c>
      <c r="D139" s="1" t="s">
        <v>418</v>
      </c>
      <c r="E139" s="17" t="s">
        <v>45</v>
      </c>
      <c r="F139" s="17" t="s">
        <v>45</v>
      </c>
      <c r="G139" s="6" t="s">
        <v>451</v>
      </c>
      <c r="H139" s="18" t="s">
        <v>45</v>
      </c>
      <c r="I139" s="18" t="s">
        <v>45</v>
      </c>
      <c r="J139" s="17" t="s">
        <v>45</v>
      </c>
      <c r="K139" s="1" t="s">
        <v>19</v>
      </c>
      <c r="L139" s="4"/>
    </row>
    <row r="140" spans="1:12" x14ac:dyDescent="0.2">
      <c r="B140" s="1" t="s">
        <v>92</v>
      </c>
      <c r="C140" s="1" t="s">
        <v>432</v>
      </c>
      <c r="D140" s="1" t="s">
        <v>436</v>
      </c>
      <c r="E140" s="17" t="s">
        <v>45</v>
      </c>
      <c r="F140" s="17" t="s">
        <v>45</v>
      </c>
      <c r="G140" s="18" t="s">
        <v>452</v>
      </c>
      <c r="H140" s="120" t="s">
        <v>45</v>
      </c>
      <c r="I140" s="120" t="s">
        <v>45</v>
      </c>
      <c r="J140" s="17" t="s">
        <v>45</v>
      </c>
      <c r="K140" s="1" t="s">
        <v>19</v>
      </c>
      <c r="L140" s="1" t="s">
        <v>417</v>
      </c>
    </row>
    <row r="141" spans="1:12" x14ac:dyDescent="0.2">
      <c r="B141" s="1" t="s">
        <v>92</v>
      </c>
      <c r="C141" s="1" t="s">
        <v>433</v>
      </c>
      <c r="D141" s="1" t="s">
        <v>437</v>
      </c>
      <c r="E141" s="17" t="s">
        <v>45</v>
      </c>
      <c r="F141" s="17" t="s">
        <v>45</v>
      </c>
      <c r="G141" s="18" t="s">
        <v>453</v>
      </c>
      <c r="H141" s="120" t="s">
        <v>45</v>
      </c>
      <c r="I141" s="120" t="s">
        <v>45</v>
      </c>
      <c r="J141" s="17" t="s">
        <v>45</v>
      </c>
      <c r="K141" s="1" t="s">
        <v>19</v>
      </c>
      <c r="L141" s="1" t="s">
        <v>417</v>
      </c>
    </row>
    <row r="142" spans="1:12" x14ac:dyDescent="0.2">
      <c r="B142" s="1" t="s">
        <v>92</v>
      </c>
      <c r="C142" s="1" t="s">
        <v>434</v>
      </c>
      <c r="D142" s="1" t="s">
        <v>435</v>
      </c>
      <c r="E142" s="17" t="s">
        <v>45</v>
      </c>
      <c r="F142" s="17" t="s">
        <v>45</v>
      </c>
      <c r="G142" s="17" t="s">
        <v>448</v>
      </c>
      <c r="H142" s="120" t="s">
        <v>45</v>
      </c>
      <c r="I142" s="120" t="s">
        <v>45</v>
      </c>
      <c r="J142" s="17" t="s">
        <v>45</v>
      </c>
      <c r="K142" s="1" t="s">
        <v>19</v>
      </c>
      <c r="L142" s="1" t="s">
        <v>417</v>
      </c>
    </row>
    <row r="143" spans="1:12" x14ac:dyDescent="0.2">
      <c r="B143" s="1" t="s">
        <v>92</v>
      </c>
      <c r="C143" s="1" t="s">
        <v>441</v>
      </c>
      <c r="D143" s="1" t="s">
        <v>440</v>
      </c>
      <c r="E143" s="17" t="s">
        <v>45</v>
      </c>
      <c r="F143" s="17" t="s">
        <v>45</v>
      </c>
      <c r="G143" s="18" t="s">
        <v>454</v>
      </c>
      <c r="H143" s="120" t="s">
        <v>45</v>
      </c>
      <c r="I143" s="120" t="s">
        <v>45</v>
      </c>
      <c r="J143" s="17" t="s">
        <v>45</v>
      </c>
      <c r="K143" s="1" t="s">
        <v>19</v>
      </c>
      <c r="L143" s="1" t="s">
        <v>417</v>
      </c>
    </row>
    <row r="144" spans="1:12" x14ac:dyDescent="0.2">
      <c r="B144" s="1" t="s">
        <v>92</v>
      </c>
      <c r="C144" s="1" t="s">
        <v>442</v>
      </c>
      <c r="D144" s="1" t="s">
        <v>439</v>
      </c>
      <c r="E144" s="17" t="s">
        <v>45</v>
      </c>
      <c r="F144" s="17" t="s">
        <v>45</v>
      </c>
      <c r="G144" s="18" t="s">
        <v>455</v>
      </c>
      <c r="H144" s="120" t="s">
        <v>45</v>
      </c>
      <c r="I144" s="120" t="s">
        <v>45</v>
      </c>
      <c r="J144" s="17" t="s">
        <v>45</v>
      </c>
      <c r="K144" s="1" t="s">
        <v>19</v>
      </c>
      <c r="L144" s="1" t="s">
        <v>417</v>
      </c>
    </row>
    <row r="145" spans="1:12" s="14" customFormat="1" x14ac:dyDescent="0.2">
      <c r="A145" s="1"/>
      <c r="B145" s="14" t="s">
        <v>92</v>
      </c>
      <c r="C145" s="14" t="s">
        <v>443</v>
      </c>
      <c r="D145" s="14" t="s">
        <v>438</v>
      </c>
      <c r="E145" s="21" t="s">
        <v>45</v>
      </c>
      <c r="F145" s="21" t="s">
        <v>45</v>
      </c>
      <c r="G145" s="21" t="s">
        <v>449</v>
      </c>
      <c r="H145" s="128" t="s">
        <v>45</v>
      </c>
      <c r="I145" s="128" t="s">
        <v>45</v>
      </c>
      <c r="J145" s="21" t="s">
        <v>45</v>
      </c>
      <c r="K145" s="14" t="s">
        <v>19</v>
      </c>
      <c r="L145" s="14" t="s">
        <v>417</v>
      </c>
    </row>
    <row r="146" spans="1:12" x14ac:dyDescent="0.2">
      <c r="B146" s="1" t="s">
        <v>92</v>
      </c>
      <c r="C146" s="1" t="s">
        <v>334</v>
      </c>
      <c r="D146" s="1" t="s">
        <v>337</v>
      </c>
      <c r="E146" s="17" t="s">
        <v>45</v>
      </c>
      <c r="F146" s="17" t="s">
        <v>45</v>
      </c>
      <c r="G146" s="86" t="s">
        <v>340</v>
      </c>
      <c r="H146" s="18" t="s">
        <v>45</v>
      </c>
      <c r="I146" s="18" t="s">
        <v>45</v>
      </c>
      <c r="J146" s="17" t="s">
        <v>45</v>
      </c>
      <c r="K146" s="1" t="s">
        <v>19</v>
      </c>
    </row>
    <row r="147" spans="1:12" x14ac:dyDescent="0.2">
      <c r="B147" s="1" t="s">
        <v>92</v>
      </c>
      <c r="C147" s="1" t="s">
        <v>335</v>
      </c>
      <c r="D147" s="1" t="s">
        <v>338</v>
      </c>
      <c r="E147" s="17" t="s">
        <v>45</v>
      </c>
      <c r="F147" s="17" t="s">
        <v>45</v>
      </c>
      <c r="G147" s="86" t="s">
        <v>341</v>
      </c>
      <c r="H147" s="18" t="s">
        <v>45</v>
      </c>
      <c r="I147" s="18" t="s">
        <v>45</v>
      </c>
      <c r="J147" s="17" t="s">
        <v>45</v>
      </c>
      <c r="K147" s="1" t="s">
        <v>19</v>
      </c>
    </row>
    <row r="148" spans="1:12" x14ac:dyDescent="0.2">
      <c r="B148" s="1" t="s">
        <v>92</v>
      </c>
      <c r="C148" s="1" t="s">
        <v>336</v>
      </c>
      <c r="D148" s="1" t="s">
        <v>339</v>
      </c>
      <c r="E148" s="17" t="s">
        <v>45</v>
      </c>
      <c r="F148" s="17" t="s">
        <v>45</v>
      </c>
      <c r="G148" s="86" t="s">
        <v>342</v>
      </c>
      <c r="H148" s="18" t="s">
        <v>45</v>
      </c>
      <c r="I148" s="18" t="s">
        <v>45</v>
      </c>
      <c r="J148" s="17" t="s">
        <v>45</v>
      </c>
      <c r="K148" s="1" t="s">
        <v>19</v>
      </c>
    </row>
    <row r="149" spans="1:12" x14ac:dyDescent="0.2">
      <c r="B149" s="1" t="s">
        <v>92</v>
      </c>
      <c r="C149" s="1" t="s">
        <v>306</v>
      </c>
      <c r="D149" s="1" t="s">
        <v>57</v>
      </c>
      <c r="E149" s="17" t="s">
        <v>77</v>
      </c>
      <c r="F149" s="17">
        <v>2024</v>
      </c>
      <c r="G149" s="11" t="s">
        <v>318</v>
      </c>
      <c r="H149" s="20" t="s">
        <v>45</v>
      </c>
      <c r="I149" s="20" t="s">
        <v>45</v>
      </c>
      <c r="J149" s="17" t="s">
        <v>45</v>
      </c>
      <c r="K149" s="36" t="s">
        <v>19</v>
      </c>
    </row>
    <row r="150" spans="1:12" x14ac:dyDescent="0.2">
      <c r="B150" s="1" t="s">
        <v>92</v>
      </c>
      <c r="C150" s="1" t="s">
        <v>310</v>
      </c>
      <c r="D150" s="1" t="s">
        <v>119</v>
      </c>
      <c r="E150" s="17" t="s">
        <v>77</v>
      </c>
      <c r="F150" s="17">
        <v>2024</v>
      </c>
      <c r="G150" s="9" t="s">
        <v>473</v>
      </c>
      <c r="H150" s="20" t="s">
        <v>45</v>
      </c>
      <c r="I150" s="20" t="s">
        <v>45</v>
      </c>
      <c r="J150" s="17" t="s">
        <v>45</v>
      </c>
      <c r="K150" s="42" t="s">
        <v>19</v>
      </c>
      <c r="L150" s="42" t="s">
        <v>106</v>
      </c>
    </row>
    <row r="151" spans="1:12" x14ac:dyDescent="0.2">
      <c r="B151" s="1" t="s">
        <v>92</v>
      </c>
      <c r="C151" s="1" t="s">
        <v>309</v>
      </c>
      <c r="D151" s="1" t="s">
        <v>120</v>
      </c>
      <c r="E151" s="17" t="s">
        <v>77</v>
      </c>
      <c r="F151" s="17">
        <v>2024</v>
      </c>
      <c r="G151" s="9" t="s">
        <v>474</v>
      </c>
      <c r="H151" s="20" t="s">
        <v>45</v>
      </c>
      <c r="I151" s="20" t="s">
        <v>45</v>
      </c>
      <c r="J151" s="17" t="s">
        <v>45</v>
      </c>
      <c r="K151" s="42" t="s">
        <v>19</v>
      </c>
      <c r="L151" s="42" t="s">
        <v>118</v>
      </c>
    </row>
    <row r="152" spans="1:12" s="14" customFormat="1" x14ac:dyDescent="0.2">
      <c r="A152" s="1"/>
      <c r="B152" s="14" t="s">
        <v>92</v>
      </c>
      <c r="C152" s="14" t="s">
        <v>311</v>
      </c>
      <c r="D152" s="14" t="s">
        <v>129</v>
      </c>
      <c r="E152" s="21" t="s">
        <v>77</v>
      </c>
      <c r="F152" s="21">
        <v>2024</v>
      </c>
      <c r="G152" s="41" t="s">
        <v>475</v>
      </c>
      <c r="H152" s="35" t="s">
        <v>45</v>
      </c>
      <c r="I152" s="35" t="s">
        <v>45</v>
      </c>
      <c r="J152" s="21" t="s">
        <v>45</v>
      </c>
      <c r="K152" s="89" t="s">
        <v>19</v>
      </c>
      <c r="L152" s="89" t="s">
        <v>130</v>
      </c>
    </row>
    <row r="153" spans="1:12" x14ac:dyDescent="0.2">
      <c r="B153" s="1" t="s">
        <v>92</v>
      </c>
      <c r="C153" s="1" t="s">
        <v>144</v>
      </c>
      <c r="D153" s="1" t="s">
        <v>143</v>
      </c>
      <c r="E153" s="17" t="s">
        <v>77</v>
      </c>
      <c r="F153" s="17">
        <v>2024</v>
      </c>
      <c r="G153" s="11" t="s">
        <v>320</v>
      </c>
      <c r="H153" s="17" t="s">
        <v>45</v>
      </c>
      <c r="I153" s="17" t="s">
        <v>45</v>
      </c>
      <c r="J153" s="17" t="s">
        <v>45</v>
      </c>
      <c r="K153" s="39" t="s">
        <v>19</v>
      </c>
    </row>
    <row r="154" spans="1:12" x14ac:dyDescent="0.2">
      <c r="B154" s="1" t="s">
        <v>92</v>
      </c>
      <c r="C154" s="1" t="s">
        <v>145</v>
      </c>
      <c r="D154" s="1" t="s">
        <v>152</v>
      </c>
      <c r="E154" s="17" t="s">
        <v>77</v>
      </c>
      <c r="F154" s="17">
        <v>2024</v>
      </c>
      <c r="G154" s="17" t="s">
        <v>321</v>
      </c>
      <c r="H154" s="17" t="s">
        <v>45</v>
      </c>
      <c r="I154" s="17" t="s">
        <v>45</v>
      </c>
      <c r="J154" s="17" t="s">
        <v>45</v>
      </c>
      <c r="K154" s="39" t="s">
        <v>19</v>
      </c>
    </row>
    <row r="155" spans="1:12" x14ac:dyDescent="0.2">
      <c r="B155" s="1" t="s">
        <v>92</v>
      </c>
      <c r="C155" s="1" t="s">
        <v>146</v>
      </c>
      <c r="D155" s="1" t="s">
        <v>151</v>
      </c>
      <c r="E155" s="17" t="s">
        <v>77</v>
      </c>
      <c r="F155" s="17">
        <v>2024</v>
      </c>
      <c r="G155" s="11" t="s">
        <v>322</v>
      </c>
      <c r="H155" s="17" t="s">
        <v>45</v>
      </c>
      <c r="I155" s="17" t="s">
        <v>45</v>
      </c>
      <c r="J155" s="17" t="s">
        <v>45</v>
      </c>
      <c r="K155" s="39" t="s">
        <v>19</v>
      </c>
    </row>
    <row r="156" spans="1:12" x14ac:dyDescent="0.2">
      <c r="B156" s="1" t="s">
        <v>92</v>
      </c>
      <c r="C156" s="1" t="s">
        <v>200</v>
      </c>
      <c r="D156" s="1" t="s">
        <v>154</v>
      </c>
      <c r="E156" s="17" t="s">
        <v>45</v>
      </c>
      <c r="F156" s="17">
        <v>2024</v>
      </c>
      <c r="G156" s="17" t="s">
        <v>366</v>
      </c>
      <c r="H156" s="17" t="s">
        <v>45</v>
      </c>
      <c r="I156" s="17" t="s">
        <v>45</v>
      </c>
      <c r="J156" s="17" t="s">
        <v>45</v>
      </c>
      <c r="K156" s="39" t="s">
        <v>19</v>
      </c>
      <c r="L156" s="39" t="s">
        <v>201</v>
      </c>
    </row>
    <row r="157" spans="1:12" x14ac:dyDescent="0.2">
      <c r="B157" s="1" t="s">
        <v>92</v>
      </c>
      <c r="C157" s="1" t="s">
        <v>163</v>
      </c>
      <c r="D157" s="1" t="s">
        <v>153</v>
      </c>
      <c r="E157" s="17" t="s">
        <v>77</v>
      </c>
      <c r="F157" s="17">
        <v>2024</v>
      </c>
      <c r="G157" s="17" t="s">
        <v>323</v>
      </c>
      <c r="H157" s="17" t="s">
        <v>45</v>
      </c>
      <c r="I157" s="17" t="s">
        <v>45</v>
      </c>
      <c r="J157" s="17" t="s">
        <v>45</v>
      </c>
      <c r="K157" s="39" t="s">
        <v>19</v>
      </c>
    </row>
    <row r="158" spans="1:12" x14ac:dyDescent="0.2">
      <c r="B158" s="1" t="s">
        <v>92</v>
      </c>
      <c r="C158" s="1" t="s">
        <v>162</v>
      </c>
      <c r="D158" s="1" t="s">
        <v>161</v>
      </c>
      <c r="E158" s="17" t="s">
        <v>77</v>
      </c>
      <c r="F158" s="17">
        <v>2024</v>
      </c>
      <c r="G158" s="11" t="s">
        <v>324</v>
      </c>
      <c r="H158" s="17" t="s">
        <v>45</v>
      </c>
      <c r="I158" s="17" t="s">
        <v>45</v>
      </c>
      <c r="J158" s="17" t="s">
        <v>45</v>
      </c>
      <c r="K158" s="39" t="s">
        <v>19</v>
      </c>
    </row>
    <row r="159" spans="1:12" x14ac:dyDescent="0.2">
      <c r="B159" s="1" t="s">
        <v>92</v>
      </c>
      <c r="C159" s="1" t="s">
        <v>169</v>
      </c>
      <c r="D159" s="1" t="s">
        <v>168</v>
      </c>
      <c r="E159" s="17" t="s">
        <v>77</v>
      </c>
      <c r="F159" s="17">
        <v>2024</v>
      </c>
      <c r="G159" s="9" t="s">
        <v>325</v>
      </c>
      <c r="H159" s="17" t="s">
        <v>45</v>
      </c>
      <c r="I159" s="17" t="s">
        <v>45</v>
      </c>
      <c r="J159" s="17" t="s">
        <v>45</v>
      </c>
      <c r="K159" s="39" t="s">
        <v>19</v>
      </c>
    </row>
    <row r="160" spans="1:12" s="14" customFormat="1" x14ac:dyDescent="0.2">
      <c r="A160" s="1"/>
      <c r="B160" s="14" t="s">
        <v>92</v>
      </c>
      <c r="C160" s="14" t="s">
        <v>314</v>
      </c>
      <c r="D160" s="14" t="s">
        <v>139</v>
      </c>
      <c r="E160" s="21" t="s">
        <v>45</v>
      </c>
      <c r="F160" s="21" t="s">
        <v>45</v>
      </c>
      <c r="G160" s="21" t="s">
        <v>319</v>
      </c>
      <c r="H160" s="21" t="s">
        <v>45</v>
      </c>
      <c r="I160" s="21" t="s">
        <v>45</v>
      </c>
      <c r="J160" s="21" t="s">
        <v>45</v>
      </c>
      <c r="K160" s="89" t="s">
        <v>19</v>
      </c>
    </row>
    <row r="161" spans="1:13" s="99" customFormat="1" ht="15" customHeight="1" x14ac:dyDescent="0.2">
      <c r="A161" s="90"/>
      <c r="B161" s="98" t="s">
        <v>92</v>
      </c>
      <c r="C161" s="99" t="s">
        <v>295</v>
      </c>
      <c r="D161" s="99" t="s">
        <v>296</v>
      </c>
      <c r="E161" s="100" t="s">
        <v>77</v>
      </c>
      <c r="F161" s="100">
        <v>2024</v>
      </c>
      <c r="G161" s="129" t="s">
        <v>478</v>
      </c>
      <c r="H161" s="100" t="s">
        <v>45</v>
      </c>
      <c r="I161" s="100" t="s">
        <v>45</v>
      </c>
      <c r="J161" s="100" t="s">
        <v>45</v>
      </c>
      <c r="K161" s="101" t="s">
        <v>19</v>
      </c>
    </row>
    <row r="162" spans="1:13" s="98" customFormat="1" x14ac:dyDescent="0.2">
      <c r="A162" s="1"/>
      <c r="B162" s="98" t="s">
        <v>92</v>
      </c>
      <c r="C162" s="98" t="s">
        <v>175</v>
      </c>
      <c r="D162" s="98" t="s">
        <v>174</v>
      </c>
      <c r="E162" s="100" t="s">
        <v>77</v>
      </c>
      <c r="F162" s="100">
        <v>2024</v>
      </c>
      <c r="G162" s="113" t="s">
        <v>471</v>
      </c>
      <c r="H162" s="100" t="s">
        <v>45</v>
      </c>
      <c r="I162" s="100" t="s">
        <v>45</v>
      </c>
      <c r="J162" s="100" t="s">
        <v>45</v>
      </c>
      <c r="K162" s="102" t="s">
        <v>19</v>
      </c>
      <c r="L162" s="102"/>
    </row>
    <row r="163" spans="1:13" x14ac:dyDescent="0.2">
      <c r="B163" s="1" t="s">
        <v>92</v>
      </c>
      <c r="C163" s="1" t="s">
        <v>307</v>
      </c>
      <c r="D163" s="1" t="s">
        <v>312</v>
      </c>
      <c r="E163" s="17" t="s">
        <v>77</v>
      </c>
      <c r="F163" s="17">
        <v>2024</v>
      </c>
      <c r="G163" s="9" t="s">
        <v>326</v>
      </c>
      <c r="H163" s="20" t="s">
        <v>45</v>
      </c>
      <c r="I163" s="20" t="s">
        <v>45</v>
      </c>
      <c r="J163" s="17" t="s">
        <v>45</v>
      </c>
      <c r="K163" s="1" t="s">
        <v>19</v>
      </c>
    </row>
    <row r="164" spans="1:13" s="14" customFormat="1" x14ac:dyDescent="0.2">
      <c r="A164" s="1"/>
      <c r="B164" s="14" t="s">
        <v>92</v>
      </c>
      <c r="C164" s="14" t="s">
        <v>308</v>
      </c>
      <c r="D164" s="14" t="s">
        <v>313</v>
      </c>
      <c r="E164" s="21" t="s">
        <v>77</v>
      </c>
      <c r="F164" s="21">
        <v>2024</v>
      </c>
      <c r="G164" s="41" t="s">
        <v>465</v>
      </c>
      <c r="H164" s="35" t="s">
        <v>45</v>
      </c>
      <c r="I164" s="35" t="s">
        <v>45</v>
      </c>
      <c r="J164" s="21" t="s">
        <v>45</v>
      </c>
      <c r="K164" s="14" t="s">
        <v>19</v>
      </c>
    </row>
    <row r="165" spans="1:13" x14ac:dyDescent="0.2">
      <c r="B165" s="1" t="s">
        <v>92</v>
      </c>
      <c r="C165" s="1" t="s">
        <v>192</v>
      </c>
      <c r="D165" s="1" t="s">
        <v>186</v>
      </c>
      <c r="E165" s="17" t="s">
        <v>77</v>
      </c>
      <c r="F165" s="17">
        <v>2024</v>
      </c>
      <c r="G165" s="9">
        <v>0</v>
      </c>
      <c r="H165" s="20" t="s">
        <v>45</v>
      </c>
      <c r="I165" s="20" t="s">
        <v>45</v>
      </c>
      <c r="J165" s="20" t="s">
        <v>45</v>
      </c>
      <c r="K165" s="56" t="s">
        <v>19</v>
      </c>
    </row>
    <row r="166" spans="1:13" x14ac:dyDescent="0.2">
      <c r="B166" s="1" t="s">
        <v>92</v>
      </c>
      <c r="C166" s="1" t="s">
        <v>198</v>
      </c>
      <c r="D166" s="1" t="s">
        <v>48</v>
      </c>
      <c r="E166" s="17" t="s">
        <v>77</v>
      </c>
      <c r="F166" s="17">
        <v>2024</v>
      </c>
      <c r="G166" s="9">
        <v>0</v>
      </c>
      <c r="H166" s="20" t="s">
        <v>45</v>
      </c>
      <c r="I166" s="20" t="s">
        <v>45</v>
      </c>
      <c r="J166" s="20" t="s">
        <v>45</v>
      </c>
      <c r="K166" s="56" t="s">
        <v>19</v>
      </c>
    </row>
    <row r="167" spans="1:13" x14ac:dyDescent="0.2">
      <c r="B167" s="1" t="s">
        <v>92</v>
      </c>
      <c r="C167" s="1" t="s">
        <v>328</v>
      </c>
      <c r="D167" s="1" t="s">
        <v>535</v>
      </c>
      <c r="E167" s="17" t="s">
        <v>45</v>
      </c>
      <c r="F167" s="17" t="s">
        <v>45</v>
      </c>
      <c r="G167" s="17" t="s">
        <v>587</v>
      </c>
      <c r="H167" s="20" t="s">
        <v>45</v>
      </c>
      <c r="I167" s="20" t="s">
        <v>45</v>
      </c>
      <c r="J167" s="20" t="s">
        <v>45</v>
      </c>
      <c r="K167" s="56" t="s">
        <v>19</v>
      </c>
    </row>
    <row r="168" spans="1:13" x14ac:dyDescent="0.2">
      <c r="B168" s="1" t="s">
        <v>92</v>
      </c>
      <c r="C168" s="1" t="s">
        <v>560</v>
      </c>
      <c r="D168" s="1" t="s">
        <v>561</v>
      </c>
      <c r="E168" s="17" t="s">
        <v>45</v>
      </c>
      <c r="F168" s="17" t="s">
        <v>45</v>
      </c>
      <c r="G168" s="9" t="s">
        <v>616</v>
      </c>
      <c r="H168" s="17" t="s">
        <v>45</v>
      </c>
      <c r="I168" s="17" t="s">
        <v>45</v>
      </c>
      <c r="J168" s="17" t="s">
        <v>45</v>
      </c>
      <c r="K168" s="1" t="s">
        <v>13</v>
      </c>
      <c r="L168" s="92"/>
      <c r="M168" s="92"/>
    </row>
    <row r="169" spans="1:13" x14ac:dyDescent="0.2">
      <c r="B169" s="1" t="s">
        <v>92</v>
      </c>
      <c r="C169" s="1" t="s">
        <v>529</v>
      </c>
      <c r="D169" s="1" t="s">
        <v>548</v>
      </c>
      <c r="E169" s="17" t="s">
        <v>45</v>
      </c>
      <c r="F169" s="17" t="s">
        <v>45</v>
      </c>
      <c r="G169" s="19" t="s">
        <v>586</v>
      </c>
      <c r="H169" s="9" t="s">
        <v>45</v>
      </c>
      <c r="I169" s="9" t="s">
        <v>45</v>
      </c>
      <c r="J169" s="9" t="s">
        <v>45</v>
      </c>
      <c r="K169" s="1" t="s">
        <v>47</v>
      </c>
      <c r="M169" s="92"/>
    </row>
    <row r="170" spans="1:13" x14ac:dyDescent="0.2">
      <c r="B170" s="1" t="s">
        <v>92</v>
      </c>
      <c r="C170" s="1" t="s">
        <v>530</v>
      </c>
      <c r="D170" s="1" t="s">
        <v>549</v>
      </c>
      <c r="E170" s="17" t="s">
        <v>45</v>
      </c>
      <c r="F170" s="17" t="s">
        <v>45</v>
      </c>
      <c r="G170" s="19" t="s">
        <v>588</v>
      </c>
      <c r="H170" s="9" t="s">
        <v>45</v>
      </c>
      <c r="I170" s="9" t="s">
        <v>45</v>
      </c>
      <c r="J170" s="9" t="s">
        <v>45</v>
      </c>
      <c r="K170" s="1" t="s">
        <v>47</v>
      </c>
      <c r="M170" s="92"/>
    </row>
    <row r="171" spans="1:13" x14ac:dyDescent="0.2">
      <c r="B171" s="1" t="s">
        <v>92</v>
      </c>
      <c r="C171" s="1" t="s">
        <v>329</v>
      </c>
      <c r="D171" s="1" t="s">
        <v>536</v>
      </c>
      <c r="E171" s="17" t="s">
        <v>45</v>
      </c>
      <c r="F171" s="17" t="s">
        <v>45</v>
      </c>
      <c r="G171" s="17" t="s">
        <v>537</v>
      </c>
      <c r="H171" s="20" t="s">
        <v>45</v>
      </c>
      <c r="I171" s="20" t="s">
        <v>45</v>
      </c>
      <c r="J171" s="20" t="s">
        <v>45</v>
      </c>
      <c r="K171" s="56" t="s">
        <v>19</v>
      </c>
    </row>
    <row r="172" spans="1:13" x14ac:dyDescent="0.2">
      <c r="B172" s="1" t="s">
        <v>92</v>
      </c>
      <c r="C172" s="1" t="s">
        <v>333</v>
      </c>
      <c r="D172" s="1" t="s">
        <v>48</v>
      </c>
      <c r="E172" s="17" t="s">
        <v>45</v>
      </c>
      <c r="F172" s="17" t="s">
        <v>45</v>
      </c>
      <c r="G172" s="9" t="s">
        <v>331</v>
      </c>
      <c r="H172" s="20" t="s">
        <v>45</v>
      </c>
      <c r="I172" s="20" t="s">
        <v>45</v>
      </c>
      <c r="J172" s="20" t="s">
        <v>45</v>
      </c>
      <c r="K172" s="56" t="s">
        <v>19</v>
      </c>
    </row>
    <row r="173" spans="1:13" x14ac:dyDescent="0.2">
      <c r="B173" s="1" t="s">
        <v>92</v>
      </c>
      <c r="C173" s="1" t="s">
        <v>332</v>
      </c>
      <c r="D173" s="1" t="s">
        <v>48</v>
      </c>
      <c r="E173" s="17" t="s">
        <v>45</v>
      </c>
      <c r="F173" s="17" t="s">
        <v>45</v>
      </c>
      <c r="G173" s="9" t="s">
        <v>330</v>
      </c>
      <c r="H173" s="20" t="s">
        <v>45</v>
      </c>
      <c r="I173" s="20" t="s">
        <v>45</v>
      </c>
      <c r="J173" s="20" t="s">
        <v>45</v>
      </c>
      <c r="K173" s="56" t="s">
        <v>19</v>
      </c>
    </row>
    <row r="174" spans="1:13" x14ac:dyDescent="0.2">
      <c r="B174" s="1" t="s">
        <v>92</v>
      </c>
      <c r="C174" s="1" t="s">
        <v>193</v>
      </c>
      <c r="D174" s="1" t="s">
        <v>29</v>
      </c>
      <c r="E174" s="17" t="s">
        <v>45</v>
      </c>
      <c r="F174" s="17" t="s">
        <v>45</v>
      </c>
      <c r="G174" s="9">
        <v>0</v>
      </c>
      <c r="H174" s="20" t="s">
        <v>45</v>
      </c>
      <c r="I174" s="20" t="s">
        <v>45</v>
      </c>
      <c r="J174" s="20" t="s">
        <v>45</v>
      </c>
      <c r="K174" s="56" t="s">
        <v>19</v>
      </c>
    </row>
    <row r="175" spans="1:13" x14ac:dyDescent="0.2">
      <c r="B175" s="1" t="s">
        <v>92</v>
      </c>
      <c r="C175" s="1" t="s">
        <v>194</v>
      </c>
      <c r="D175" s="1" t="s">
        <v>30</v>
      </c>
      <c r="E175" s="17" t="s">
        <v>45</v>
      </c>
      <c r="F175" s="17" t="s">
        <v>45</v>
      </c>
      <c r="G175" s="20" t="s">
        <v>477</v>
      </c>
      <c r="H175" s="20" t="s">
        <v>45</v>
      </c>
      <c r="I175" s="20" t="s">
        <v>45</v>
      </c>
      <c r="J175" s="19" t="s">
        <v>45</v>
      </c>
      <c r="K175" s="103" t="s">
        <v>19</v>
      </c>
      <c r="L175" s="103"/>
    </row>
    <row r="176" spans="1:13" x14ac:dyDescent="0.2">
      <c r="B176" s="1" t="s">
        <v>92</v>
      </c>
      <c r="C176" s="1" t="s">
        <v>195</v>
      </c>
      <c r="D176" s="1" t="s">
        <v>31</v>
      </c>
      <c r="E176" s="17" t="s">
        <v>45</v>
      </c>
      <c r="F176" s="17" t="s">
        <v>45</v>
      </c>
      <c r="G176" s="9">
        <v>0</v>
      </c>
      <c r="H176" s="20" t="s">
        <v>45</v>
      </c>
      <c r="I176" s="20" t="s">
        <v>45</v>
      </c>
      <c r="J176" s="19" t="s">
        <v>45</v>
      </c>
      <c r="K176" s="103" t="s">
        <v>19</v>
      </c>
    </row>
    <row r="177" spans="1:12" x14ac:dyDescent="0.2">
      <c r="B177" s="1" t="s">
        <v>92</v>
      </c>
      <c r="C177" s="1" t="s">
        <v>196</v>
      </c>
      <c r="D177" s="1" t="s">
        <v>32</v>
      </c>
      <c r="E177" s="17" t="s">
        <v>45</v>
      </c>
      <c r="F177" s="17" t="s">
        <v>45</v>
      </c>
      <c r="G177" s="20" t="s">
        <v>476</v>
      </c>
      <c r="H177" s="20" t="s">
        <v>45</v>
      </c>
      <c r="I177" s="20" t="s">
        <v>45</v>
      </c>
      <c r="J177" s="19" t="s">
        <v>45</v>
      </c>
      <c r="K177" s="104" t="s">
        <v>19</v>
      </c>
      <c r="L177" s="104"/>
    </row>
    <row r="178" spans="1:12" s="14" customFormat="1" x14ac:dyDescent="0.2">
      <c r="A178" s="1"/>
      <c r="B178" s="14" t="s">
        <v>92</v>
      </c>
      <c r="C178" s="14" t="s">
        <v>199</v>
      </c>
      <c r="D178" s="14" t="s">
        <v>197</v>
      </c>
      <c r="E178" s="21" t="s">
        <v>45</v>
      </c>
      <c r="F178" s="21" t="s">
        <v>45</v>
      </c>
      <c r="G178" s="41" t="s">
        <v>55</v>
      </c>
      <c r="H178" s="35" t="s">
        <v>45</v>
      </c>
      <c r="I178" s="35" t="s">
        <v>45</v>
      </c>
      <c r="J178" s="88" t="s">
        <v>45</v>
      </c>
      <c r="K178" s="123" t="s">
        <v>19</v>
      </c>
      <c r="L178" s="123"/>
    </row>
  </sheetData>
  <hyperlinks>
    <hyperlink ref="K13" r:id="rId1" xr:uid="{FD7AD3CE-2010-1548-8773-4334E935873D}"/>
    <hyperlink ref="K14" r:id="rId2" xr:uid="{AAEC7152-B72C-204A-82AD-AF3B359BC308}"/>
    <hyperlink ref="K21" r:id="rId3" display="https://pubmed.ncbi.nlm.nih.gov/37321235/" xr:uid="{66261750-C362-6746-828E-228644B08436}"/>
    <hyperlink ref="K34" r:id="rId4" display="https://pubmed.ncbi.nlm.nih.gov/30007303/" xr:uid="{0ECFDDB9-D3B1-714F-B5C8-3A3A7B47985E}"/>
    <hyperlink ref="K15" r:id="rId5" display="https://pmc.ncbi.nlm.nih.gov/articles/PMC7100975/" xr:uid="{E13E83E0-6EF9-164E-891B-D432949C3572}"/>
    <hyperlink ref="K11" r:id="rId6" display="https://pmc.ncbi.nlm.nih.gov/articles/PMC7510706/" xr:uid="{4E50376E-DB15-8D40-80C4-C06518F33A28}"/>
    <hyperlink ref="K36" r:id="rId7" xr:uid="{EA8EA5F0-1850-2440-B3CC-BE7D63443F72}"/>
    <hyperlink ref="K24" r:id="rId8" xr:uid="{A538F768-AFA5-F644-8270-3598DD85DD10}"/>
    <hyperlink ref="K25" r:id="rId9" xr:uid="{F490E0E9-6F8C-C447-9B51-225C99A247CF}"/>
    <hyperlink ref="K38" r:id="rId10" xr:uid="{B08011ED-ADDE-384B-8596-FFDF89725E83}"/>
    <hyperlink ref="K40" r:id="rId11" xr:uid="{0F98D078-90D5-174C-9036-54C756B28E2C}"/>
    <hyperlink ref="K54" r:id="rId12" xr:uid="{E4404A8F-73F6-1441-A59D-1C5ECDA5D8BD}"/>
    <hyperlink ref="K149" r:id="rId13" display="de Andrade, et al. 2022" xr:uid="{13B12211-F95C-094A-AC64-541C3763901A}"/>
    <hyperlink ref="K175" r:id="rId14" display="https://onlinelibrary.wiley.com/doi/pdf/10.1111/tmi.13810" xr:uid="{F9F2628E-59ED-924A-8B74-30A393734C2D}"/>
    <hyperlink ref="K87" r:id="rId15" location="T1" xr:uid="{C91D9658-6ABD-4147-A47C-429AB2C2935A}"/>
    <hyperlink ref="K86" r:id="rId16" xr:uid="{05DA7E6A-1719-9549-AC6F-D634BC7222E0}"/>
    <hyperlink ref="K88" r:id="rId17" location="T1" display="https://gh.bmj.com/content/9/12/e016648 - T1" xr:uid="{290E205D-20A6-4640-A485-2AE617F0949A}"/>
    <hyperlink ref="K95" r:id="rId18" location="T1" display="https://gh.bmj.com/content/9/12/e016648 - T1" xr:uid="{20948A76-327E-E849-BBB5-1384A4EA65EA}"/>
    <hyperlink ref="K96" r:id="rId19" location="T1" display="https://gh.bmj.com/content/9/12/e016648 - T1" xr:uid="{F134FD99-50CE-FD48-A255-15F1C4F3ABBE}"/>
    <hyperlink ref="K89" r:id="rId20" location="T1" display="https://gh.bmj.com/content/9/12/e016648 - T1" xr:uid="{058BABBF-67EC-3E42-8F38-203D99F47F10}"/>
    <hyperlink ref="K97" r:id="rId21" location="T1" display="https://gh.bmj.com/content/9/12/e016648 - T1" xr:uid="{86F6F3EB-C367-0D4E-9CA0-BE654BD51CFD}"/>
    <hyperlink ref="K98" r:id="rId22" location="T1" display="https://gh.bmj.com/content/9/12/e016648 - T1" xr:uid="{C46D19B1-359E-DF4B-A004-2D347794FF29}"/>
    <hyperlink ref="K176" r:id="rId23" display="WHO-CHOICE" xr:uid="{A7351C1C-B3D0-B445-BDEE-F5FA283FAC2C}"/>
    <hyperlink ref="K16" r:id="rId24" xr:uid="{E63E3734-00D8-0347-8484-E4688EA0E55D}"/>
    <hyperlink ref="K51" r:id="rId25" xr:uid="{DE23EE88-24C8-474B-A15A-A0F349FBCCCE}"/>
    <hyperlink ref="K52" r:id="rId26" xr:uid="{08D18822-D1B5-2D41-A9C6-36078AF2E00F}"/>
    <hyperlink ref="K56" r:id="rId27" xr:uid="{A43AA2FC-3265-264C-8F77-EE77EE79A099}"/>
    <hyperlink ref="K57" r:id="rId28" xr:uid="{175038AE-3908-BF4A-BBD2-7E0106B15A19}"/>
    <hyperlink ref="K60" r:id="rId29" xr:uid="{396015A5-4F0E-0447-B715-896E20B7E068}"/>
    <hyperlink ref="K63" r:id="rId30" xr:uid="{AEE50F4D-76C6-934F-95F0-72BC8E46FEE1}"/>
    <hyperlink ref="K66" r:id="rId31" xr:uid="{8B0DDFC3-B39C-3145-AED5-DF262B7C94F3}"/>
    <hyperlink ref="K67" r:id="rId32" xr:uid="{B2A38D56-A8AB-8E47-B6CF-7FD604291681}"/>
    <hyperlink ref="K68" r:id="rId33" xr:uid="{9A56B8B3-8EF6-4043-8138-FC5519E356B4}"/>
    <hyperlink ref="K69" r:id="rId34" xr:uid="{44F69AC8-6C54-6D4E-868B-D55D759647D6}"/>
    <hyperlink ref="K64" r:id="rId35" xr:uid="{6408BCD8-E0C7-C646-B842-BB0C7C34BFEB}"/>
    <hyperlink ref="K65" r:id="rId36" xr:uid="{E332246E-DC02-7647-BC73-1B87A4A425E4}"/>
    <hyperlink ref="K71" r:id="rId37" xr:uid="{C05396B3-BA31-C345-80F5-DADEF601B904}"/>
    <hyperlink ref="K74:K77" r:id="rId38" display="Gonçalves, et al. 2024" xr:uid="{7D256838-8E6E-B74B-88BC-CC2224979AC8}"/>
    <hyperlink ref="K79" r:id="rId39" xr:uid="{65AC8C47-B912-4241-A0C6-78051B2ADDB3}"/>
    <hyperlink ref="K82" r:id="rId40" xr:uid="{DA996AAC-7056-6045-BB84-F9A258949E30}"/>
    <hyperlink ref="K83" r:id="rId41" xr:uid="{7DF5D0AE-C36A-774E-B439-C799CE346459}"/>
    <hyperlink ref="K84" r:id="rId42" xr:uid="{A166ECA9-5C40-A34E-B54B-CFC40AD17222}"/>
    <hyperlink ref="K162" r:id="rId43" display="https://assets-eu.researchsquare.com/files/rs-1612317/v1/6ea04974-c218-4eb1-b1e9-aee9c6f753af.pdf?c=1697480328" xr:uid="{E32C0F2B-EBD1-644C-80C8-2829DFCE475A}"/>
    <hyperlink ref="K93" r:id="rId44" xr:uid="{6080E997-3759-ED47-A58B-913434AE2B3F}"/>
    <hyperlink ref="K92" r:id="rId45" xr:uid="{6C8C5A53-580B-5C4C-AC91-E4A89D8BB6A4}"/>
    <hyperlink ref="K177" r:id="rId46" display="Gonçalves, et al. 2024" xr:uid="{CB44FBC8-4D63-DA43-8719-FD987B5B3015}"/>
    <hyperlink ref="K165:K174" r:id="rId47" display="https://assets-eu.researchsquare.com/files/rs-1612317/v1/6ea04974-c218-4eb1-b1e9-aee9c6f753af.pdf?c=1697480328" xr:uid="{74579A78-BAE2-354C-A156-B5C595813C60}"/>
    <hyperlink ref="K166" r:id="rId48" display="https://assets-eu.researchsquare.com/files/rs-1612317/v1/6ea04974-c218-4eb1-b1e9-aee9c6f753af.pdf?c=1697480328" xr:uid="{888E6AC5-FC00-E640-871E-B33A15836418}"/>
    <hyperlink ref="K7" r:id="rId49" xr:uid="{6D1BBA47-7337-7441-A51A-07D82447CB33}"/>
    <hyperlink ref="K90" r:id="rId50" xr:uid="{BB319C70-7247-744E-8387-0074B4422202}"/>
    <hyperlink ref="K20" r:id="rId51" display="https://pubmed.ncbi.nlm.nih.gov/37321235/" xr:uid="{C6E2055D-1699-F449-A818-1F4D2DC2F040}"/>
    <hyperlink ref="K22" r:id="rId52" xr:uid="{FC4DA1B6-6757-2447-A26E-E81B905B8036}"/>
    <hyperlink ref="L41" r:id="rId53" xr:uid="{D71DE9C9-EA60-A146-BE55-A474E147FE89}"/>
    <hyperlink ref="K26" r:id="rId54" xr:uid="{4E7E6BA3-CB64-E142-A1D0-0DA16566C06F}"/>
    <hyperlink ref="K27" r:id="rId55" xr:uid="{71A2C5FE-C175-6E4C-B394-961A75650AB8}"/>
    <hyperlink ref="K58" r:id="rId56" xr:uid="{8C32E4AA-3510-CC47-B553-92BD195F6879}"/>
    <hyperlink ref="K113" r:id="rId57" display="https://academic.oup.com/book/12265/chapter-abstract/317026498?redirectedFrom=fulltext" xr:uid="{B702FA2A-D1AD-5747-8043-6210D160D29C}"/>
    <hyperlink ref="L18" r:id="rId58" xr:uid="{B538EFC9-0EDA-3F4E-B3EF-1522F3DF2879}"/>
    <hyperlink ref="L19" r:id="rId59" xr:uid="{A128FFAB-00DA-734E-9A72-61B62B9E6899}"/>
    <hyperlink ref="L55" r:id="rId60" xr:uid="{B3721051-77D7-AA49-9650-7B155B41B868}"/>
    <hyperlink ref="M46" r:id="rId61" display="Sarmento T, et al. 2022" xr:uid="{A0A0650B-0D95-A645-8A41-30A23B133FAF}"/>
    <hyperlink ref="M47" r:id="rId62" display="Sarmento T, et al. 2022" xr:uid="{27D5CE73-2E2E-794B-952A-D611E55E1A47}"/>
    <hyperlink ref="K167" r:id="rId63" display="https://assets-eu.researchsquare.com/files/rs-1612317/v1/6ea04974-c218-4eb1-b1e9-aee9c6f753af.pdf?c=1697480328" xr:uid="{EC3338D5-2739-6942-A1CF-FD4CC4A285DC}"/>
    <hyperlink ref="K171" r:id="rId64" display="https://assets-eu.researchsquare.com/files/rs-1612317/v1/6ea04974-c218-4eb1-b1e9-aee9c6f753af.pdf?c=1697480328" xr:uid="{70B2CE46-F052-6642-90EE-A411CB70EE63}"/>
    <hyperlink ref="K48" r:id="rId65" xr:uid="{CE25B51B-990C-7540-8500-FC3C6A3DB65F}"/>
    <hyperlink ref="K49" r:id="rId66" xr:uid="{20164A1A-759B-6847-AF90-C536D187186D}"/>
    <hyperlink ref="L42" r:id="rId67" xr:uid="{88ED66C3-1099-F848-81E1-91AD5A32F8E0}"/>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8B0D-6E58-B648-A327-1EDF76A0B5CD}">
  <sheetPr>
    <tabColor rgb="FF0070C0"/>
  </sheetPr>
  <dimension ref="A1"/>
  <sheetViews>
    <sheetView workbookViewId="0">
      <selection sqref="A1:XFD1048576"/>
    </sheetView>
  </sheetViews>
  <sheetFormatPr baseColWidth="10" defaultRowHeight="16" x14ac:dyDescent="0.2"/>
  <cols>
    <col min="1" max="16384" width="10.83203125" style="186"/>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B64C-2DFB-304E-8B0C-9F0A1DAA7AC3}">
  <dimension ref="A1:H10"/>
  <sheetViews>
    <sheetView zoomScale="180" zoomScaleNormal="180" workbookViewId="0">
      <selection activeCell="A10" sqref="A10"/>
    </sheetView>
  </sheetViews>
  <sheetFormatPr baseColWidth="10" defaultRowHeight="16" x14ac:dyDescent="0.2"/>
  <cols>
    <col min="1" max="1" width="26" style="186" customWidth="1"/>
    <col min="2" max="2" width="14.5" style="190" bestFit="1" customWidth="1"/>
    <col min="3" max="3" width="13.33203125" style="190" customWidth="1"/>
    <col min="4" max="4" width="8.83203125" style="190" customWidth="1"/>
    <col min="5" max="5" width="9.5" style="190" customWidth="1"/>
    <col min="6" max="6" width="10.83203125" style="186"/>
    <col min="7" max="7" width="28.33203125" style="186" customWidth="1"/>
    <col min="8" max="8" width="22.6640625" style="186" customWidth="1"/>
    <col min="9" max="16384" width="10.83203125" style="186"/>
  </cols>
  <sheetData>
    <row r="1" spans="1:8" x14ac:dyDescent="0.2">
      <c r="A1" s="187" t="s">
        <v>389</v>
      </c>
      <c r="B1" s="193" t="s">
        <v>386</v>
      </c>
      <c r="C1" s="193" t="s">
        <v>380</v>
      </c>
      <c r="D1" s="193" t="s">
        <v>156</v>
      </c>
      <c r="E1" s="193" t="s">
        <v>155</v>
      </c>
      <c r="F1" s="187" t="s">
        <v>385</v>
      </c>
      <c r="G1" s="187" t="s">
        <v>387</v>
      </c>
      <c r="H1" s="187" t="s">
        <v>388</v>
      </c>
    </row>
    <row r="2" spans="1:8" x14ac:dyDescent="0.2">
      <c r="A2" s="186" t="s">
        <v>378</v>
      </c>
      <c r="B2" s="216">
        <v>29</v>
      </c>
      <c r="C2" s="217">
        <v>0.98899999999999999</v>
      </c>
      <c r="D2" s="217">
        <v>0.96699999999999997</v>
      </c>
      <c r="E2" s="217">
        <v>0.998</v>
      </c>
      <c r="F2" s="186" t="s">
        <v>379</v>
      </c>
      <c r="G2" s="186" t="s">
        <v>644</v>
      </c>
      <c r="H2" s="186" t="s">
        <v>642</v>
      </c>
    </row>
    <row r="3" spans="1:8" x14ac:dyDescent="0.2">
      <c r="A3" s="186" t="s">
        <v>378</v>
      </c>
      <c r="B3" s="215">
        <v>29</v>
      </c>
      <c r="C3" s="215">
        <v>0.99099999999999999</v>
      </c>
      <c r="D3" s="215">
        <v>0.97499999999999998</v>
      </c>
      <c r="E3" s="215">
        <v>0.998</v>
      </c>
      <c r="F3" s="186" t="s">
        <v>379</v>
      </c>
      <c r="G3" s="186" t="s">
        <v>643</v>
      </c>
      <c r="H3" s="186" t="s">
        <v>617</v>
      </c>
    </row>
    <row r="4" spans="1:8" x14ac:dyDescent="0.2">
      <c r="A4" s="186" t="s">
        <v>378</v>
      </c>
      <c r="B4" s="216">
        <f>6*30.44</f>
        <v>182.64000000000001</v>
      </c>
      <c r="C4" s="215">
        <v>0.97799999999999998</v>
      </c>
      <c r="D4" s="215">
        <v>0.95599999999999996</v>
      </c>
      <c r="E4" s="217">
        <v>0.99</v>
      </c>
      <c r="F4" s="186" t="s">
        <v>379</v>
      </c>
      <c r="G4" s="186" t="s">
        <v>643</v>
      </c>
      <c r="H4" s="186" t="s">
        <v>617</v>
      </c>
    </row>
    <row r="5" spans="1:8" x14ac:dyDescent="0.2">
      <c r="A5" s="186" t="s">
        <v>378</v>
      </c>
      <c r="B5" s="215">
        <v>365</v>
      </c>
      <c r="C5" s="215">
        <v>0.98899999999999999</v>
      </c>
      <c r="D5" s="215">
        <v>0.97199999999999998</v>
      </c>
      <c r="E5" s="215">
        <v>0.997</v>
      </c>
      <c r="F5" s="186" t="s">
        <v>379</v>
      </c>
      <c r="G5" s="186" t="s">
        <v>643</v>
      </c>
      <c r="H5" s="186" t="s">
        <v>617</v>
      </c>
    </row>
    <row r="6" spans="1:8" x14ac:dyDescent="0.2">
      <c r="A6" s="188" t="s">
        <v>378</v>
      </c>
      <c r="B6" s="201">
        <f>+B5*2</f>
        <v>730</v>
      </c>
      <c r="C6" s="201">
        <v>0.96799999999999997</v>
      </c>
      <c r="D6" s="201">
        <v>0.94299999999999995</v>
      </c>
      <c r="E6" s="201">
        <v>0.98499999999999999</v>
      </c>
      <c r="F6" s="188" t="s">
        <v>379</v>
      </c>
      <c r="G6" s="188" t="s">
        <v>643</v>
      </c>
      <c r="H6" s="188" t="s">
        <v>617</v>
      </c>
    </row>
    <row r="7" spans="1:8" x14ac:dyDescent="0.2">
      <c r="A7" s="186" t="s">
        <v>390</v>
      </c>
      <c r="B7" s="215">
        <v>8</v>
      </c>
      <c r="C7" s="215">
        <v>0.46100000000000002</v>
      </c>
      <c r="D7" s="215">
        <v>0.438</v>
      </c>
      <c r="E7" s="215">
        <v>0.48099999999999998</v>
      </c>
      <c r="F7" s="186" t="s">
        <v>383</v>
      </c>
      <c r="G7" s="186" t="s">
        <v>384</v>
      </c>
      <c r="H7" s="186" t="s">
        <v>370</v>
      </c>
    </row>
    <row r="8" spans="1:8" x14ac:dyDescent="0.2">
      <c r="A8" s="186" t="s">
        <v>390</v>
      </c>
      <c r="B8" s="215">
        <v>15</v>
      </c>
      <c r="C8" s="217">
        <v>0.96</v>
      </c>
      <c r="D8" s="215">
        <v>0.94299999999999995</v>
      </c>
      <c r="E8" s="215">
        <v>0.96799999999999997</v>
      </c>
      <c r="F8" s="186" t="s">
        <v>383</v>
      </c>
      <c r="G8" s="186" t="s">
        <v>384</v>
      </c>
      <c r="H8" s="186" t="s">
        <v>370</v>
      </c>
    </row>
    <row r="9" spans="1:8" x14ac:dyDescent="0.2">
      <c r="A9" s="186" t="s">
        <v>390</v>
      </c>
      <c r="B9" s="216">
        <v>22</v>
      </c>
      <c r="C9" s="217">
        <v>0.96599999999999997</v>
      </c>
      <c r="D9" s="217">
        <v>0.95</v>
      </c>
      <c r="E9" s="215">
        <v>0.97499999999999998</v>
      </c>
      <c r="F9" s="186" t="s">
        <v>383</v>
      </c>
      <c r="G9" s="186" t="s">
        <v>384</v>
      </c>
      <c r="H9" s="186" t="s">
        <v>370</v>
      </c>
    </row>
    <row r="10" spans="1:8" x14ac:dyDescent="0.2">
      <c r="A10" s="188" t="s">
        <v>390</v>
      </c>
      <c r="B10" s="201">
        <v>183</v>
      </c>
      <c r="C10" s="218">
        <v>0.84</v>
      </c>
      <c r="D10" s="201">
        <v>0.81699999999999995</v>
      </c>
      <c r="E10" s="201">
        <v>0.85599999999999998</v>
      </c>
      <c r="F10" s="188" t="s">
        <v>383</v>
      </c>
      <c r="G10" s="188" t="s">
        <v>384</v>
      </c>
      <c r="H10" s="188" t="s">
        <v>370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EEE9-76D1-C44F-9678-76D522A0A2D0}">
  <sheetPr>
    <tabColor rgb="FF0070C0"/>
  </sheetPr>
  <dimension ref="A1"/>
  <sheetViews>
    <sheetView workbookViewId="0">
      <selection sqref="A1:XFD1048576"/>
    </sheetView>
  </sheetViews>
  <sheetFormatPr baseColWidth="10" defaultRowHeight="16" x14ac:dyDescent="0.2"/>
  <cols>
    <col min="1" max="16384" width="10.83203125" style="186"/>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8A02-B768-2D4A-AEB5-029FAE7F00BC}">
  <dimension ref="A2:H110"/>
  <sheetViews>
    <sheetView zoomScale="140" zoomScaleNormal="140" workbookViewId="0">
      <selection activeCell="C33" sqref="C33"/>
    </sheetView>
  </sheetViews>
  <sheetFormatPr baseColWidth="10" defaultColWidth="11.5" defaultRowHeight="16" x14ac:dyDescent="0.2"/>
  <cols>
    <col min="1" max="1" width="11.1640625" style="63" customWidth="1"/>
    <col min="2" max="2" width="25.83203125" style="61" customWidth="1"/>
    <col min="3" max="3" width="9.33203125" style="61" customWidth="1"/>
    <col min="4" max="4" width="12.5" style="61" customWidth="1"/>
    <col min="5" max="5" width="11.5" style="61"/>
    <col min="6" max="6" width="13.6640625" style="61" customWidth="1"/>
    <col min="7" max="7" width="19.83203125" style="61" customWidth="1"/>
    <col min="8" max="8" width="20.1640625" style="59" customWidth="1"/>
  </cols>
  <sheetData>
    <row r="2" spans="1:7" x14ac:dyDescent="0.2">
      <c r="A2" s="219" t="s">
        <v>645</v>
      </c>
      <c r="B2" s="219"/>
      <c r="C2" s="219"/>
      <c r="D2" s="219"/>
      <c r="E2" s="219"/>
      <c r="F2" s="219"/>
      <c r="G2" s="219"/>
    </row>
    <row r="3" spans="1:7" x14ac:dyDescent="0.2">
      <c r="A3" s="64"/>
      <c r="B3" s="65"/>
      <c r="C3" s="65"/>
      <c r="D3" s="65"/>
      <c r="E3" s="65"/>
      <c r="F3" s="66"/>
      <c r="G3" s="66" t="s">
        <v>204</v>
      </c>
    </row>
    <row r="4" spans="1:7" x14ac:dyDescent="0.2">
      <c r="A4" s="61" t="s">
        <v>205</v>
      </c>
      <c r="B4" s="67" t="s">
        <v>206</v>
      </c>
      <c r="C4" s="67" t="s">
        <v>207</v>
      </c>
      <c r="D4" s="220" t="s">
        <v>208</v>
      </c>
      <c r="E4" s="220" t="s">
        <v>209</v>
      </c>
      <c r="F4" s="220" t="s">
        <v>210</v>
      </c>
      <c r="G4" s="61" t="s">
        <v>211</v>
      </c>
    </row>
    <row r="5" spans="1:7" x14ac:dyDescent="0.2">
      <c r="A5" s="61" t="s">
        <v>212</v>
      </c>
      <c r="B5" s="68" t="s">
        <v>213</v>
      </c>
      <c r="C5" s="68" t="s">
        <v>214</v>
      </c>
      <c r="D5" s="220"/>
      <c r="E5" s="220"/>
      <c r="F5" s="220"/>
      <c r="G5" s="61" t="s">
        <v>215</v>
      </c>
    </row>
    <row r="6" spans="1:7" x14ac:dyDescent="0.2">
      <c r="A6" s="65" t="s">
        <v>216</v>
      </c>
      <c r="B6" s="69" t="s">
        <v>217</v>
      </c>
      <c r="C6" s="69"/>
      <c r="D6" s="220"/>
      <c r="E6" s="220"/>
      <c r="F6" s="220"/>
      <c r="G6" s="70" t="s">
        <v>218</v>
      </c>
    </row>
    <row r="7" spans="1:7" x14ac:dyDescent="0.2">
      <c r="A7" s="61" t="s">
        <v>362</v>
      </c>
      <c r="B7" s="61" t="s">
        <v>363</v>
      </c>
      <c r="D7" s="111"/>
      <c r="E7" s="111"/>
      <c r="F7" s="111"/>
      <c r="G7" s="61" t="s">
        <v>364</v>
      </c>
    </row>
    <row r="8" spans="1:7" x14ac:dyDescent="0.2">
      <c r="A8" s="71">
        <v>0</v>
      </c>
      <c r="B8" s="72">
        <v>12.255129142538699</v>
      </c>
      <c r="C8" s="73">
        <v>1225.5129142538599</v>
      </c>
      <c r="D8" s="73">
        <v>100000</v>
      </c>
      <c r="E8" s="73">
        <v>98926.550967401796</v>
      </c>
      <c r="F8" s="73">
        <v>7660788.3679197803</v>
      </c>
      <c r="G8" s="74">
        <v>76.607883679197798</v>
      </c>
    </row>
    <row r="9" spans="1:7" x14ac:dyDescent="0.2">
      <c r="A9" s="71">
        <v>1</v>
      </c>
      <c r="B9" s="72">
        <v>0.74460443305674495</v>
      </c>
      <c r="C9" s="73">
        <v>73.547920956960297</v>
      </c>
      <c r="D9" s="73">
        <v>98774.487085746106</v>
      </c>
      <c r="E9" s="73">
        <v>98737.713125267604</v>
      </c>
      <c r="F9" s="73">
        <v>7561861.8169523804</v>
      </c>
      <c r="G9" s="74">
        <v>76.556832032829703</v>
      </c>
    </row>
    <row r="10" spans="1:7" x14ac:dyDescent="0.2">
      <c r="A10" s="71">
        <v>2</v>
      </c>
      <c r="B10" s="72">
        <v>0.59254521224370904</v>
      </c>
      <c r="C10" s="73">
        <v>58.484768946058502</v>
      </c>
      <c r="D10" s="73">
        <v>98700.939164789204</v>
      </c>
      <c r="E10" s="73">
        <v>98671.696780316197</v>
      </c>
      <c r="F10" s="73">
        <v>7463124.1038271096</v>
      </c>
      <c r="G10" s="74">
        <v>75.613506487175599</v>
      </c>
    </row>
    <row r="11" spans="1:7" x14ac:dyDescent="0.2">
      <c r="A11" s="71">
        <v>3</v>
      </c>
      <c r="B11" s="72">
        <v>0.47361226782771199</v>
      </c>
      <c r="C11" s="73">
        <v>46.718276530504198</v>
      </c>
      <c r="D11" s="73">
        <v>98642.454395843102</v>
      </c>
      <c r="E11" s="73">
        <v>98619.095257577894</v>
      </c>
      <c r="F11" s="73">
        <v>7364452.4070467902</v>
      </c>
      <c r="G11" s="74">
        <v>74.658041024546307</v>
      </c>
    </row>
    <row r="12" spans="1:7" x14ac:dyDescent="0.2">
      <c r="A12" s="71">
        <v>4</v>
      </c>
      <c r="B12" s="72">
        <v>0.382096174315399</v>
      </c>
      <c r="C12" s="73">
        <v>37.673053574995699</v>
      </c>
      <c r="D12" s="73">
        <v>98595.736119312598</v>
      </c>
      <c r="E12" s="73">
        <v>98576.899592525093</v>
      </c>
      <c r="F12" s="73">
        <v>7265833.3117892202</v>
      </c>
      <c r="G12" s="74">
        <v>73.693179824700394</v>
      </c>
    </row>
    <row r="13" spans="1:7" x14ac:dyDescent="0.2">
      <c r="A13" s="71">
        <v>5</v>
      </c>
      <c r="B13" s="72">
        <v>0.31305261625040798</v>
      </c>
      <c r="C13" s="73">
        <v>30.853859495298799</v>
      </c>
      <c r="D13" s="73">
        <v>98558.063065737602</v>
      </c>
      <c r="E13" s="73">
        <v>98542.636135990004</v>
      </c>
      <c r="F13" s="73">
        <v>7167256.4121966902</v>
      </c>
      <c r="G13" s="74">
        <v>72.721157348802393</v>
      </c>
    </row>
    <row r="14" spans="1:7" x14ac:dyDescent="0.2">
      <c r="A14" s="71">
        <v>6</v>
      </c>
      <c r="B14" s="72">
        <v>0.26253592065445802</v>
      </c>
      <c r="C14" s="73">
        <v>25.8669315784791</v>
      </c>
      <c r="D14" s="73">
        <v>98527.209206242303</v>
      </c>
      <c r="E14" s="73">
        <v>98514.2757404531</v>
      </c>
      <c r="F14" s="73">
        <v>7068713.7760607004</v>
      </c>
      <c r="G14" s="74">
        <v>71.743773451088998</v>
      </c>
    </row>
    <row r="15" spans="1:7" x14ac:dyDescent="0.2">
      <c r="A15" s="71">
        <v>7</v>
      </c>
      <c r="B15" s="72">
        <v>0.22730590843856699</v>
      </c>
      <c r="C15" s="73">
        <v>22.389937088170001</v>
      </c>
      <c r="D15" s="73">
        <v>98501.342274663795</v>
      </c>
      <c r="E15" s="73">
        <v>98490.147306119805</v>
      </c>
      <c r="F15" s="73">
        <v>6970199.5003202502</v>
      </c>
      <c r="G15" s="74">
        <v>70.762482412517301</v>
      </c>
    </row>
    <row r="16" spans="1:7" x14ac:dyDescent="0.2">
      <c r="A16" s="71">
        <v>8</v>
      </c>
      <c r="B16" s="72">
        <v>0.20513093166598301</v>
      </c>
      <c r="C16" s="73">
        <v>20.201079242498999</v>
      </c>
      <c r="D16" s="73">
        <v>98478.952337575698</v>
      </c>
      <c r="E16" s="73">
        <v>98468.851797954398</v>
      </c>
      <c r="F16" s="73">
        <v>6871709.3530141301</v>
      </c>
      <c r="G16" s="74">
        <v>69.778457121056903</v>
      </c>
    </row>
    <row r="17" spans="1:7" x14ac:dyDescent="0.2">
      <c r="A17" s="71">
        <v>9</v>
      </c>
      <c r="B17" s="72">
        <v>0.19482618915390301</v>
      </c>
      <c r="C17" s="73">
        <v>19.1823432965029</v>
      </c>
      <c r="D17" s="73">
        <v>98458.751258333199</v>
      </c>
      <c r="E17" s="73">
        <v>98449.160086684904</v>
      </c>
      <c r="F17" s="73">
        <v>6773240.5012161704</v>
      </c>
      <c r="G17" s="74">
        <v>68.792671191256005</v>
      </c>
    </row>
    <row r="18" spans="1:7" x14ac:dyDescent="0.2">
      <c r="A18" s="71">
        <v>10</v>
      </c>
      <c r="B18" s="72">
        <v>0.196626707379921</v>
      </c>
      <c r="C18" s="73">
        <v>19.3558483116649</v>
      </c>
      <c r="D18" s="73">
        <v>98439.568915036696</v>
      </c>
      <c r="E18" s="73">
        <v>98429.890990880798</v>
      </c>
      <c r="F18" s="73">
        <v>6674791.3411294902</v>
      </c>
      <c r="G18" s="74">
        <v>67.805978984838006</v>
      </c>
    </row>
    <row r="19" spans="1:7" x14ac:dyDescent="0.2">
      <c r="A19" s="71">
        <v>11</v>
      </c>
      <c r="B19" s="72">
        <v>0.21238233577126001</v>
      </c>
      <c r="C19" s="73">
        <v>20.9027147382149</v>
      </c>
      <c r="D19" s="73">
        <v>98420.213066725002</v>
      </c>
      <c r="E19" s="73">
        <v>98409.761709355895</v>
      </c>
      <c r="F19" s="73">
        <v>6576361.4501386099</v>
      </c>
      <c r="G19" s="74">
        <v>66.819215740572503</v>
      </c>
    </row>
    <row r="20" spans="1:7" x14ac:dyDescent="0.2">
      <c r="A20" s="71">
        <v>12</v>
      </c>
      <c r="B20" s="72">
        <v>0.24577571005733401</v>
      </c>
      <c r="C20" s="73">
        <v>24.1841603709181</v>
      </c>
      <c r="D20" s="73">
        <v>98399.310351986802</v>
      </c>
      <c r="E20" s="73">
        <v>98387.218271801306</v>
      </c>
      <c r="F20" s="73">
        <v>6477951.6884292504</v>
      </c>
      <c r="G20" s="74">
        <v>65.833303762564995</v>
      </c>
    </row>
    <row r="21" spans="1:7" x14ac:dyDescent="0.2">
      <c r="A21" s="71">
        <v>13</v>
      </c>
      <c r="B21" s="72">
        <v>0.30333462847451997</v>
      </c>
      <c r="C21" s="73">
        <v>29.840582354474499</v>
      </c>
      <c r="D21" s="73">
        <v>98375.126191615898</v>
      </c>
      <c r="E21" s="73">
        <v>98360.205900438596</v>
      </c>
      <c r="F21" s="73">
        <v>6379564.4701574501</v>
      </c>
      <c r="G21" s="74">
        <v>64.849365049161705</v>
      </c>
    </row>
    <row r="22" spans="1:7" x14ac:dyDescent="0.2">
      <c r="A22" s="71">
        <v>14</v>
      </c>
      <c r="B22" s="72">
        <v>0.39257242363158001</v>
      </c>
      <c r="C22" s="73">
        <v>38.607647124357797</v>
      </c>
      <c r="D22" s="73">
        <v>98345.285609261395</v>
      </c>
      <c r="E22" s="73">
        <v>98325.981785699201</v>
      </c>
      <c r="F22" s="73">
        <v>6281204.2642570101</v>
      </c>
      <c r="G22" s="74">
        <v>63.8688903626052</v>
      </c>
    </row>
    <row r="23" spans="1:7" x14ac:dyDescent="0.2">
      <c r="A23" s="71">
        <v>15</v>
      </c>
      <c r="B23" s="72">
        <v>0.52121840265279096</v>
      </c>
      <c r="C23" s="73">
        <v>51.239249657533897</v>
      </c>
      <c r="D23" s="73">
        <v>98306.677962136993</v>
      </c>
      <c r="E23" s="73">
        <v>98281.058337308306</v>
      </c>
      <c r="F23" s="73">
        <v>6182878.2824713103</v>
      </c>
      <c r="G23" s="74">
        <v>62.8937770112897</v>
      </c>
    </row>
    <row r="24" spans="1:7" x14ac:dyDescent="0.2">
      <c r="A24" s="71">
        <v>16</v>
      </c>
      <c r="B24" s="72">
        <v>0.68876106281649496</v>
      </c>
      <c r="C24" s="73">
        <v>67.674520395099506</v>
      </c>
      <c r="D24" s="73">
        <v>98255.438712479503</v>
      </c>
      <c r="E24" s="73">
        <v>98221.601452282004</v>
      </c>
      <c r="F24" s="73">
        <v>6084597.224134</v>
      </c>
      <c r="G24" s="74">
        <v>61.926314755349999</v>
      </c>
    </row>
    <row r="25" spans="1:7" x14ac:dyDescent="0.2">
      <c r="A25" s="71">
        <v>17</v>
      </c>
      <c r="B25" s="72">
        <v>0.88076644196120502</v>
      </c>
      <c r="C25" s="73">
        <v>86.480487711596695</v>
      </c>
      <c r="D25" s="73">
        <v>98187.764192084403</v>
      </c>
      <c r="E25" s="73">
        <v>98144.523948228598</v>
      </c>
      <c r="F25" s="73">
        <v>5986375.6226817202</v>
      </c>
      <c r="G25" s="74">
        <v>60.968651969410303</v>
      </c>
    </row>
    <row r="26" spans="1:7" x14ac:dyDescent="0.2">
      <c r="A26" s="71">
        <v>18</v>
      </c>
      <c r="B26" s="72">
        <v>1.07138626414037</v>
      </c>
      <c r="C26" s="73">
        <v>105.104367855398</v>
      </c>
      <c r="D26" s="73">
        <v>98101.283704372807</v>
      </c>
      <c r="E26" s="73">
        <v>98048.731520445101</v>
      </c>
      <c r="F26" s="73">
        <v>5888231.0987334903</v>
      </c>
      <c r="G26" s="74">
        <v>60.021957678735497</v>
      </c>
    </row>
    <row r="27" spans="1:7" x14ac:dyDescent="0.2">
      <c r="A27" s="71">
        <v>19</v>
      </c>
      <c r="B27" s="72">
        <v>1.2280232852349899</v>
      </c>
      <c r="C27" s="73">
        <v>120.34159008930099</v>
      </c>
      <c r="D27" s="73">
        <v>97996.179336517394</v>
      </c>
      <c r="E27" s="73">
        <v>97936.008541472795</v>
      </c>
      <c r="F27" s="73">
        <v>5790182.3672130499</v>
      </c>
      <c r="G27" s="74">
        <v>59.085797083268403</v>
      </c>
    </row>
    <row r="28" spans="1:7" x14ac:dyDescent="0.2">
      <c r="A28" s="71">
        <v>20</v>
      </c>
      <c r="B28" s="72">
        <v>1.3378617794954799</v>
      </c>
      <c r="C28" s="73">
        <v>130.944342457049</v>
      </c>
      <c r="D28" s="73">
        <v>97875.837746428093</v>
      </c>
      <c r="E28" s="73">
        <v>97810.365575199598</v>
      </c>
      <c r="F28" s="73">
        <v>5692246.3586715804</v>
      </c>
      <c r="G28" s="74">
        <v>58.157830264694802</v>
      </c>
    </row>
    <row r="29" spans="1:7" x14ac:dyDescent="0.2">
      <c r="A29" s="71">
        <v>21</v>
      </c>
      <c r="B29" s="72">
        <v>1.4037197788797899</v>
      </c>
      <c r="C29" s="73">
        <v>137.20644015564201</v>
      </c>
      <c r="D29" s="73">
        <v>97744.893403971102</v>
      </c>
      <c r="E29" s="73">
        <v>97676.290183893201</v>
      </c>
      <c r="F29" s="73">
        <v>5594435.9930963796</v>
      </c>
      <c r="G29" s="74">
        <v>57.235071810606698</v>
      </c>
    </row>
    <row r="30" spans="1:7" x14ac:dyDescent="0.2">
      <c r="A30" s="71">
        <v>22</v>
      </c>
      <c r="B30" s="72">
        <v>1.44142609492434</v>
      </c>
      <c r="C30" s="73">
        <v>140.69426705486001</v>
      </c>
      <c r="D30" s="73">
        <v>97607.686963815402</v>
      </c>
      <c r="E30" s="73">
        <v>97537.339830287994</v>
      </c>
      <c r="F30" s="73">
        <v>5496759.7029124796</v>
      </c>
      <c r="G30" s="74">
        <v>56.3148239026524</v>
      </c>
    </row>
    <row r="31" spans="1:7" x14ac:dyDescent="0.2">
      <c r="A31" s="71">
        <v>23</v>
      </c>
      <c r="B31" s="72">
        <v>1.46970785891375</v>
      </c>
      <c r="C31" s="73">
        <v>143.24800515112301</v>
      </c>
      <c r="D31" s="73">
        <v>97466.992696760601</v>
      </c>
      <c r="E31" s="73">
        <v>97395.368694185003</v>
      </c>
      <c r="F31" s="73">
        <v>5399222.3630822003</v>
      </c>
      <c r="G31" s="74">
        <v>55.395392980680803</v>
      </c>
    </row>
    <row r="32" spans="1:7" x14ac:dyDescent="0.2">
      <c r="A32" s="71">
        <v>24</v>
      </c>
      <c r="B32" s="72">
        <v>1.49715305306906</v>
      </c>
      <c r="C32" s="73">
        <v>145.70854150115301</v>
      </c>
      <c r="D32" s="73">
        <v>97323.744691609405</v>
      </c>
      <c r="E32" s="73">
        <v>97250.890420858894</v>
      </c>
      <c r="F32" s="73">
        <v>5301826.9943880104</v>
      </c>
      <c r="G32" s="74">
        <v>54.476191922001703</v>
      </c>
    </row>
    <row r="33" spans="1:7" x14ac:dyDescent="0.2">
      <c r="A33" s="71">
        <v>25</v>
      </c>
      <c r="B33" s="72">
        <v>1.5281848011589201</v>
      </c>
      <c r="C33" s="73">
        <v>148.505997851069</v>
      </c>
      <c r="D33" s="73">
        <v>97178.036150108295</v>
      </c>
      <c r="E33" s="73">
        <v>97103.783151182797</v>
      </c>
      <c r="F33" s="73">
        <v>5204576.1039671497</v>
      </c>
      <c r="G33" s="74">
        <v>53.557123709804003</v>
      </c>
    </row>
    <row r="34" spans="1:7" x14ac:dyDescent="0.2">
      <c r="A34" s="71">
        <v>26</v>
      </c>
      <c r="B34" s="72">
        <v>1.5596820777024001</v>
      </c>
      <c r="C34" s="73">
        <v>151.335219186367</v>
      </c>
      <c r="D34" s="73">
        <v>97029.530152257197</v>
      </c>
      <c r="E34" s="73">
        <v>96953.862542664006</v>
      </c>
      <c r="F34" s="73">
        <v>5107472.3208159702</v>
      </c>
      <c r="G34" s="74">
        <v>52.638328896382397</v>
      </c>
    </row>
    <row r="35" spans="1:7" x14ac:dyDescent="0.2">
      <c r="A35" s="71">
        <v>27</v>
      </c>
      <c r="B35" s="72">
        <v>1.5869260250230299</v>
      </c>
      <c r="C35" s="73">
        <v>153.73852879654399</v>
      </c>
      <c r="D35" s="73">
        <v>96878.194933070801</v>
      </c>
      <c r="E35" s="73">
        <v>96801.325668672594</v>
      </c>
      <c r="F35" s="73">
        <v>5010518.4582733</v>
      </c>
      <c r="G35" s="74">
        <v>51.719775143775799</v>
      </c>
    </row>
    <row r="36" spans="1:7" x14ac:dyDescent="0.2">
      <c r="A36" s="71">
        <v>28</v>
      </c>
      <c r="B36" s="72">
        <v>1.6078902395974499</v>
      </c>
      <c r="C36" s="73">
        <v>155.52230938279499</v>
      </c>
      <c r="D36" s="73">
        <v>96724.4564042743</v>
      </c>
      <c r="E36" s="73">
        <v>96646.695249582903</v>
      </c>
      <c r="F36" s="73">
        <v>4913717.1326046297</v>
      </c>
      <c r="G36" s="74">
        <v>50.801186331479798</v>
      </c>
    </row>
    <row r="37" spans="1:7" x14ac:dyDescent="0.2">
      <c r="A37" s="71">
        <v>29</v>
      </c>
      <c r="B37" s="72">
        <v>1.6222241129782999</v>
      </c>
      <c r="C37" s="73">
        <v>156.656453453339</v>
      </c>
      <c r="D37" s="73">
        <v>96568.934094891505</v>
      </c>
      <c r="E37" s="73">
        <v>96490.605868164799</v>
      </c>
      <c r="F37" s="73">
        <v>4817070.4373550499</v>
      </c>
      <c r="G37" s="74">
        <v>49.8821953716674</v>
      </c>
    </row>
    <row r="38" spans="1:7" x14ac:dyDescent="0.2">
      <c r="A38" s="71">
        <v>30</v>
      </c>
      <c r="B38" s="72">
        <v>1.6338207786588299</v>
      </c>
      <c r="C38" s="73">
        <v>157.520382528412</v>
      </c>
      <c r="D38" s="73">
        <v>96412.277641438195</v>
      </c>
      <c r="E38" s="73">
        <v>96333.517450173997</v>
      </c>
      <c r="F38" s="73">
        <v>4720579.8314868798</v>
      </c>
      <c r="G38" s="74">
        <v>48.962434525641498</v>
      </c>
    </row>
    <row r="39" spans="1:7" x14ac:dyDescent="0.2">
      <c r="A39" s="71">
        <v>31</v>
      </c>
      <c r="B39" s="72">
        <v>1.64788517818963</v>
      </c>
      <c r="C39" s="73">
        <v>158.616787817198</v>
      </c>
      <c r="D39" s="73">
        <v>96254.757258909798</v>
      </c>
      <c r="E39" s="73">
        <v>96175.448865001104</v>
      </c>
      <c r="F39" s="73">
        <v>4624246.3140367102</v>
      </c>
      <c r="G39" s="74">
        <v>48.041743034042803</v>
      </c>
    </row>
    <row r="40" spans="1:7" x14ac:dyDescent="0.2">
      <c r="A40" s="71">
        <v>32</v>
      </c>
      <c r="B40" s="72">
        <v>1.6694934886194499</v>
      </c>
      <c r="C40" s="73">
        <v>160.43188079794299</v>
      </c>
      <c r="D40" s="73">
        <v>96096.1404710926</v>
      </c>
      <c r="E40" s="73">
        <v>96015.924530693606</v>
      </c>
      <c r="F40" s="73">
        <v>4528070.86517171</v>
      </c>
      <c r="G40" s="74">
        <v>47.120215681646798</v>
      </c>
    </row>
    <row r="41" spans="1:7" x14ac:dyDescent="0.2">
      <c r="A41" s="71">
        <v>33</v>
      </c>
      <c r="B41" s="72">
        <v>1.7034395508041</v>
      </c>
      <c r="C41" s="73">
        <v>163.42068034713199</v>
      </c>
      <c r="D41" s="73">
        <v>95935.708590294598</v>
      </c>
      <c r="E41" s="73">
        <v>95853.998250121003</v>
      </c>
      <c r="F41" s="73">
        <v>4432054.9406410204</v>
      </c>
      <c r="G41" s="74">
        <v>46.198177985724399</v>
      </c>
    </row>
    <row r="42" spans="1:7" x14ac:dyDescent="0.2">
      <c r="A42" s="71">
        <v>34</v>
      </c>
      <c r="B42" s="72">
        <v>1.75224494195178</v>
      </c>
      <c r="C42" s="73">
        <v>167.81650706935</v>
      </c>
      <c r="D42" s="73">
        <v>95772.287909947496</v>
      </c>
      <c r="E42" s="73">
        <v>95688.379656412799</v>
      </c>
      <c r="F42" s="73">
        <v>4336200.9423908899</v>
      </c>
      <c r="G42" s="74">
        <v>45.276154898462103</v>
      </c>
    </row>
    <row r="43" spans="1:7" x14ac:dyDescent="0.2">
      <c r="A43" s="71">
        <v>35</v>
      </c>
      <c r="B43" s="72">
        <v>1.8176519351942</v>
      </c>
      <c r="C43" s="73">
        <v>173.77565245865799</v>
      </c>
      <c r="D43" s="73">
        <v>95604.471402878102</v>
      </c>
      <c r="E43" s="73">
        <v>95517.583576648802</v>
      </c>
      <c r="F43" s="73">
        <v>4240512.56273448</v>
      </c>
      <c r="G43" s="74">
        <v>44.354751409742398</v>
      </c>
    </row>
    <row r="44" spans="1:7" x14ac:dyDescent="0.2">
      <c r="A44" s="71">
        <v>36</v>
      </c>
      <c r="B44" s="72">
        <v>1.8998296554828</v>
      </c>
      <c r="C44" s="73">
        <v>181.302065830023</v>
      </c>
      <c r="D44" s="73">
        <v>95430.695750419502</v>
      </c>
      <c r="E44" s="73">
        <v>95340.044717504497</v>
      </c>
      <c r="F44" s="73">
        <v>4144994.9791578301</v>
      </c>
      <c r="G44" s="74">
        <v>43.434609237244402</v>
      </c>
    </row>
    <row r="45" spans="1:7" x14ac:dyDescent="0.2">
      <c r="A45" s="71">
        <v>37</v>
      </c>
      <c r="B45" s="72">
        <v>1.9982920051422901</v>
      </c>
      <c r="C45" s="73">
        <v>190.336101894558</v>
      </c>
      <c r="D45" s="73">
        <v>95249.393684589406</v>
      </c>
      <c r="E45" s="73">
        <v>95154.2256336422</v>
      </c>
      <c r="F45" s="73">
        <v>4049654.9344403301</v>
      </c>
      <c r="G45" s="74">
        <v>42.516332942238201</v>
      </c>
    </row>
    <row r="46" spans="1:7" x14ac:dyDescent="0.2">
      <c r="A46" s="81">
        <v>38</v>
      </c>
      <c r="B46" s="82">
        <v>2.1120514715659402</v>
      </c>
      <c r="C46" s="83">
        <v>200.76962245318299</v>
      </c>
      <c r="D46" s="83">
        <v>95059.057582694906</v>
      </c>
      <c r="E46" s="83">
        <v>94958.672771468293</v>
      </c>
      <c r="F46" s="83">
        <v>3954500.7088066898</v>
      </c>
      <c r="G46" s="84">
        <v>41.600461958783299</v>
      </c>
    </row>
    <row r="47" spans="1:7" x14ac:dyDescent="0.2">
      <c r="A47" s="71">
        <v>39</v>
      </c>
      <c r="B47" s="72">
        <v>2.2396432498115399</v>
      </c>
      <c r="C47" s="73">
        <v>212.448724318834</v>
      </c>
      <c r="D47" s="73">
        <v>94858.287960241694</v>
      </c>
      <c r="E47" s="73">
        <v>94752.063598082299</v>
      </c>
      <c r="F47" s="73">
        <v>3859542.0360352201</v>
      </c>
      <c r="G47" s="74">
        <v>40.6874519773421</v>
      </c>
    </row>
    <row r="48" spans="1:7" x14ac:dyDescent="0.2">
      <c r="A48" s="71">
        <v>40</v>
      </c>
      <c r="B48" s="72">
        <v>2.3791489877064902</v>
      </c>
      <c r="C48" s="73">
        <v>225.176552608798</v>
      </c>
      <c r="D48" s="73">
        <v>94645.839235922904</v>
      </c>
      <c r="E48" s="73">
        <v>94533.250959618497</v>
      </c>
      <c r="F48" s="73">
        <v>3764789.9724371401</v>
      </c>
      <c r="G48" s="74">
        <v>39.7776595657066</v>
      </c>
    </row>
    <row r="49" spans="1:7" x14ac:dyDescent="0.2">
      <c r="A49" s="71">
        <v>41</v>
      </c>
      <c r="B49" s="72">
        <v>2.5282142769741598</v>
      </c>
      <c r="C49" s="73">
        <v>238.71566743729599</v>
      </c>
      <c r="D49" s="73">
        <v>94420.662683314105</v>
      </c>
      <c r="E49" s="73">
        <v>94301.304849595399</v>
      </c>
      <c r="F49" s="73">
        <v>3670256.7214775202</v>
      </c>
      <c r="G49" s="74">
        <v>38.871329825204903</v>
      </c>
    </row>
    <row r="50" spans="1:7" x14ac:dyDescent="0.2">
      <c r="A50" s="71">
        <v>42</v>
      </c>
      <c r="B50" s="72">
        <v>2.6853511262093201</v>
      </c>
      <c r="C50" s="73">
        <v>252.911597487677</v>
      </c>
      <c r="D50" s="73">
        <v>94181.947015876794</v>
      </c>
      <c r="E50" s="73">
        <v>94055.491217132905</v>
      </c>
      <c r="F50" s="73">
        <v>3575955.4166279202</v>
      </c>
      <c r="G50" s="74">
        <v>37.968586655201598</v>
      </c>
    </row>
    <row r="51" spans="1:7" x14ac:dyDescent="0.2">
      <c r="A51" s="71">
        <v>43</v>
      </c>
      <c r="B51" s="72">
        <v>2.84967676559131</v>
      </c>
      <c r="C51" s="73">
        <v>267.667389846189</v>
      </c>
      <c r="D51" s="73">
        <v>93929.035418389103</v>
      </c>
      <c r="E51" s="73">
        <v>93795.201723466002</v>
      </c>
      <c r="F51" s="73">
        <v>3481899.9254107899</v>
      </c>
      <c r="G51" s="74">
        <v>37.069473884207603</v>
      </c>
    </row>
    <row r="52" spans="1:7" ht="17" customHeight="1" x14ac:dyDescent="0.2">
      <c r="A52" s="75">
        <v>44</v>
      </c>
      <c r="B52" s="76">
        <v>3.0227454670957901</v>
      </c>
      <c r="C52" s="77">
        <v>283.11447565027601</v>
      </c>
      <c r="D52" s="77">
        <v>93661.3680285429</v>
      </c>
      <c r="E52" s="77">
        <v>93519.810790717806</v>
      </c>
      <c r="F52" s="77">
        <v>3388104.72368732</v>
      </c>
      <c r="G52" s="78">
        <v>36.173982881125703</v>
      </c>
    </row>
    <row r="53" spans="1:7" x14ac:dyDescent="0.2">
      <c r="A53" s="71">
        <v>45</v>
      </c>
      <c r="B53" s="72">
        <v>3.2079128309410301</v>
      </c>
      <c r="C53" s="73">
        <v>299.54929770318302</v>
      </c>
      <c r="D53" s="73">
        <v>93378.253552892595</v>
      </c>
      <c r="E53" s="73">
        <v>93228.478904041098</v>
      </c>
      <c r="F53" s="73">
        <v>3294584.9128966099</v>
      </c>
      <c r="G53" s="74">
        <v>35.282143192263099</v>
      </c>
    </row>
    <row r="54" spans="1:7" x14ac:dyDescent="0.2">
      <c r="A54" s="71">
        <v>46</v>
      </c>
      <c r="B54" s="72">
        <v>3.4102138518186398</v>
      </c>
      <c r="C54" s="73">
        <v>317.41828656038001</v>
      </c>
      <c r="D54" s="73">
        <v>93078.704255189499</v>
      </c>
      <c r="E54" s="73">
        <v>92919.995111909302</v>
      </c>
      <c r="F54" s="73">
        <v>3201356.43399256</v>
      </c>
      <c r="G54" s="74">
        <v>34.394080360375</v>
      </c>
    </row>
    <row r="55" spans="1:7" x14ac:dyDescent="0.2">
      <c r="A55" s="71">
        <v>47</v>
      </c>
      <c r="B55" s="72">
        <v>3.6360529027112301</v>
      </c>
      <c r="C55" s="73">
        <v>337.28494310544897</v>
      </c>
      <c r="D55" s="73">
        <v>92761.285968629105</v>
      </c>
      <c r="E55" s="73">
        <v>92592.643497076395</v>
      </c>
      <c r="F55" s="73">
        <v>3108436.4388806499</v>
      </c>
      <c r="G55" s="74">
        <v>33.5100619447201</v>
      </c>
    </row>
    <row r="56" spans="1:7" x14ac:dyDescent="0.2">
      <c r="A56" s="71">
        <v>48</v>
      </c>
      <c r="B56" s="72">
        <v>3.8906946061984402</v>
      </c>
      <c r="C56" s="73">
        <v>359.59356227327999</v>
      </c>
      <c r="D56" s="73">
        <v>92424.001025523597</v>
      </c>
      <c r="E56" s="73">
        <v>92244.204244387001</v>
      </c>
      <c r="F56" s="73">
        <v>3015843.79538358</v>
      </c>
      <c r="G56" s="74">
        <v>32.630526291008898</v>
      </c>
    </row>
    <row r="57" spans="1:7" x14ac:dyDescent="0.2">
      <c r="A57" s="71">
        <v>49</v>
      </c>
      <c r="B57" s="72">
        <v>4.1787102665368803</v>
      </c>
      <c r="C57" s="73">
        <v>384.71048464933102</v>
      </c>
      <c r="D57" s="73">
        <v>92064.407463250303</v>
      </c>
      <c r="E57" s="73">
        <v>91872.052220925703</v>
      </c>
      <c r="F57" s="73">
        <v>2923599.5911391899</v>
      </c>
      <c r="G57" s="74">
        <v>31.7560246320622</v>
      </c>
    </row>
    <row r="58" spans="1:7" x14ac:dyDescent="0.2">
      <c r="A58" s="71">
        <v>50</v>
      </c>
      <c r="B58" s="72">
        <v>4.5023666094277699</v>
      </c>
      <c r="C58" s="73">
        <v>412.77560643889598</v>
      </c>
      <c r="D58" s="73">
        <v>91679.696978601001</v>
      </c>
      <c r="E58" s="73">
        <v>91473.309175381597</v>
      </c>
      <c r="F58" s="73">
        <v>2831727.5389182698</v>
      </c>
      <c r="G58" s="74">
        <v>30.887182574122399</v>
      </c>
    </row>
    <row r="59" spans="1:7" x14ac:dyDescent="0.2">
      <c r="A59" s="71">
        <v>51</v>
      </c>
      <c r="B59" s="72">
        <v>4.8619325381813496</v>
      </c>
      <c r="C59" s="73">
        <v>443.73361467896001</v>
      </c>
      <c r="D59" s="73">
        <v>91266.921372162105</v>
      </c>
      <c r="E59" s="73">
        <v>91045.054564822596</v>
      </c>
      <c r="F59" s="73">
        <v>2740254.22974288</v>
      </c>
      <c r="G59" s="74">
        <v>30.024615584093802</v>
      </c>
    </row>
    <row r="60" spans="1:7" x14ac:dyDescent="0.2">
      <c r="A60" s="71">
        <v>52</v>
      </c>
      <c r="B60" s="72">
        <v>5.2563898818740897</v>
      </c>
      <c r="C60" s="73">
        <v>477.40208516798202</v>
      </c>
      <c r="D60" s="73">
        <v>90823.187757483203</v>
      </c>
      <c r="E60" s="73">
        <v>90584.486714899205</v>
      </c>
      <c r="F60" s="73">
        <v>2649209.1751780598</v>
      </c>
      <c r="G60" s="74">
        <v>29.1688635973888</v>
      </c>
    </row>
    <row r="61" spans="1:7" x14ac:dyDescent="0.2">
      <c r="A61" s="71">
        <v>53</v>
      </c>
      <c r="B61" s="72">
        <v>5.6832665648796503</v>
      </c>
      <c r="C61" s="73">
        <v>513.45918298924505</v>
      </c>
      <c r="D61" s="73">
        <v>90345.785672315207</v>
      </c>
      <c r="E61" s="73">
        <v>90089.056080820606</v>
      </c>
      <c r="F61" s="73">
        <v>2558624.6884631598</v>
      </c>
      <c r="G61" s="74">
        <v>28.3203546177938</v>
      </c>
    </row>
    <row r="62" spans="1:7" x14ac:dyDescent="0.2">
      <c r="A62" s="71">
        <v>54</v>
      </c>
      <c r="B62" s="72">
        <v>6.1395826258162298</v>
      </c>
      <c r="C62" s="73">
        <v>551.53299095052398</v>
      </c>
      <c r="D62" s="73">
        <v>89832.326489325904</v>
      </c>
      <c r="E62" s="73">
        <v>89556.559993850693</v>
      </c>
      <c r="F62" s="73">
        <v>2468535.6323823398</v>
      </c>
      <c r="G62" s="74">
        <v>27.4793688291671</v>
      </c>
    </row>
    <row r="63" spans="1:7" ht="15.75" customHeight="1" x14ac:dyDescent="0.2">
      <c r="A63" s="71">
        <v>55</v>
      </c>
      <c r="B63" s="72">
        <v>6.6217915402293404</v>
      </c>
      <c r="C63" s="73">
        <v>591.198803092513</v>
      </c>
      <c r="D63" s="73">
        <v>89280.793498375395</v>
      </c>
      <c r="E63" s="73">
        <v>88985.194096829204</v>
      </c>
      <c r="F63" s="73">
        <v>2378979.0723884902</v>
      </c>
      <c r="G63" s="74">
        <v>26.6460341487868</v>
      </c>
    </row>
    <row r="64" spans="1:7" x14ac:dyDescent="0.2">
      <c r="A64" s="71">
        <v>56</v>
      </c>
      <c r="B64" s="72">
        <v>7.1281752659938604</v>
      </c>
      <c r="C64" s="73">
        <v>632.19497525793804</v>
      </c>
      <c r="D64" s="73">
        <v>88689.594695282896</v>
      </c>
      <c r="E64" s="73">
        <v>88373.497207653898</v>
      </c>
      <c r="F64" s="73">
        <v>2289993.87829166</v>
      </c>
      <c r="G64" s="74">
        <v>25.8203218332382</v>
      </c>
    </row>
    <row r="65" spans="1:7" x14ac:dyDescent="0.2">
      <c r="A65" s="71">
        <v>57</v>
      </c>
      <c r="B65" s="72">
        <v>7.6592508605593297</v>
      </c>
      <c r="C65" s="73">
        <v>674.45371458420402</v>
      </c>
      <c r="D65" s="73">
        <v>88057.399720025001</v>
      </c>
      <c r="E65" s="73">
        <v>87720.172862732899</v>
      </c>
      <c r="F65" s="73">
        <v>2201620.38108401</v>
      </c>
      <c r="G65" s="74">
        <v>25.0021053095364</v>
      </c>
    </row>
    <row r="66" spans="1:7" x14ac:dyDescent="0.2">
      <c r="A66" s="71">
        <v>58</v>
      </c>
      <c r="B66" s="72">
        <v>8.2224316540811895</v>
      </c>
      <c r="C66" s="73">
        <v>718.50030126199999</v>
      </c>
      <c r="D66" s="73">
        <v>87382.946005440797</v>
      </c>
      <c r="E66" s="73">
        <v>87023.695854809703</v>
      </c>
      <c r="F66" s="73">
        <v>2113900.20822128</v>
      </c>
      <c r="G66" s="74">
        <v>24.191221569591601</v>
      </c>
    </row>
    <row r="67" spans="1:7" x14ac:dyDescent="0.2">
      <c r="A67" s="71">
        <v>59</v>
      </c>
      <c r="B67" s="72">
        <v>8.8328679696045196</v>
      </c>
      <c r="C67" s="73">
        <v>765.49560656397102</v>
      </c>
      <c r="D67" s="73">
        <v>86664.445704178797</v>
      </c>
      <c r="E67" s="73">
        <v>86281.697900896805</v>
      </c>
      <c r="F67" s="73">
        <v>2026876.5123664699</v>
      </c>
      <c r="G67" s="74">
        <v>23.387636024178001</v>
      </c>
    </row>
    <row r="68" spans="1:7" x14ac:dyDescent="0.2">
      <c r="A68" s="71">
        <v>60</v>
      </c>
      <c r="B68" s="72">
        <v>9.5138475383356607</v>
      </c>
      <c r="C68" s="73">
        <v>817.22951493180904</v>
      </c>
      <c r="D68" s="73">
        <v>85898.950097614797</v>
      </c>
      <c r="E68" s="73">
        <v>85490.3353401489</v>
      </c>
      <c r="F68" s="73">
        <v>1940594.81446557</v>
      </c>
      <c r="G68" s="74">
        <v>22.591601087793201</v>
      </c>
    </row>
    <row r="69" spans="1:7" x14ac:dyDescent="0.2">
      <c r="A69" s="71">
        <v>61</v>
      </c>
      <c r="B69" s="72">
        <v>10.297596226095401</v>
      </c>
      <c r="C69" s="73">
        <v>876.13720478193102</v>
      </c>
      <c r="D69" s="73">
        <v>85081.720582683003</v>
      </c>
      <c r="E69" s="73">
        <v>84643.651980291994</v>
      </c>
      <c r="F69" s="73">
        <v>1855104.4791254201</v>
      </c>
      <c r="G69" s="74">
        <v>21.803796002487001</v>
      </c>
    </row>
    <row r="70" spans="1:7" x14ac:dyDescent="0.2">
      <c r="A70" s="71">
        <v>62</v>
      </c>
      <c r="B70" s="72">
        <v>11.210041661403601</v>
      </c>
      <c r="C70" s="73">
        <v>943.94809778907802</v>
      </c>
      <c r="D70" s="73">
        <v>84205.583377900999</v>
      </c>
      <c r="E70" s="73">
        <v>83733.609329006504</v>
      </c>
      <c r="F70" s="73">
        <v>1770460.8271451299</v>
      </c>
      <c r="G70" s="74">
        <v>21.0254564617121</v>
      </c>
    </row>
    <row r="71" spans="1:7" x14ac:dyDescent="0.2">
      <c r="A71" s="71">
        <v>63</v>
      </c>
      <c r="B71" s="72">
        <v>12.267955527469701</v>
      </c>
      <c r="C71" s="73">
        <v>1021.45003876081</v>
      </c>
      <c r="D71" s="73">
        <v>83261.635280111994</v>
      </c>
      <c r="E71" s="73">
        <v>82750.910260731602</v>
      </c>
      <c r="F71" s="73">
        <v>1686727.21781612</v>
      </c>
      <c r="G71" s="74">
        <v>20.2581562581802</v>
      </c>
    </row>
    <row r="72" spans="1:7" x14ac:dyDescent="0.2">
      <c r="A72" s="71">
        <v>64</v>
      </c>
      <c r="B72" s="72">
        <v>13.4630203097344</v>
      </c>
      <c r="C72" s="73">
        <v>1107.20128418063</v>
      </c>
      <c r="D72" s="73">
        <v>82240.185241351195</v>
      </c>
      <c r="E72" s="73">
        <v>81686.584599260794</v>
      </c>
      <c r="F72" s="73">
        <v>1603976.3075553901</v>
      </c>
      <c r="G72" s="74">
        <v>19.503559030760702</v>
      </c>
    </row>
    <row r="73" spans="1:7" x14ac:dyDescent="0.2">
      <c r="A73" s="71">
        <v>65</v>
      </c>
      <c r="B73" s="72">
        <v>14.751833477478399</v>
      </c>
      <c r="C73" s="73">
        <v>1196.8602688671201</v>
      </c>
      <c r="D73" s="73">
        <v>81132.983957170494</v>
      </c>
      <c r="E73" s="73">
        <v>80534.553822736998</v>
      </c>
      <c r="F73" s="73">
        <v>1522289.72295613</v>
      </c>
      <c r="G73" s="74">
        <v>18.7628957879786</v>
      </c>
    </row>
    <row r="74" spans="1:7" x14ac:dyDescent="0.2">
      <c r="A74" s="71">
        <v>66</v>
      </c>
      <c r="B74" s="72">
        <v>16.074943177672601</v>
      </c>
      <c r="C74" s="73">
        <v>1284.9686461328799</v>
      </c>
      <c r="D74" s="73">
        <v>79936.1236883034</v>
      </c>
      <c r="E74" s="73">
        <v>79293.639365237002</v>
      </c>
      <c r="F74" s="73">
        <v>1441755.1691333901</v>
      </c>
      <c r="G74" s="74">
        <v>18.036340800753099</v>
      </c>
    </row>
    <row r="75" spans="1:7" x14ac:dyDescent="0.2">
      <c r="A75" s="71">
        <v>67</v>
      </c>
      <c r="B75" s="72">
        <v>17.3594697900166</v>
      </c>
      <c r="C75" s="73">
        <v>1365.34234990447</v>
      </c>
      <c r="D75" s="73">
        <v>78651.155042170503</v>
      </c>
      <c r="E75" s="73">
        <v>77968.483867218296</v>
      </c>
      <c r="F75" s="73">
        <v>1362461.5297681501</v>
      </c>
      <c r="G75" s="74">
        <v>17.3228419727293</v>
      </c>
    </row>
    <row r="76" spans="1:7" x14ac:dyDescent="0.2">
      <c r="A76" s="71">
        <v>68</v>
      </c>
      <c r="B76" s="72">
        <v>18.570291858248101</v>
      </c>
      <c r="C76" s="73">
        <v>1435.2200981972901</v>
      </c>
      <c r="D76" s="73">
        <v>77285.812692266001</v>
      </c>
      <c r="E76" s="73">
        <v>76568.202643167402</v>
      </c>
      <c r="F76" s="73">
        <v>1284493.04590094</v>
      </c>
      <c r="G76" s="74">
        <v>16.620036733203399</v>
      </c>
    </row>
    <row r="77" spans="1:7" x14ac:dyDescent="0.2">
      <c r="A77" s="71">
        <v>69</v>
      </c>
      <c r="B77" s="72">
        <v>19.733285304582701</v>
      </c>
      <c r="C77" s="73">
        <v>1496.78138418043</v>
      </c>
      <c r="D77" s="73">
        <v>75850.592594068803</v>
      </c>
      <c r="E77" s="73">
        <v>75102.201901978595</v>
      </c>
      <c r="F77" s="73">
        <v>1207924.8432577699</v>
      </c>
      <c r="G77" s="74">
        <v>15.9250547945254</v>
      </c>
    </row>
    <row r="78" spans="1:7" x14ac:dyDescent="0.2">
      <c r="A78" s="71">
        <v>70</v>
      </c>
      <c r="B78" s="72">
        <v>20.9322569998305</v>
      </c>
      <c r="C78" s="73">
        <v>1556.3930851622599</v>
      </c>
      <c r="D78" s="73">
        <v>74353.811209888299</v>
      </c>
      <c r="E78" s="73">
        <v>73575.614667307207</v>
      </c>
      <c r="F78" s="73">
        <v>1132822.64135579</v>
      </c>
      <c r="G78" s="74">
        <v>15.235569272407901</v>
      </c>
    </row>
    <row r="79" spans="1:7" x14ac:dyDescent="0.2">
      <c r="A79" s="71">
        <v>71</v>
      </c>
      <c r="B79" s="72">
        <v>22.3220059915996</v>
      </c>
      <c r="C79" s="73">
        <v>1624.9844035531</v>
      </c>
      <c r="D79" s="73">
        <v>72797.4181247261</v>
      </c>
      <c r="E79" s="73">
        <v>71984.925922949493</v>
      </c>
      <c r="F79" s="73">
        <v>1059247.0266884801</v>
      </c>
      <c r="G79" s="74">
        <v>14.5506125625725</v>
      </c>
    </row>
    <row r="80" spans="1:7" x14ac:dyDescent="0.2">
      <c r="A80" s="71">
        <v>72</v>
      </c>
      <c r="B80" s="72">
        <v>24.051259161959901</v>
      </c>
      <c r="C80" s="73">
        <v>1711.78664861535</v>
      </c>
      <c r="D80" s="73">
        <v>71172.433721173002</v>
      </c>
      <c r="E80" s="73">
        <v>70316.540396865297</v>
      </c>
      <c r="F80" s="73">
        <v>987262.10076553398</v>
      </c>
      <c r="G80" s="74">
        <v>13.8714112915298</v>
      </c>
    </row>
    <row r="81" spans="1:7" x14ac:dyDescent="0.2">
      <c r="A81" s="71">
        <v>73</v>
      </c>
      <c r="B81" s="72">
        <v>26.247825604476901</v>
      </c>
      <c r="C81" s="73">
        <v>1823.1909507346099</v>
      </c>
      <c r="D81" s="73">
        <v>69460.647072557593</v>
      </c>
      <c r="E81" s="73">
        <v>68549.051597190293</v>
      </c>
      <c r="F81" s="73">
        <v>916945.56036866899</v>
      </c>
      <c r="G81" s="74">
        <v>13.200936055358699</v>
      </c>
    </row>
    <row r="82" spans="1:7" x14ac:dyDescent="0.2">
      <c r="A82" s="71">
        <v>74</v>
      </c>
      <c r="B82" s="72">
        <v>28.9870110146135</v>
      </c>
      <c r="C82" s="73">
        <v>1960.60768560371</v>
      </c>
      <c r="D82" s="73">
        <v>67637.456121822994</v>
      </c>
      <c r="E82" s="73">
        <v>66657.152279021204</v>
      </c>
      <c r="F82" s="73">
        <v>848396.50877147797</v>
      </c>
      <c r="G82" s="74">
        <v>12.543294165934</v>
      </c>
    </row>
    <row r="83" spans="1:7" x14ac:dyDescent="0.2">
      <c r="A83" s="71">
        <v>75</v>
      </c>
      <c r="B83" s="72">
        <v>32.235492789874797</v>
      </c>
      <c r="C83" s="73">
        <v>2117.1255742274602</v>
      </c>
      <c r="D83" s="73">
        <v>65676.848436219298</v>
      </c>
      <c r="E83" s="73">
        <v>64618.285649105601</v>
      </c>
      <c r="F83" s="73">
        <v>781739.35649245698</v>
      </c>
      <c r="G83" s="74">
        <v>11.902814692023901</v>
      </c>
    </row>
    <row r="84" spans="1:7" x14ac:dyDescent="0.2">
      <c r="A84" s="71">
        <v>76</v>
      </c>
      <c r="B84" s="72">
        <v>35.909420030255603</v>
      </c>
      <c r="C84" s="73">
        <v>2282.3927852579</v>
      </c>
      <c r="D84" s="73">
        <v>63559.722861991802</v>
      </c>
      <c r="E84" s="73">
        <v>62418.5264693629</v>
      </c>
      <c r="F84" s="73">
        <v>717121.070843352</v>
      </c>
      <c r="G84" s="74">
        <v>11.2826336955629</v>
      </c>
    </row>
    <row r="85" spans="1:7" x14ac:dyDescent="0.2">
      <c r="A85" s="71">
        <v>77</v>
      </c>
      <c r="B85" s="72">
        <v>39.859341094658198</v>
      </c>
      <c r="C85" s="73">
        <v>2442.4740008985</v>
      </c>
      <c r="D85" s="73">
        <v>61277.330076733902</v>
      </c>
      <c r="E85" s="73">
        <v>60056.093076284698</v>
      </c>
      <c r="F85" s="73">
        <v>654702.54437398899</v>
      </c>
      <c r="G85" s="74">
        <v>10.6842537616137</v>
      </c>
    </row>
    <row r="86" spans="1:7" x14ac:dyDescent="0.2">
      <c r="A86" s="71">
        <v>78</v>
      </c>
      <c r="B86" s="72">
        <v>43.978563648520797</v>
      </c>
      <c r="C86" s="73">
        <v>2587.4724626826901</v>
      </c>
      <c r="D86" s="73">
        <v>58834.8560758354</v>
      </c>
      <c r="E86" s="73">
        <v>57541.119844494096</v>
      </c>
      <c r="F86" s="73">
        <v>594646.45129770401</v>
      </c>
      <c r="G86" s="74">
        <v>10.107043527585599</v>
      </c>
    </row>
    <row r="87" spans="1:7" x14ac:dyDescent="0.2">
      <c r="A87" s="71">
        <v>79</v>
      </c>
      <c r="B87" s="72">
        <v>48.310090256962098</v>
      </c>
      <c r="C87" s="73">
        <v>2717.3161790693798</v>
      </c>
      <c r="D87" s="73">
        <v>56247.383613152699</v>
      </c>
      <c r="E87" s="73">
        <v>54888.725523618101</v>
      </c>
      <c r="F87" s="73">
        <v>537105.33145320998</v>
      </c>
      <c r="G87" s="74">
        <v>9.5489833828931108</v>
      </c>
    </row>
    <row r="88" spans="1:7" x14ac:dyDescent="0.2">
      <c r="A88" s="71">
        <v>80</v>
      </c>
      <c r="B88" s="72">
        <v>53.020851912438999</v>
      </c>
      <c r="C88" s="73">
        <v>2838.2097782853998</v>
      </c>
      <c r="D88" s="73">
        <v>53530.067434083401</v>
      </c>
      <c r="E88" s="73">
        <v>52110.962544940703</v>
      </c>
      <c r="F88" s="73">
        <v>482216.60592959198</v>
      </c>
      <c r="G88" s="74">
        <v>9.0083317478236093</v>
      </c>
    </row>
    <row r="89" spans="1:7" x14ac:dyDescent="0.2">
      <c r="A89" s="71">
        <v>81</v>
      </c>
      <c r="B89" s="72">
        <v>58.4825119009422</v>
      </c>
      <c r="C89" s="73">
        <v>2964.5871686360802</v>
      </c>
      <c r="D89" s="73">
        <v>50691.857655797998</v>
      </c>
      <c r="E89" s="73">
        <v>49209.564071479901</v>
      </c>
      <c r="F89" s="73">
        <v>430105.64338465099</v>
      </c>
      <c r="G89" s="74">
        <v>8.4847086548909907</v>
      </c>
    </row>
    <row r="90" spans="1:7" x14ac:dyDescent="0.2">
      <c r="A90" s="71">
        <v>82</v>
      </c>
      <c r="B90" s="72">
        <v>65.073245620106803</v>
      </c>
      <c r="C90" s="73">
        <v>3105.76839518836</v>
      </c>
      <c r="D90" s="73">
        <v>47727.270487161899</v>
      </c>
      <c r="E90" s="73">
        <v>46174.386289567701</v>
      </c>
      <c r="F90" s="73">
        <v>380896.07931317098</v>
      </c>
      <c r="G90" s="74">
        <v>7.9806801316163298</v>
      </c>
    </row>
    <row r="91" spans="1:7" x14ac:dyDescent="0.2">
      <c r="A91" s="71">
        <v>83</v>
      </c>
      <c r="B91" s="72">
        <v>73.040782412668705</v>
      </c>
      <c r="C91" s="73">
        <v>3259.18942522629</v>
      </c>
      <c r="D91" s="73">
        <v>44621.502091973503</v>
      </c>
      <c r="E91" s="73">
        <v>42991.907379360397</v>
      </c>
      <c r="F91" s="73">
        <v>334721.69302360399</v>
      </c>
      <c r="G91" s="74">
        <v>7.5013542200725896</v>
      </c>
    </row>
    <row r="92" spans="1:7" x14ac:dyDescent="0.2">
      <c r="A92" s="71">
        <v>84</v>
      </c>
      <c r="B92" s="72">
        <v>82.430983565441693</v>
      </c>
      <c r="C92" s="73">
        <v>3409.5361156612998</v>
      </c>
      <c r="D92" s="73">
        <v>41362.312666747202</v>
      </c>
      <c r="E92" s="73">
        <v>39657.5446089166</v>
      </c>
      <c r="F92" s="73">
        <v>291729.78564424301</v>
      </c>
      <c r="G92" s="74">
        <v>7.0530337119852602</v>
      </c>
    </row>
    <row r="93" spans="1:7" x14ac:dyDescent="0.2">
      <c r="A93" s="71">
        <v>85</v>
      </c>
      <c r="B93" s="72">
        <v>92.772013490945895</v>
      </c>
      <c r="C93" s="73">
        <v>3520.9554982161999</v>
      </c>
      <c r="D93" s="73">
        <v>37952.776551085903</v>
      </c>
      <c r="E93" s="73">
        <v>36192.298801977799</v>
      </c>
      <c r="F93" s="73">
        <v>252072.241035327</v>
      </c>
      <c r="G93" s="74">
        <v>6.64173385828642</v>
      </c>
    </row>
    <row r="94" spans="1:7" x14ac:dyDescent="0.2">
      <c r="A94" s="71">
        <v>86</v>
      </c>
      <c r="B94" s="72">
        <v>103.321099292632</v>
      </c>
      <c r="C94" s="73">
        <v>3557.5336018296798</v>
      </c>
      <c r="D94" s="73">
        <v>34431.821052869702</v>
      </c>
      <c r="E94" s="73">
        <v>32653.054251954902</v>
      </c>
      <c r="F94" s="73">
        <v>215879.94223334899</v>
      </c>
      <c r="G94" s="74">
        <v>6.2697799777091996</v>
      </c>
    </row>
    <row r="95" spans="1:7" x14ac:dyDescent="0.2">
      <c r="A95" s="71">
        <v>87</v>
      </c>
      <c r="B95" s="72">
        <v>113.181126006025</v>
      </c>
      <c r="C95" s="73">
        <v>3494.3866183424102</v>
      </c>
      <c r="D95" s="73">
        <v>30874.287451040102</v>
      </c>
      <c r="E95" s="73">
        <v>29127.0941418689</v>
      </c>
      <c r="F95" s="73">
        <v>183226.88798139399</v>
      </c>
      <c r="G95" s="74">
        <v>5.9346110666343996</v>
      </c>
    </row>
    <row r="96" spans="1:7" x14ac:dyDescent="0.2">
      <c r="A96" s="71">
        <v>88</v>
      </c>
      <c r="B96" s="72">
        <v>121.64666061928</v>
      </c>
      <c r="C96" s="73">
        <v>3330.6735043847102</v>
      </c>
      <c r="D96" s="73">
        <v>27379.9008326976</v>
      </c>
      <c r="E96" s="73">
        <v>25714.564080505301</v>
      </c>
      <c r="F96" s="73">
        <v>154099.79383952499</v>
      </c>
      <c r="G96" s="74">
        <v>5.6282086184729998</v>
      </c>
    </row>
    <row r="97" spans="1:7" x14ac:dyDescent="0.2">
      <c r="A97" s="71">
        <v>89</v>
      </c>
      <c r="B97" s="72">
        <v>128.804200956107</v>
      </c>
      <c r="C97" s="73">
        <v>3097.6415096351202</v>
      </c>
      <c r="D97" s="73">
        <v>24049.2273283129</v>
      </c>
      <c r="E97" s="73">
        <v>22500.406573495398</v>
      </c>
      <c r="F97" s="73">
        <v>128385.22975902</v>
      </c>
      <c r="G97" s="74">
        <v>5.3384347033833004</v>
      </c>
    </row>
    <row r="98" spans="1:7" x14ac:dyDescent="0.2">
      <c r="A98" s="75" t="s">
        <v>227</v>
      </c>
      <c r="B98" s="76">
        <v>1000</v>
      </c>
      <c r="C98" s="77">
        <v>20951.585818677799</v>
      </c>
      <c r="D98" s="77">
        <v>20951.585818677799</v>
      </c>
      <c r="E98" s="77">
        <v>105884.823185524</v>
      </c>
      <c r="F98" s="77">
        <v>105884.823185524</v>
      </c>
      <c r="G98" s="78">
        <v>5.0537856228109801</v>
      </c>
    </row>
    <row r="99" spans="1:7" ht="17.25" customHeight="1" x14ac:dyDescent="0.2">
      <c r="A99" s="60" t="s">
        <v>228</v>
      </c>
      <c r="G99" s="62"/>
    </row>
    <row r="100" spans="1:7" ht="17.25" customHeight="1" x14ac:dyDescent="0.2">
      <c r="A100" s="60"/>
      <c r="G100" s="62"/>
    </row>
    <row r="101" spans="1:7" ht="16.5" customHeight="1" x14ac:dyDescent="0.2">
      <c r="A101" s="60" t="s">
        <v>219</v>
      </c>
      <c r="G101" s="62"/>
    </row>
    <row r="102" spans="1:7" ht="15.75" customHeight="1" x14ac:dyDescent="0.2">
      <c r="A102" s="60" t="s">
        <v>220</v>
      </c>
      <c r="G102" s="62"/>
    </row>
    <row r="103" spans="1:7" ht="16.5" customHeight="1" x14ac:dyDescent="0.2">
      <c r="A103" s="60" t="s">
        <v>221</v>
      </c>
      <c r="G103" s="62"/>
    </row>
    <row r="104" spans="1:7" ht="16.5" customHeight="1" x14ac:dyDescent="0.2">
      <c r="A104" s="60" t="s">
        <v>222</v>
      </c>
      <c r="G104" s="62"/>
    </row>
    <row r="105" spans="1:7" ht="16.5" customHeight="1" x14ac:dyDescent="0.2">
      <c r="A105" s="60" t="s">
        <v>223</v>
      </c>
      <c r="G105" s="62"/>
    </row>
    <row r="106" spans="1:7" ht="16.5" customHeight="1" x14ac:dyDescent="0.2">
      <c r="A106" s="60" t="s">
        <v>224</v>
      </c>
      <c r="G106" s="62"/>
    </row>
    <row r="107" spans="1:7" ht="15.75" customHeight="1" x14ac:dyDescent="0.2">
      <c r="A107" s="60" t="s">
        <v>225</v>
      </c>
      <c r="G107" s="62"/>
    </row>
    <row r="108" spans="1:7" ht="17.25" customHeight="1" x14ac:dyDescent="0.2">
      <c r="A108" s="60" t="s">
        <v>226</v>
      </c>
      <c r="G108" s="62"/>
    </row>
    <row r="109" spans="1:7" x14ac:dyDescent="0.2">
      <c r="G109" s="62"/>
    </row>
    <row r="110" spans="1:7" x14ac:dyDescent="0.2">
      <c r="G110" s="62"/>
    </row>
  </sheetData>
  <mergeCells count="4">
    <mergeCell ref="A2:G2"/>
    <mergeCell ref="D4:D6"/>
    <mergeCell ref="E4:E6"/>
    <mergeCell ref="F4:F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C3DC-F287-BD41-A31E-7EE8E383891F}">
  <dimension ref="A1:C22"/>
  <sheetViews>
    <sheetView workbookViewId="0">
      <selection activeCell="E6" sqref="E6"/>
    </sheetView>
  </sheetViews>
  <sheetFormatPr baseColWidth="10" defaultRowHeight="16" x14ac:dyDescent="0.2"/>
  <sheetData>
    <row r="1" spans="1:3" x14ac:dyDescent="0.2">
      <c r="A1" t="s">
        <v>229</v>
      </c>
      <c r="B1" t="s">
        <v>230</v>
      </c>
      <c r="C1" t="s">
        <v>231</v>
      </c>
    </row>
    <row r="2" spans="1:3" x14ac:dyDescent="0.2">
      <c r="A2" t="s">
        <v>232</v>
      </c>
      <c r="B2">
        <v>6682042</v>
      </c>
      <c r="C2">
        <v>6413556</v>
      </c>
    </row>
    <row r="3" spans="1:3" x14ac:dyDescent="0.2">
      <c r="A3" s="79">
        <v>45786</v>
      </c>
      <c r="B3">
        <v>7241538</v>
      </c>
      <c r="C3">
        <v>6953921</v>
      </c>
    </row>
    <row r="4" spans="1:3" x14ac:dyDescent="0.2">
      <c r="A4" s="79">
        <v>45944</v>
      </c>
      <c r="B4">
        <v>7342997</v>
      </c>
      <c r="C4">
        <v>7055760</v>
      </c>
    </row>
    <row r="5" spans="1:3" x14ac:dyDescent="0.2">
      <c r="A5" t="s">
        <v>233</v>
      </c>
      <c r="B5">
        <v>7575432</v>
      </c>
      <c r="C5">
        <v>7301316</v>
      </c>
    </row>
    <row r="6" spans="1:3" x14ac:dyDescent="0.2">
      <c r="A6" t="s">
        <v>234</v>
      </c>
      <c r="B6">
        <v>7970234</v>
      </c>
      <c r="C6">
        <v>7760334</v>
      </c>
    </row>
    <row r="7" spans="1:3" x14ac:dyDescent="0.2">
      <c r="A7" t="s">
        <v>235</v>
      </c>
      <c r="B7">
        <v>8241074</v>
      </c>
      <c r="C7">
        <v>8130717</v>
      </c>
    </row>
    <row r="8" spans="1:3" x14ac:dyDescent="0.2">
      <c r="A8" t="s">
        <v>236</v>
      </c>
      <c r="B8">
        <v>8048069</v>
      </c>
      <c r="C8">
        <v>8031559</v>
      </c>
    </row>
    <row r="9" spans="1:3" x14ac:dyDescent="0.2">
      <c r="A9" t="s">
        <v>237</v>
      </c>
      <c r="B9">
        <v>8293365</v>
      </c>
      <c r="C9">
        <v>8382279</v>
      </c>
    </row>
    <row r="10" spans="1:3" x14ac:dyDescent="0.2">
      <c r="A10" t="s">
        <v>238</v>
      </c>
      <c r="B10">
        <v>8156539</v>
      </c>
      <c r="C10">
        <v>8366021</v>
      </c>
    </row>
    <row r="11" spans="1:3" x14ac:dyDescent="0.2">
      <c r="A11" t="s">
        <v>239</v>
      </c>
      <c r="B11">
        <v>7272748</v>
      </c>
      <c r="C11">
        <v>7582165</v>
      </c>
    </row>
    <row r="12" spans="1:3" x14ac:dyDescent="0.2">
      <c r="A12" t="s">
        <v>240</v>
      </c>
      <c r="B12">
        <v>6366856</v>
      </c>
      <c r="C12">
        <v>6747807</v>
      </c>
    </row>
    <row r="13" spans="1:3" x14ac:dyDescent="0.2">
      <c r="A13" t="s">
        <v>241</v>
      </c>
      <c r="B13">
        <v>5724442</v>
      </c>
      <c r="C13">
        <v>6194348</v>
      </c>
    </row>
    <row r="14" spans="1:3" x14ac:dyDescent="0.2">
      <c r="A14" t="s">
        <v>242</v>
      </c>
      <c r="B14">
        <v>5084846</v>
      </c>
      <c r="C14">
        <v>5654490</v>
      </c>
    </row>
    <row r="15" spans="1:3" x14ac:dyDescent="0.2">
      <c r="A15" t="s">
        <v>243</v>
      </c>
      <c r="B15">
        <v>3993485</v>
      </c>
      <c r="C15">
        <v>4640221</v>
      </c>
    </row>
    <row r="16" spans="1:3" x14ac:dyDescent="0.2">
      <c r="A16" t="s">
        <v>244</v>
      </c>
      <c r="B16">
        <v>2877264</v>
      </c>
      <c r="C16">
        <v>3565249</v>
      </c>
    </row>
    <row r="17" spans="1:3" x14ac:dyDescent="0.2">
      <c r="A17" t="s">
        <v>245</v>
      </c>
      <c r="B17">
        <v>1792854</v>
      </c>
      <c r="C17">
        <v>2392455</v>
      </c>
    </row>
    <row r="18" spans="1:3" x14ac:dyDescent="0.2">
      <c r="A18" t="s">
        <v>246</v>
      </c>
      <c r="B18">
        <v>1017685</v>
      </c>
      <c r="C18">
        <v>1461296</v>
      </c>
    </row>
    <row r="19" spans="1:3" x14ac:dyDescent="0.2">
      <c r="A19" t="s">
        <v>247</v>
      </c>
      <c r="B19">
        <v>446366</v>
      </c>
      <c r="C19">
        <v>745742</v>
      </c>
    </row>
    <row r="20" spans="1:3" x14ac:dyDescent="0.2">
      <c r="A20" t="s">
        <v>248</v>
      </c>
      <c r="B20">
        <v>137763</v>
      </c>
      <c r="C20">
        <v>266273</v>
      </c>
    </row>
    <row r="21" spans="1:3" x14ac:dyDescent="0.2">
      <c r="A21" t="s">
        <v>249</v>
      </c>
      <c r="B21">
        <v>26885</v>
      </c>
      <c r="C21">
        <v>52956</v>
      </c>
    </row>
    <row r="22" spans="1:3" x14ac:dyDescent="0.2">
      <c r="A22" t="s">
        <v>250</v>
      </c>
      <c r="B22">
        <v>2629</v>
      </c>
      <c r="C22">
        <v>4986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8A85-9820-DF40-B945-17FF7CFB3F77}">
  <sheetPr>
    <tabColor rgb="FF0070C0"/>
  </sheetPr>
  <dimension ref="A1"/>
  <sheetViews>
    <sheetView workbookViewId="0">
      <selection sqref="A1:XFD1048576"/>
    </sheetView>
  </sheetViews>
  <sheetFormatPr baseColWidth="10" defaultRowHeight="16" x14ac:dyDescent="0.2"/>
  <cols>
    <col min="1" max="16384" width="10.83203125" style="186"/>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6945-0CBD-7042-BA36-229B97540B9B}">
  <dimension ref="A1:F16"/>
  <sheetViews>
    <sheetView zoomScale="130" zoomScaleNormal="130" workbookViewId="0">
      <selection activeCell="C17" sqref="C17"/>
    </sheetView>
  </sheetViews>
  <sheetFormatPr baseColWidth="10" defaultRowHeight="16" x14ac:dyDescent="0.2"/>
  <cols>
    <col min="1" max="1" width="17.1640625" style="8" customWidth="1"/>
    <col min="2" max="2" width="30" style="8" customWidth="1"/>
    <col min="3" max="3" width="9.83203125" style="8" customWidth="1"/>
    <col min="4" max="4" width="24" style="8" customWidth="1"/>
    <col min="5" max="5" width="87.5" style="1" customWidth="1"/>
    <col min="6" max="16384" width="10.83203125" style="1"/>
  </cols>
  <sheetData>
    <row r="1" spans="1:6" x14ac:dyDescent="0.2">
      <c r="A1" s="132" t="s">
        <v>159</v>
      </c>
      <c r="B1" s="132" t="s">
        <v>160</v>
      </c>
      <c r="C1" s="132" t="s">
        <v>158</v>
      </c>
      <c r="D1" s="132" t="s">
        <v>157</v>
      </c>
      <c r="E1" s="133" t="s">
        <v>9</v>
      </c>
    </row>
    <row r="2" spans="1:6" x14ac:dyDescent="0.2">
      <c r="A2" s="12">
        <v>0</v>
      </c>
      <c r="B2" s="12">
        <v>26963.200000000001</v>
      </c>
      <c r="C2" s="12">
        <v>0</v>
      </c>
      <c r="D2" s="12">
        <v>0</v>
      </c>
      <c r="E2" s="104" t="s">
        <v>343</v>
      </c>
      <c r="F2" s="42"/>
    </row>
    <row r="3" spans="1:6" x14ac:dyDescent="0.2">
      <c r="A3" s="12">
        <v>26963.21</v>
      </c>
      <c r="B3" s="12">
        <v>33919.800000000003</v>
      </c>
      <c r="C3" s="12">
        <v>7.4999999999999997E-2</v>
      </c>
      <c r="D3" s="12">
        <v>2022.24</v>
      </c>
      <c r="E3" s="104" t="s">
        <v>343</v>
      </c>
    </row>
    <row r="4" spans="1:6" x14ac:dyDescent="0.2">
      <c r="A4" s="12">
        <v>33919.81</v>
      </c>
      <c r="B4" s="12">
        <v>45012.6</v>
      </c>
      <c r="C4" s="12">
        <v>0.15</v>
      </c>
      <c r="D4" s="12">
        <v>4566.2299999999996</v>
      </c>
      <c r="E4" s="104" t="s">
        <v>343</v>
      </c>
    </row>
    <row r="5" spans="1:6" x14ac:dyDescent="0.2">
      <c r="A5" s="12">
        <v>45012.61</v>
      </c>
      <c r="B5" s="12">
        <v>55976.160000000003</v>
      </c>
      <c r="C5" s="12">
        <v>0.22500000000000001</v>
      </c>
      <c r="D5" s="12">
        <v>7942.17</v>
      </c>
      <c r="E5" s="104" t="s">
        <v>343</v>
      </c>
    </row>
    <row r="6" spans="1:6" x14ac:dyDescent="0.2">
      <c r="A6" s="34">
        <v>55976.17</v>
      </c>
      <c r="B6" s="34" t="s">
        <v>365</v>
      </c>
      <c r="C6" s="34">
        <v>0.27500000000000002</v>
      </c>
      <c r="D6" s="34">
        <v>10740.98</v>
      </c>
      <c r="E6" s="123" t="s">
        <v>343</v>
      </c>
    </row>
    <row r="12" spans="1:6" ht="22" x14ac:dyDescent="0.3">
      <c r="A12" s="112"/>
      <c r="B12" s="112"/>
      <c r="C12" s="112"/>
    </row>
    <row r="13" spans="1:6" ht="22" x14ac:dyDescent="0.3">
      <c r="A13" s="112"/>
      <c r="B13" s="112"/>
      <c r="C13" s="112"/>
    </row>
    <row r="14" spans="1:6" ht="22" x14ac:dyDescent="0.3">
      <c r="A14" s="112"/>
      <c r="B14" s="112"/>
      <c r="C14" s="112"/>
    </row>
    <row r="15" spans="1:6" ht="22" x14ac:dyDescent="0.3">
      <c r="A15" s="112"/>
      <c r="B15" s="112"/>
      <c r="C15" s="112"/>
    </row>
    <row r="16" spans="1:6" ht="22" x14ac:dyDescent="0.3">
      <c r="A16" s="112"/>
      <c r="B16" s="112"/>
      <c r="C16" s="112"/>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EF1D-9704-6A46-A966-88FC7DDCF99B}">
  <dimension ref="B1:H18"/>
  <sheetViews>
    <sheetView zoomScale="160" zoomScaleNormal="160" workbookViewId="0">
      <selection activeCell="H7" sqref="H7"/>
    </sheetView>
  </sheetViews>
  <sheetFormatPr baseColWidth="10" defaultRowHeight="16" x14ac:dyDescent="0.2"/>
  <cols>
    <col min="1" max="1" width="2.6640625" style="1" customWidth="1"/>
    <col min="2" max="2" width="19.83203125" style="1" customWidth="1"/>
    <col min="3" max="3" width="17" style="1" customWidth="1"/>
    <col min="4" max="4" width="16.83203125" style="1" customWidth="1"/>
    <col min="5" max="5" width="21" style="1" customWidth="1"/>
    <col min="6" max="6" width="17.1640625" style="1" customWidth="1"/>
    <col min="7" max="7" width="10.83203125" style="1"/>
    <col min="8" max="8" width="17" style="1" customWidth="1"/>
    <col min="9" max="9" width="1.83203125" style="1" customWidth="1"/>
    <col min="10" max="16384" width="10.83203125" style="1"/>
  </cols>
  <sheetData>
    <row r="1" spans="2:8" x14ac:dyDescent="0.2">
      <c r="B1" s="221" t="s">
        <v>550</v>
      </c>
      <c r="C1" s="222"/>
      <c r="D1" s="222"/>
      <c r="E1" s="222"/>
      <c r="F1" s="222"/>
      <c r="G1" s="223"/>
    </row>
    <row r="2" spans="2:8" x14ac:dyDescent="0.2">
      <c r="B2" s="224"/>
      <c r="C2" s="225"/>
      <c r="D2" s="225"/>
      <c r="E2" s="225"/>
      <c r="F2" s="225"/>
      <c r="G2" s="226"/>
    </row>
    <row r="4" spans="2:8" x14ac:dyDescent="0.2">
      <c r="B4" s="4" t="s">
        <v>551</v>
      </c>
      <c r="C4" s="158"/>
      <c r="D4" s="158"/>
      <c r="E4" s="158"/>
      <c r="F4" s="158"/>
    </row>
    <row r="5" spans="2:8" x14ac:dyDescent="0.2">
      <c r="B5" s="159"/>
      <c r="C5" s="95"/>
      <c r="D5" s="95"/>
      <c r="E5" s="160"/>
      <c r="F5" s="160"/>
      <c r="G5" s="161"/>
      <c r="H5" s="14"/>
    </row>
    <row r="6" spans="2:8" ht="48" customHeight="1" x14ac:dyDescent="0.2">
      <c r="B6" s="162" t="s">
        <v>552</v>
      </c>
      <c r="C6" s="162" t="s">
        <v>553</v>
      </c>
      <c r="D6" s="163" t="s">
        <v>554</v>
      </c>
      <c r="E6" s="162" t="s">
        <v>555</v>
      </c>
      <c r="F6" s="164" t="s">
        <v>556</v>
      </c>
      <c r="G6" s="162"/>
      <c r="H6" s="162" t="s">
        <v>557</v>
      </c>
    </row>
    <row r="7" spans="2:8" x14ac:dyDescent="0.2">
      <c r="B7" s="17">
        <v>157.35</v>
      </c>
      <c r="C7" s="17">
        <v>176.23</v>
      </c>
      <c r="D7" s="27">
        <v>220.83</v>
      </c>
      <c r="E7" s="165">
        <v>170</v>
      </c>
      <c r="F7" s="166">
        <v>95</v>
      </c>
      <c r="G7" s="167">
        <f>+F7/D7</f>
        <v>0.43019517275732461</v>
      </c>
      <c r="H7" s="22">
        <f>1-G7</f>
        <v>0.56980482724267545</v>
      </c>
    </row>
    <row r="8" spans="2:8" x14ac:dyDescent="0.2">
      <c r="B8" s="168"/>
      <c r="C8" s="95"/>
      <c r="D8" s="95"/>
      <c r="E8" s="160"/>
      <c r="F8" s="169"/>
      <c r="G8" s="95"/>
      <c r="H8" s="14"/>
    </row>
    <row r="9" spans="2:8" x14ac:dyDescent="0.2">
      <c r="B9" s="170"/>
      <c r="C9" s="4"/>
      <c r="D9" s="4"/>
      <c r="E9" s="171"/>
      <c r="F9" s="171"/>
      <c r="G9" s="4"/>
    </row>
    <row r="10" spans="2:8" x14ac:dyDescent="0.2">
      <c r="B10" s="170"/>
      <c r="C10" s="4"/>
      <c r="D10" s="4"/>
      <c r="E10" s="171"/>
      <c r="F10" s="171"/>
      <c r="G10" s="4"/>
    </row>
    <row r="11" spans="2:8" x14ac:dyDescent="0.2">
      <c r="B11" s="172"/>
      <c r="C11" s="4"/>
      <c r="D11" s="4"/>
      <c r="E11" s="171"/>
      <c r="G11" s="4"/>
    </row>
    <row r="12" spans="2:8" x14ac:dyDescent="0.2">
      <c r="B12" s="170"/>
      <c r="C12" s="4"/>
      <c r="D12" s="4"/>
      <c r="E12" s="171"/>
      <c r="F12" s="171"/>
      <c r="G12" s="4"/>
    </row>
    <row r="13" spans="2:8" x14ac:dyDescent="0.2">
      <c r="B13" s="172"/>
      <c r="C13" s="4"/>
      <c r="D13" s="4"/>
      <c r="E13" s="171"/>
      <c r="F13" s="171"/>
      <c r="G13" s="4"/>
    </row>
    <row r="14" spans="2:8" x14ac:dyDescent="0.2">
      <c r="B14" s="170"/>
      <c r="C14" s="4"/>
      <c r="D14" s="4"/>
      <c r="E14" s="171"/>
      <c r="F14" s="171"/>
      <c r="G14" s="4"/>
    </row>
    <row r="15" spans="2:8" x14ac:dyDescent="0.2">
      <c r="B15" s="170"/>
      <c r="C15" s="4"/>
      <c r="D15" s="4"/>
      <c r="E15" s="171"/>
      <c r="F15" s="171"/>
      <c r="G15" s="4"/>
    </row>
    <row r="16" spans="2:8" x14ac:dyDescent="0.2">
      <c r="B16" s="172"/>
      <c r="C16" s="4"/>
      <c r="D16" s="4"/>
      <c r="E16" s="171"/>
      <c r="F16" s="171"/>
      <c r="G16" s="4"/>
    </row>
    <row r="17" spans="2:7" x14ac:dyDescent="0.2">
      <c r="B17" s="170"/>
      <c r="C17" s="4"/>
      <c r="D17" s="4"/>
      <c r="E17" s="171"/>
      <c r="F17" s="171"/>
      <c r="G17" s="4"/>
    </row>
    <row r="18" spans="2:7" x14ac:dyDescent="0.2">
      <c r="C18" s="4"/>
      <c r="D18" s="4"/>
      <c r="E18" s="4"/>
      <c r="F18" s="4"/>
      <c r="G18" s="4"/>
    </row>
  </sheetData>
  <mergeCells count="1">
    <mergeCell ref="B1:G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F214-6FB0-6241-841A-DEF603B9C9C3}">
  <dimension ref="A7:R43"/>
  <sheetViews>
    <sheetView topLeftCell="A2" zoomScaleNormal="100" workbookViewId="0">
      <selection activeCell="B28" sqref="B28"/>
    </sheetView>
  </sheetViews>
  <sheetFormatPr baseColWidth="10" defaultRowHeight="16" x14ac:dyDescent="0.2"/>
  <cols>
    <col min="2" max="2" width="21.1640625" customWidth="1"/>
    <col min="3" max="3" width="17.1640625" customWidth="1"/>
    <col min="4" max="4" width="26.5" customWidth="1"/>
    <col min="5" max="5" width="19" customWidth="1"/>
    <col min="6" max="6" width="39.33203125" customWidth="1"/>
    <col min="12" max="12" width="18.5" customWidth="1"/>
  </cols>
  <sheetData>
    <row r="7" spans="2:18" x14ac:dyDescent="0.2">
      <c r="B7" s="227" t="s">
        <v>563</v>
      </c>
      <c r="C7" s="228"/>
      <c r="D7" s="228"/>
      <c r="E7" s="228"/>
      <c r="F7" s="228"/>
      <c r="G7" s="228"/>
      <c r="H7" s="228"/>
      <c r="I7" s="228"/>
      <c r="J7" s="228"/>
    </row>
    <row r="8" spans="2:18" x14ac:dyDescent="0.2">
      <c r="B8" s="228"/>
      <c r="C8" s="228"/>
      <c r="D8" s="228"/>
      <c r="E8" s="228"/>
      <c r="F8" s="228"/>
      <c r="G8" s="228"/>
      <c r="H8" s="228"/>
      <c r="I8" s="228"/>
      <c r="J8" s="228"/>
    </row>
    <row r="9" spans="2:18" x14ac:dyDescent="0.2">
      <c r="B9" s="228"/>
      <c r="C9" s="228"/>
      <c r="D9" s="228"/>
      <c r="E9" s="228"/>
      <c r="F9" s="228"/>
      <c r="G9" s="228"/>
      <c r="H9" s="228"/>
      <c r="I9" s="228"/>
      <c r="J9" s="228"/>
    </row>
    <row r="12" spans="2:18" ht="19" x14ac:dyDescent="0.25">
      <c r="B12" s="173"/>
      <c r="C12" s="173" t="s">
        <v>553</v>
      </c>
      <c r="D12" s="173" t="s">
        <v>564</v>
      </c>
      <c r="E12" s="173"/>
      <c r="F12" s="173"/>
      <c r="G12" s="174"/>
    </row>
    <row r="13" spans="2:18" ht="19" x14ac:dyDescent="0.25">
      <c r="B13" s="175"/>
      <c r="C13" s="175">
        <v>131.91999999999999</v>
      </c>
      <c r="D13" s="176">
        <v>63.85</v>
      </c>
      <c r="E13" s="177"/>
      <c r="F13" s="176"/>
      <c r="G13" s="173"/>
    </row>
    <row r="15" spans="2:18" ht="19" x14ac:dyDescent="0.25">
      <c r="F15" s="178"/>
      <c r="G15" s="179" t="s">
        <v>565</v>
      </c>
      <c r="H15" s="173"/>
      <c r="I15" s="173"/>
      <c r="J15" s="173"/>
      <c r="K15" s="173"/>
      <c r="L15" s="173"/>
      <c r="M15" s="173"/>
      <c r="N15" s="173"/>
      <c r="O15" s="173"/>
      <c r="P15" s="173"/>
      <c r="Q15" s="173"/>
      <c r="R15" s="173"/>
    </row>
    <row r="16" spans="2:18" ht="19" x14ac:dyDescent="0.25">
      <c r="F16" s="178"/>
      <c r="G16" s="173" t="s">
        <v>566</v>
      </c>
      <c r="H16" s="173"/>
      <c r="I16" s="173"/>
      <c r="J16" s="173"/>
      <c r="K16" s="173"/>
      <c r="L16" s="173"/>
      <c r="M16" s="173"/>
      <c r="N16" s="173"/>
      <c r="O16" s="173"/>
      <c r="P16" s="173"/>
      <c r="Q16" s="173"/>
      <c r="R16" s="173"/>
    </row>
    <row r="17" spans="2:18" ht="19" x14ac:dyDescent="0.25">
      <c r="F17" s="178"/>
      <c r="G17" s="173"/>
      <c r="H17" s="173"/>
      <c r="I17" s="173"/>
      <c r="J17" s="173"/>
      <c r="K17" s="173"/>
      <c r="L17" s="173"/>
      <c r="M17" s="173"/>
      <c r="N17" s="173"/>
      <c r="O17" s="173"/>
      <c r="P17" s="173"/>
      <c r="Q17" s="173"/>
      <c r="R17" s="173"/>
    </row>
    <row r="18" spans="2:18" ht="19" x14ac:dyDescent="0.25">
      <c r="F18" s="178"/>
      <c r="G18" s="173"/>
      <c r="H18" s="173"/>
      <c r="I18" s="173"/>
      <c r="J18" s="173"/>
      <c r="K18" s="173"/>
      <c r="L18" s="173"/>
      <c r="M18" s="173"/>
      <c r="N18" s="173"/>
      <c r="O18" s="173"/>
      <c r="P18" s="173"/>
      <c r="Q18" s="173"/>
      <c r="R18" s="173"/>
    </row>
    <row r="19" spans="2:18" ht="19" x14ac:dyDescent="0.25">
      <c r="F19" s="178"/>
      <c r="G19" s="178"/>
      <c r="H19" s="178"/>
      <c r="I19" s="178"/>
      <c r="J19" s="178"/>
      <c r="K19" s="178"/>
      <c r="L19" s="178"/>
      <c r="M19" s="178"/>
      <c r="N19" s="178"/>
      <c r="O19" s="178"/>
      <c r="P19" s="178"/>
      <c r="Q19" s="178"/>
      <c r="R19" s="178"/>
    </row>
    <row r="27" spans="2:18" x14ac:dyDescent="0.2">
      <c r="B27" s="180" t="s">
        <v>567</v>
      </c>
    </row>
    <row r="28" spans="2:18" x14ac:dyDescent="0.2">
      <c r="B28" s="180" t="s">
        <v>568</v>
      </c>
    </row>
    <row r="29" spans="2:18" x14ac:dyDescent="0.2">
      <c r="B29" s="180"/>
    </row>
    <row r="30" spans="2:18" x14ac:dyDescent="0.2">
      <c r="B30" s="181" t="s">
        <v>569</v>
      </c>
    </row>
    <row r="31" spans="2:18" x14ac:dyDescent="0.2">
      <c r="B31" s="180" t="s">
        <v>570</v>
      </c>
    </row>
    <row r="33" spans="1:7" x14ac:dyDescent="0.2">
      <c r="A33" s="182"/>
      <c r="B33" s="183" t="s">
        <v>571</v>
      </c>
      <c r="C33" s="182"/>
      <c r="D33" s="182"/>
      <c r="E33" s="182"/>
      <c r="F33" s="182"/>
      <c r="G33" s="182"/>
    </row>
    <row r="34" spans="1:7" x14ac:dyDescent="0.2">
      <c r="A34" s="182"/>
      <c r="B34" s="182"/>
      <c r="C34" s="182"/>
      <c r="D34" s="182"/>
      <c r="E34" s="182"/>
      <c r="F34" s="182"/>
      <c r="G34" s="182"/>
    </row>
    <row r="35" spans="1:7" x14ac:dyDescent="0.2">
      <c r="A35" s="182"/>
      <c r="B35" s="183" t="s">
        <v>572</v>
      </c>
      <c r="C35" s="182"/>
      <c r="D35" s="182"/>
      <c r="E35" s="182"/>
      <c r="F35" s="182"/>
      <c r="G35" s="182"/>
    </row>
    <row r="36" spans="1:7" x14ac:dyDescent="0.2">
      <c r="A36" s="182"/>
      <c r="B36" s="182"/>
      <c r="C36" s="182"/>
      <c r="D36" s="182"/>
      <c r="E36" s="182"/>
      <c r="F36" s="182"/>
      <c r="G36" s="182"/>
    </row>
    <row r="37" spans="1:7" x14ac:dyDescent="0.2">
      <c r="A37" s="182"/>
      <c r="B37" s="183" t="s">
        <v>573</v>
      </c>
      <c r="C37" s="182"/>
      <c r="D37" s="182"/>
      <c r="E37" s="182"/>
      <c r="F37" s="182"/>
      <c r="G37" s="182"/>
    </row>
    <row r="38" spans="1:7" x14ac:dyDescent="0.2">
      <c r="A38" s="182"/>
      <c r="B38" s="182"/>
      <c r="C38" s="182"/>
      <c r="D38" s="182"/>
      <c r="E38" s="182"/>
      <c r="F38" s="182"/>
      <c r="G38" s="182"/>
    </row>
    <row r="41" spans="1:7" x14ac:dyDescent="0.2">
      <c r="B41" s="184" t="s">
        <v>574</v>
      </c>
    </row>
    <row r="42" spans="1:7" x14ac:dyDescent="0.2">
      <c r="B42" t="s">
        <v>575</v>
      </c>
    </row>
    <row r="43" spans="1:7" x14ac:dyDescent="0.2">
      <c r="B43" s="2" t="s">
        <v>576</v>
      </c>
    </row>
  </sheetData>
  <mergeCells count="1">
    <mergeCell ref="B7:J9"/>
  </mergeCells>
  <hyperlinks>
    <hyperlink ref="B43" r:id="rId1" xr:uid="{FB0CBB35-44A8-654C-8CB7-BEC5556DB35E}"/>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8331-0195-FB44-9AC5-5E66F7D735FE}">
  <dimension ref="B1:O32"/>
  <sheetViews>
    <sheetView zoomScale="130" zoomScaleNormal="130" workbookViewId="0">
      <selection activeCell="M10" sqref="M10"/>
    </sheetView>
  </sheetViews>
  <sheetFormatPr baseColWidth="10" defaultRowHeight="16" outlineLevelCol="1" x14ac:dyDescent="0.2"/>
  <cols>
    <col min="1" max="1" width="3" customWidth="1"/>
    <col min="2" max="2" width="15.1640625" style="136" customWidth="1"/>
    <col min="3" max="3" width="27" customWidth="1"/>
    <col min="4" max="4" width="32.33203125" customWidth="1"/>
    <col min="5" max="5" width="18.5" hidden="1" customWidth="1" outlineLevel="1"/>
    <col min="6" max="6" width="28.1640625" hidden="1" customWidth="1" outlineLevel="1"/>
    <col min="7" max="7" width="2.1640625" customWidth="1" outlineLevel="1"/>
  </cols>
  <sheetData>
    <row r="1" spans="2:15" x14ac:dyDescent="0.2">
      <c r="B1" s="229" t="s">
        <v>502</v>
      </c>
      <c r="C1" s="229"/>
      <c r="D1" s="229"/>
      <c r="E1" s="229"/>
      <c r="F1" s="229"/>
      <c r="G1" s="135"/>
    </row>
    <row r="2" spans="2:15" x14ac:dyDescent="0.2">
      <c r="B2" s="229"/>
      <c r="C2" s="229"/>
      <c r="D2" s="229"/>
      <c r="E2" s="229"/>
      <c r="F2" s="229"/>
      <c r="G2" s="135"/>
    </row>
    <row r="3" spans="2:15" x14ac:dyDescent="0.2">
      <c r="B3" s="136" t="s">
        <v>503</v>
      </c>
    </row>
    <row r="4" spans="2:15" x14ac:dyDescent="0.2">
      <c r="B4" s="137"/>
      <c r="C4" s="40"/>
      <c r="D4" s="40"/>
    </row>
    <row r="5" spans="2:15" x14ac:dyDescent="0.2">
      <c r="B5" s="138" t="s">
        <v>504</v>
      </c>
      <c r="C5" s="139" t="s">
        <v>505</v>
      </c>
      <c r="D5" s="139" t="s">
        <v>506</v>
      </c>
      <c r="E5" s="140" t="s">
        <v>507</v>
      </c>
      <c r="F5" s="140" t="s">
        <v>508</v>
      </c>
      <c r="G5" s="140"/>
    </row>
    <row r="6" spans="2:15" x14ac:dyDescent="0.2">
      <c r="B6" s="141">
        <v>0</v>
      </c>
      <c r="C6" s="142">
        <v>761.88</v>
      </c>
      <c r="D6" s="142">
        <v>1022.03</v>
      </c>
      <c r="E6" s="143">
        <f>C6/5.66</f>
        <v>134.60777385159011</v>
      </c>
      <c r="F6" s="143">
        <f>D6/5.66</f>
        <v>180.57067137809187</v>
      </c>
      <c r="G6" s="143"/>
    </row>
    <row r="7" spans="2:15" x14ac:dyDescent="0.2">
      <c r="B7" s="141">
        <v>0.12</v>
      </c>
      <c r="C7" s="142">
        <v>865.77</v>
      </c>
      <c r="D7" s="142">
        <v>1161.4000000000001</v>
      </c>
      <c r="E7" s="143">
        <f t="shared" ref="E7:F18" si="0">C7/5.66</f>
        <v>152.96289752650176</v>
      </c>
      <c r="F7" s="143">
        <f t="shared" si="0"/>
        <v>205.19434628975267</v>
      </c>
      <c r="G7" s="143"/>
      <c r="H7" s="40"/>
      <c r="I7" s="144" t="s">
        <v>77</v>
      </c>
      <c r="J7" s="144" t="s">
        <v>77</v>
      </c>
    </row>
    <row r="8" spans="2:15" x14ac:dyDescent="0.2">
      <c r="B8" s="141">
        <v>0.17</v>
      </c>
      <c r="C8" s="142">
        <v>917.93</v>
      </c>
      <c r="D8" s="142">
        <v>1231.3699999999999</v>
      </c>
      <c r="E8" s="143">
        <f t="shared" si="0"/>
        <v>162.17844522968196</v>
      </c>
      <c r="F8" s="143">
        <f t="shared" si="0"/>
        <v>217.55653710247347</v>
      </c>
      <c r="G8" s="143"/>
      <c r="H8" s="117"/>
      <c r="I8" s="116" t="s">
        <v>509</v>
      </c>
      <c r="J8" s="116" t="s">
        <v>510</v>
      </c>
      <c r="K8" s="140"/>
      <c r="L8" s="203"/>
      <c r="M8" s="208" t="s">
        <v>512</v>
      </c>
      <c r="N8" s="208" t="s">
        <v>511</v>
      </c>
      <c r="O8" s="208" t="s">
        <v>513</v>
      </c>
    </row>
    <row r="9" spans="2:15" x14ac:dyDescent="0.2">
      <c r="B9" s="145">
        <v>0.17499999999999999</v>
      </c>
      <c r="C9" s="142">
        <v>923.49</v>
      </c>
      <c r="D9" s="142">
        <v>1238.83</v>
      </c>
      <c r="E9" s="143">
        <f t="shared" si="0"/>
        <v>163.16077738515901</v>
      </c>
      <c r="F9" s="143">
        <f t="shared" si="0"/>
        <v>218.87455830388691</v>
      </c>
      <c r="G9" s="143"/>
      <c r="H9" t="s">
        <v>511</v>
      </c>
      <c r="I9" s="204">
        <f>+C6</f>
        <v>761.88</v>
      </c>
      <c r="J9" s="204">
        <f>+D6</f>
        <v>1022.03</v>
      </c>
      <c r="L9" t="s">
        <v>509</v>
      </c>
      <c r="M9" s="206">
        <f>I10</f>
        <v>929.12</v>
      </c>
      <c r="N9" s="206">
        <f>I9</f>
        <v>761.88</v>
      </c>
      <c r="O9" s="206">
        <f>I11</f>
        <v>989.45</v>
      </c>
    </row>
    <row r="10" spans="2:15" x14ac:dyDescent="0.2">
      <c r="B10" s="141">
        <v>0.18</v>
      </c>
      <c r="C10" s="142">
        <v>929.12</v>
      </c>
      <c r="D10" s="142">
        <v>1246.3800000000001</v>
      </c>
      <c r="E10" s="143">
        <f>C10/5.66</f>
        <v>164.15547703180212</v>
      </c>
      <c r="F10" s="143">
        <f t="shared" si="0"/>
        <v>220.20848056537105</v>
      </c>
      <c r="G10" s="143"/>
      <c r="H10" t="s">
        <v>512</v>
      </c>
      <c r="I10" s="204">
        <f>+C10</f>
        <v>929.12</v>
      </c>
      <c r="J10" s="204">
        <f>+D10</f>
        <v>1246.3800000000001</v>
      </c>
      <c r="L10" s="40" t="s">
        <v>510</v>
      </c>
      <c r="M10" s="207">
        <f>J10</f>
        <v>1246.3800000000001</v>
      </c>
      <c r="N10" s="207">
        <f>J9</f>
        <v>1022.03</v>
      </c>
      <c r="O10" s="207">
        <f>J11</f>
        <v>1327.31</v>
      </c>
    </row>
    <row r="11" spans="2:15" x14ac:dyDescent="0.2">
      <c r="B11" s="141">
        <v>0.19</v>
      </c>
      <c r="C11" s="142">
        <v>940.59</v>
      </c>
      <c r="D11" s="142">
        <v>1261.77</v>
      </c>
      <c r="E11" s="143">
        <f t="shared" si="0"/>
        <v>166.18197879858658</v>
      </c>
      <c r="F11" s="143">
        <f t="shared" si="0"/>
        <v>222.92756183745581</v>
      </c>
      <c r="G11" s="143"/>
      <c r="H11" s="40" t="s">
        <v>513</v>
      </c>
      <c r="I11" s="205">
        <f>+C18</f>
        <v>989.45</v>
      </c>
      <c r="J11" s="205">
        <f>+D18</f>
        <v>1327.31</v>
      </c>
    </row>
    <row r="12" spans="2:15" x14ac:dyDescent="0.2">
      <c r="B12" s="145">
        <v>0.19500000000000001</v>
      </c>
      <c r="C12" s="142">
        <v>946.43</v>
      </c>
      <c r="D12" s="142">
        <v>1269.6099999999999</v>
      </c>
      <c r="E12" s="143">
        <f t="shared" si="0"/>
        <v>167.21378091872791</v>
      </c>
      <c r="F12" s="143">
        <f t="shared" si="0"/>
        <v>224.3127208480565</v>
      </c>
      <c r="G12" s="143"/>
      <c r="I12" s="146"/>
      <c r="J12" s="146"/>
    </row>
    <row r="13" spans="2:15" x14ac:dyDescent="0.2">
      <c r="B13" s="141">
        <v>0.2</v>
      </c>
      <c r="C13" s="142">
        <v>952.35</v>
      </c>
      <c r="D13" s="142">
        <v>1277.54</v>
      </c>
      <c r="E13" s="143">
        <f t="shared" si="0"/>
        <v>168.25971731448763</v>
      </c>
      <c r="F13" s="143">
        <f t="shared" si="0"/>
        <v>225.71378091872791</v>
      </c>
      <c r="G13" s="143"/>
      <c r="I13" s="146"/>
      <c r="J13" s="146"/>
    </row>
    <row r="14" spans="2:15" x14ac:dyDescent="0.2">
      <c r="B14" s="145">
        <v>0.20499999999999999</v>
      </c>
      <c r="C14" s="142">
        <v>958.34</v>
      </c>
      <c r="D14" s="142">
        <v>1285.58</v>
      </c>
      <c r="E14" s="143">
        <f t="shared" si="0"/>
        <v>169.31802120141342</v>
      </c>
      <c r="F14" s="143">
        <f t="shared" si="0"/>
        <v>227.13427561837455</v>
      </c>
      <c r="G14" s="143"/>
      <c r="I14" s="146"/>
      <c r="J14" s="146"/>
    </row>
    <row r="15" spans="2:15" x14ac:dyDescent="0.2">
      <c r="B15" s="141">
        <v>0.21</v>
      </c>
      <c r="C15" s="142">
        <v>964.41</v>
      </c>
      <c r="D15" s="142">
        <v>1293.72</v>
      </c>
      <c r="E15" s="143">
        <f t="shared" si="0"/>
        <v>170.39045936395758</v>
      </c>
      <c r="F15" s="143">
        <f t="shared" si="0"/>
        <v>228.57243816254416</v>
      </c>
      <c r="G15" s="143"/>
      <c r="I15" s="146"/>
      <c r="J15" s="146"/>
    </row>
    <row r="16" spans="2:15" x14ac:dyDescent="0.2">
      <c r="B16" s="141">
        <v>0.22</v>
      </c>
      <c r="C16" s="142">
        <v>976.77</v>
      </c>
      <c r="D16" s="142">
        <v>1310.3</v>
      </c>
      <c r="E16" s="143">
        <f t="shared" si="0"/>
        <v>172.57420494699645</v>
      </c>
      <c r="F16" s="143">
        <f t="shared" si="0"/>
        <v>231.50176678445229</v>
      </c>
      <c r="G16" s="143"/>
      <c r="I16" s="146"/>
      <c r="J16" s="146"/>
    </row>
    <row r="17" spans="2:10" x14ac:dyDescent="0.2">
      <c r="B17" s="145">
        <v>0.22500000000000001</v>
      </c>
      <c r="C17" s="142">
        <v>983.07</v>
      </c>
      <c r="D17" s="142">
        <v>1318.75</v>
      </c>
      <c r="E17" s="143">
        <f t="shared" si="0"/>
        <v>173.68727915194347</v>
      </c>
      <c r="F17" s="143">
        <f t="shared" si="0"/>
        <v>232.99469964664311</v>
      </c>
      <c r="G17" s="143"/>
      <c r="I17" s="146"/>
      <c r="J17" s="146"/>
    </row>
    <row r="18" spans="2:10" x14ac:dyDescent="0.2">
      <c r="B18" s="147">
        <v>0.23</v>
      </c>
      <c r="C18" s="148">
        <v>989.45</v>
      </c>
      <c r="D18" s="148">
        <v>1327.31</v>
      </c>
      <c r="E18" s="143">
        <f t="shared" si="0"/>
        <v>174.81448763250884</v>
      </c>
      <c r="F18" s="143">
        <f t="shared" si="0"/>
        <v>234.50706713780917</v>
      </c>
      <c r="G18" s="143"/>
      <c r="I18" s="146"/>
      <c r="J18" s="146"/>
    </row>
    <row r="19" spans="2:10" x14ac:dyDescent="0.2">
      <c r="C19" s="85"/>
      <c r="D19" s="85"/>
      <c r="I19" s="146"/>
      <c r="J19" s="146"/>
    </row>
    <row r="20" spans="2:10" x14ac:dyDescent="0.2">
      <c r="B20" s="136" t="s">
        <v>514</v>
      </c>
    </row>
    <row r="21" spans="2:10" x14ac:dyDescent="0.2">
      <c r="B21" s="136" t="s">
        <v>515</v>
      </c>
    </row>
    <row r="23" spans="2:10" x14ac:dyDescent="0.2">
      <c r="B23" s="149" t="s">
        <v>516</v>
      </c>
    </row>
    <row r="24" spans="2:10" x14ac:dyDescent="0.2">
      <c r="B24" s="149" t="s">
        <v>517</v>
      </c>
    </row>
    <row r="25" spans="2:10" x14ac:dyDescent="0.2">
      <c r="B25" s="149"/>
    </row>
    <row r="26" spans="2:10" x14ac:dyDescent="0.2">
      <c r="B26" s="149" t="s">
        <v>518</v>
      </c>
    </row>
    <row r="27" spans="2:10" x14ac:dyDescent="0.2">
      <c r="B27" s="149"/>
    </row>
    <row r="28" spans="2:10" x14ac:dyDescent="0.2">
      <c r="B28" s="149" t="s">
        <v>519</v>
      </c>
    </row>
    <row r="29" spans="2:10" x14ac:dyDescent="0.2">
      <c r="B29" s="149"/>
    </row>
    <row r="30" spans="2:10" x14ac:dyDescent="0.2">
      <c r="B30" s="149" t="s">
        <v>520</v>
      </c>
    </row>
    <row r="32" spans="2:10" x14ac:dyDescent="0.2">
      <c r="B32" s="136" t="s">
        <v>521</v>
      </c>
    </row>
  </sheetData>
  <mergeCells count="1">
    <mergeCell ref="B1:F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5843-4B03-CE47-8C64-BADA8E6F4641}">
  <dimension ref="B2:K4"/>
  <sheetViews>
    <sheetView topLeftCell="D1" zoomScale="170" zoomScaleNormal="170" workbookViewId="0">
      <selection activeCell="K3" sqref="K3"/>
    </sheetView>
  </sheetViews>
  <sheetFormatPr baseColWidth="10" defaultRowHeight="16" x14ac:dyDescent="0.2"/>
  <cols>
    <col min="1" max="1" width="5.1640625" style="186" customWidth="1"/>
    <col min="2" max="2" width="10.6640625" style="186" customWidth="1"/>
    <col min="3" max="3" width="11.83203125" style="186" customWidth="1"/>
    <col min="4" max="4" width="7.33203125" style="190" customWidth="1"/>
    <col min="5" max="5" width="23.83203125" style="195" customWidth="1"/>
    <col min="6" max="7" width="12.6640625" style="190" customWidth="1"/>
    <col min="8" max="8" width="13.83203125" style="190" customWidth="1"/>
    <col min="9" max="9" width="17" style="190" customWidth="1"/>
    <col min="10" max="10" width="14" style="190" customWidth="1"/>
    <col min="11" max="11" width="11" style="190" customWidth="1"/>
    <col min="12" max="16384" width="10.83203125" style="186"/>
  </cols>
  <sheetData>
    <row r="2" spans="2:11" s="185" customFormat="1" ht="34" x14ac:dyDescent="0.2">
      <c r="B2" s="187" t="s">
        <v>577</v>
      </c>
      <c r="C2" s="187" t="s">
        <v>581</v>
      </c>
      <c r="D2" s="193" t="s">
        <v>70</v>
      </c>
      <c r="E2" s="194" t="s">
        <v>18</v>
      </c>
      <c r="F2" s="189" t="s">
        <v>552</v>
      </c>
      <c r="G2" s="189" t="s">
        <v>553</v>
      </c>
      <c r="H2" s="189" t="s">
        <v>554</v>
      </c>
      <c r="I2" s="189" t="s">
        <v>584</v>
      </c>
      <c r="J2" s="189" t="s">
        <v>556</v>
      </c>
      <c r="K2" s="189" t="s">
        <v>580</v>
      </c>
    </row>
    <row r="3" spans="2:11" x14ac:dyDescent="0.2">
      <c r="B3" s="186" t="s">
        <v>578</v>
      </c>
      <c r="C3" s="186" t="s">
        <v>582</v>
      </c>
      <c r="D3" s="190">
        <v>2025</v>
      </c>
      <c r="E3" s="195" t="s">
        <v>590</v>
      </c>
      <c r="F3" s="191">
        <f>qdenga_price!B7</f>
        <v>157.35</v>
      </c>
      <c r="G3" s="191">
        <f>qdenga_price!C7</f>
        <v>176.23</v>
      </c>
      <c r="H3" s="191">
        <f>qdenga_price!D7</f>
        <v>220.83</v>
      </c>
      <c r="I3" s="192">
        <f>qdenga_price!E7</f>
        <v>170</v>
      </c>
      <c r="J3" s="192">
        <f>qdenga_price!F7</f>
        <v>95</v>
      </c>
      <c r="K3" s="190">
        <f>1-J3/H3</f>
        <v>0.56980482724267545</v>
      </c>
    </row>
    <row r="4" spans="2:11" x14ac:dyDescent="0.2">
      <c r="B4" s="188" t="s">
        <v>579</v>
      </c>
      <c r="C4" s="188" t="s">
        <v>583</v>
      </c>
      <c r="D4" s="196">
        <v>2023</v>
      </c>
      <c r="E4" s="197" t="s">
        <v>589</v>
      </c>
      <c r="F4" s="196"/>
      <c r="G4" s="198">
        <f>'pneumo-13_price'!$C$13</f>
        <v>131.91999999999999</v>
      </c>
      <c r="H4" s="199">
        <f>+(H3/G3)*G4</f>
        <v>165.30609771321568</v>
      </c>
      <c r="I4" s="200">
        <f>'pneumo-13_price'!$D$13</f>
        <v>63.85</v>
      </c>
      <c r="J4" s="201">
        <v>76.75</v>
      </c>
      <c r="K4" s="196">
        <f>1-J4/H4</f>
        <v>0.53570980706863491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AD6A-461B-D849-A92D-B7C5AF1B5759}">
  <sheetPr>
    <tabColor rgb="FF0070C0"/>
  </sheetPr>
  <dimension ref="A1"/>
  <sheetViews>
    <sheetView workbookViewId="0">
      <selection sqref="A1:XFD1048576"/>
    </sheetView>
  </sheetViews>
  <sheetFormatPr baseColWidth="10" defaultRowHeight="16" x14ac:dyDescent="0.2"/>
  <cols>
    <col min="1" max="16384" width="10.83203125" style="186"/>
  </cols>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FC87-3C43-6E48-8372-30EF4D847808}">
  <dimension ref="A1:G546"/>
  <sheetViews>
    <sheetView zoomScale="130" zoomScaleNormal="130" workbookViewId="0">
      <selection activeCell="E9" sqref="E9"/>
    </sheetView>
  </sheetViews>
  <sheetFormatPr baseColWidth="10" defaultColWidth="8.83203125" defaultRowHeight="15" x14ac:dyDescent="0.2"/>
  <cols>
    <col min="1" max="1" width="16.5" style="150" bestFit="1" customWidth="1"/>
    <col min="2" max="2" width="10" style="151" customWidth="1"/>
    <col min="3" max="16384" width="8.83203125" style="150"/>
  </cols>
  <sheetData>
    <row r="1" spans="1:7" x14ac:dyDescent="0.2">
      <c r="A1" s="155" t="s">
        <v>345</v>
      </c>
      <c r="B1" s="155" t="s">
        <v>525</v>
      </c>
      <c r="E1" s="150" t="s">
        <v>347</v>
      </c>
    </row>
    <row r="2" spans="1:7" x14ac:dyDescent="0.2">
      <c r="A2" s="153">
        <v>29190</v>
      </c>
      <c r="B2" s="152">
        <v>1.7675380000000001E-10</v>
      </c>
      <c r="E2" s="150" t="s">
        <v>348</v>
      </c>
    </row>
    <row r="3" spans="1:7" x14ac:dyDescent="0.2">
      <c r="A3" s="153">
        <v>29221</v>
      </c>
      <c r="B3" s="152">
        <v>1.8844719999999999E-10</v>
      </c>
      <c r="E3" s="150" t="s">
        <v>349</v>
      </c>
    </row>
    <row r="4" spans="1:7" x14ac:dyDescent="0.2">
      <c r="A4" s="153">
        <v>29252</v>
      </c>
      <c r="B4" s="152">
        <v>1.971477E-10</v>
      </c>
      <c r="E4" s="150" t="s">
        <v>350</v>
      </c>
    </row>
    <row r="5" spans="1:7" x14ac:dyDescent="0.2">
      <c r="A5" s="153">
        <v>29281</v>
      </c>
      <c r="B5" s="152">
        <v>2.0905219999999999E-10</v>
      </c>
      <c r="E5" s="150" t="s">
        <v>351</v>
      </c>
    </row>
    <row r="6" spans="1:7" x14ac:dyDescent="0.2">
      <c r="A6" s="153">
        <v>29312</v>
      </c>
      <c r="B6" s="152">
        <v>2.2010289999999999E-10</v>
      </c>
      <c r="E6" s="150" t="s">
        <v>526</v>
      </c>
    </row>
    <row r="7" spans="1:7" x14ac:dyDescent="0.2">
      <c r="A7" s="153">
        <v>29342</v>
      </c>
      <c r="B7" s="152">
        <v>2.326548E-10</v>
      </c>
    </row>
    <row r="8" spans="1:7" x14ac:dyDescent="0.2">
      <c r="A8" s="153">
        <v>29373</v>
      </c>
      <c r="B8" s="152">
        <v>2.4499789999999998E-10</v>
      </c>
      <c r="E8" s="150" t="s">
        <v>525</v>
      </c>
      <c r="F8" s="150" t="s">
        <v>524</v>
      </c>
      <c r="G8" s="150" t="s">
        <v>523</v>
      </c>
    </row>
    <row r="9" spans="1:7" x14ac:dyDescent="0.2">
      <c r="A9" s="153">
        <v>29403</v>
      </c>
      <c r="B9" s="152">
        <v>2.5858449999999999E-10</v>
      </c>
      <c r="E9" s="154" t="s">
        <v>522</v>
      </c>
    </row>
    <row r="10" spans="1:7" x14ac:dyDescent="0.2">
      <c r="A10" s="153">
        <v>29434</v>
      </c>
      <c r="B10" s="152">
        <v>2.7137299999999999E-10</v>
      </c>
    </row>
    <row r="11" spans="1:7" x14ac:dyDescent="0.2">
      <c r="A11" s="153">
        <v>29465</v>
      </c>
      <c r="B11" s="152">
        <v>2.8285299999999998E-10</v>
      </c>
    </row>
    <row r="12" spans="1:7" x14ac:dyDescent="0.2">
      <c r="A12" s="153">
        <v>29495</v>
      </c>
      <c r="B12" s="152">
        <v>3.0966889999999999E-10</v>
      </c>
    </row>
    <row r="13" spans="1:7" x14ac:dyDescent="0.2">
      <c r="A13" s="153">
        <v>29526</v>
      </c>
      <c r="B13" s="152">
        <v>3.3033430000000001E-10</v>
      </c>
    </row>
    <row r="14" spans="1:7" x14ac:dyDescent="0.2">
      <c r="A14" s="153">
        <v>29556</v>
      </c>
      <c r="B14" s="152">
        <v>3.5218279999999998E-10</v>
      </c>
      <c r="C14" s="152"/>
    </row>
    <row r="15" spans="1:7" x14ac:dyDescent="0.2">
      <c r="A15" s="153">
        <v>29587</v>
      </c>
      <c r="B15" s="152">
        <v>3.762634E-10</v>
      </c>
    </row>
    <row r="16" spans="1:7" x14ac:dyDescent="0.2">
      <c r="A16" s="153">
        <v>29618</v>
      </c>
      <c r="B16" s="152">
        <v>4.0034859999999999E-10</v>
      </c>
    </row>
    <row r="17" spans="1:3" x14ac:dyDescent="0.2">
      <c r="A17" s="153">
        <v>29646</v>
      </c>
      <c r="B17" s="152">
        <v>4.2025290000000002E-10</v>
      </c>
    </row>
    <row r="18" spans="1:3" x14ac:dyDescent="0.2">
      <c r="A18" s="153">
        <v>29677</v>
      </c>
      <c r="B18" s="152">
        <v>4.4740989999999998E-10</v>
      </c>
    </row>
    <row r="19" spans="1:3" x14ac:dyDescent="0.2">
      <c r="A19" s="153">
        <v>29707</v>
      </c>
      <c r="B19" s="152">
        <v>4.7228390000000005E-10</v>
      </c>
    </row>
    <row r="20" spans="1:3" x14ac:dyDescent="0.2">
      <c r="A20" s="153">
        <v>29738</v>
      </c>
      <c r="B20" s="152">
        <v>4.9834350000000004E-10</v>
      </c>
    </row>
    <row r="21" spans="1:3" x14ac:dyDescent="0.2">
      <c r="A21" s="153">
        <v>29768</v>
      </c>
      <c r="B21" s="152">
        <v>5.2951900000000004E-10</v>
      </c>
    </row>
    <row r="22" spans="1:3" x14ac:dyDescent="0.2">
      <c r="A22" s="153">
        <v>29799</v>
      </c>
      <c r="B22" s="152">
        <v>5.5862029999999997E-10</v>
      </c>
    </row>
    <row r="23" spans="1:3" x14ac:dyDescent="0.2">
      <c r="A23" s="153">
        <v>29830</v>
      </c>
      <c r="B23" s="152">
        <v>5.8798600000000002E-10</v>
      </c>
    </row>
    <row r="24" spans="1:3" x14ac:dyDescent="0.2">
      <c r="A24" s="153">
        <v>29860</v>
      </c>
      <c r="B24" s="152">
        <v>6.1784140000000004E-10</v>
      </c>
    </row>
    <row r="25" spans="1:3" x14ac:dyDescent="0.2">
      <c r="A25" s="153">
        <v>29891</v>
      </c>
      <c r="B25" s="152">
        <v>6.504112E-10</v>
      </c>
    </row>
    <row r="26" spans="1:3" x14ac:dyDescent="0.2">
      <c r="A26" s="153">
        <v>29921</v>
      </c>
      <c r="B26" s="152">
        <v>6.8895080000000003E-10</v>
      </c>
    </row>
    <row r="27" spans="1:3" x14ac:dyDescent="0.2">
      <c r="A27" s="153">
        <v>29952</v>
      </c>
      <c r="B27" s="152">
        <v>7.3693559999999998E-10</v>
      </c>
      <c r="C27" s="152"/>
    </row>
    <row r="28" spans="1:3" x14ac:dyDescent="0.2">
      <c r="A28" s="153">
        <v>29983</v>
      </c>
      <c r="B28" s="152">
        <v>7.8584369999999999E-10</v>
      </c>
    </row>
    <row r="29" spans="1:3" x14ac:dyDescent="0.2">
      <c r="A29" s="153">
        <v>30011</v>
      </c>
      <c r="B29" s="152">
        <v>8.3073579999999997E-10</v>
      </c>
    </row>
    <row r="30" spans="1:3" x14ac:dyDescent="0.2">
      <c r="A30" s="153">
        <v>30042</v>
      </c>
      <c r="B30" s="152">
        <v>8.7964389999999998E-10</v>
      </c>
    </row>
    <row r="31" spans="1:3" x14ac:dyDescent="0.2">
      <c r="A31" s="153">
        <v>30072</v>
      </c>
      <c r="B31" s="152">
        <v>9.3821540000000008E-10</v>
      </c>
    </row>
    <row r="32" spans="1:3" x14ac:dyDescent="0.2">
      <c r="A32" s="153">
        <v>30103</v>
      </c>
      <c r="B32" s="152">
        <v>1.004875E-9</v>
      </c>
    </row>
    <row r="33" spans="1:3" x14ac:dyDescent="0.2">
      <c r="A33" s="153">
        <v>30133</v>
      </c>
      <c r="B33" s="152">
        <v>1.068764E-9</v>
      </c>
    </row>
    <row r="34" spans="1:3" x14ac:dyDescent="0.2">
      <c r="A34" s="153">
        <v>30164</v>
      </c>
      <c r="B34" s="152">
        <v>1.1325999E-9</v>
      </c>
    </row>
    <row r="35" spans="1:3" x14ac:dyDescent="0.2">
      <c r="A35" s="153">
        <v>30195</v>
      </c>
      <c r="B35" s="152">
        <v>1.1901389E-9</v>
      </c>
    </row>
    <row r="36" spans="1:3" x14ac:dyDescent="0.2">
      <c r="A36" s="153">
        <v>30225</v>
      </c>
      <c r="B36" s="152">
        <v>1.24301E-9</v>
      </c>
    </row>
    <row r="37" spans="1:3" x14ac:dyDescent="0.2">
      <c r="A37" s="153">
        <v>30256</v>
      </c>
      <c r="B37" s="152">
        <v>1.308746E-9</v>
      </c>
    </row>
    <row r="38" spans="1:3" x14ac:dyDescent="0.2">
      <c r="A38" s="153">
        <v>30286</v>
      </c>
      <c r="B38" s="152">
        <v>1.4109050000000001E-9</v>
      </c>
    </row>
    <row r="39" spans="1:3" x14ac:dyDescent="0.2">
      <c r="A39" s="153">
        <v>30317</v>
      </c>
      <c r="B39" s="152">
        <v>1.5328229E-9</v>
      </c>
    </row>
    <row r="40" spans="1:3" x14ac:dyDescent="0.2">
      <c r="A40" s="153">
        <v>30348</v>
      </c>
      <c r="B40" s="152">
        <v>1.653275E-9</v>
      </c>
      <c r="C40" s="152"/>
    </row>
    <row r="41" spans="1:3" x14ac:dyDescent="0.2">
      <c r="A41" s="153">
        <v>30376</v>
      </c>
      <c r="B41" s="152">
        <v>1.774705E-9</v>
      </c>
    </row>
    <row r="42" spans="1:3" x14ac:dyDescent="0.2">
      <c r="A42" s="153">
        <v>30407</v>
      </c>
      <c r="B42" s="152">
        <v>1.8914670000000002E-9</v>
      </c>
    </row>
    <row r="43" spans="1:3" x14ac:dyDescent="0.2">
      <c r="A43" s="153">
        <v>30437</v>
      </c>
      <c r="B43" s="152">
        <v>2.01409E-9</v>
      </c>
    </row>
    <row r="44" spans="1:3" x14ac:dyDescent="0.2">
      <c r="A44" s="153">
        <v>30468</v>
      </c>
      <c r="B44" s="152">
        <v>2.2130899999999999E-9</v>
      </c>
    </row>
    <row r="45" spans="1:3" x14ac:dyDescent="0.2">
      <c r="A45" s="153">
        <v>30498</v>
      </c>
      <c r="B45" s="152">
        <v>2.436134E-9</v>
      </c>
    </row>
    <row r="46" spans="1:3" x14ac:dyDescent="0.2">
      <c r="A46" s="153">
        <v>30529</v>
      </c>
      <c r="B46" s="152">
        <v>2.6580959000000001E-9</v>
      </c>
    </row>
    <row r="47" spans="1:3" x14ac:dyDescent="0.2">
      <c r="A47" s="153">
        <v>30560</v>
      </c>
      <c r="B47" s="152">
        <v>2.9318960000000001E-9</v>
      </c>
    </row>
    <row r="48" spans="1:3" x14ac:dyDescent="0.2">
      <c r="A48" s="153">
        <v>30590</v>
      </c>
      <c r="B48" s="152">
        <v>3.1918539999999999E-9</v>
      </c>
    </row>
    <row r="49" spans="1:3" x14ac:dyDescent="0.2">
      <c r="A49" s="153">
        <v>30621</v>
      </c>
      <c r="B49" s="152">
        <v>3.4275479E-9</v>
      </c>
    </row>
    <row r="50" spans="1:3" x14ac:dyDescent="0.2">
      <c r="A50" s="153">
        <v>30651</v>
      </c>
      <c r="B50" s="152">
        <v>3.7249599999999999E-9</v>
      </c>
    </row>
    <row r="51" spans="1:3" x14ac:dyDescent="0.2">
      <c r="A51" s="153">
        <v>30682</v>
      </c>
      <c r="B51" s="152">
        <v>4.0851239999999997E-9</v>
      </c>
    </row>
    <row r="52" spans="1:3" x14ac:dyDescent="0.2">
      <c r="A52" s="153">
        <v>30713</v>
      </c>
      <c r="B52" s="152">
        <v>4.4732400000000002E-9</v>
      </c>
    </row>
    <row r="53" spans="1:3" x14ac:dyDescent="0.2">
      <c r="A53" s="153">
        <v>30742</v>
      </c>
      <c r="B53" s="152">
        <v>4.873083E-9</v>
      </c>
      <c r="C53" s="152"/>
    </row>
    <row r="54" spans="1:3" x14ac:dyDescent="0.2">
      <c r="A54" s="153">
        <v>30773</v>
      </c>
      <c r="B54" s="152">
        <v>5.3381219000000004E-9</v>
      </c>
    </row>
    <row r="55" spans="1:3" x14ac:dyDescent="0.2">
      <c r="A55" s="153">
        <v>30803</v>
      </c>
      <c r="B55" s="152">
        <v>5.8212330000000003E-9</v>
      </c>
    </row>
    <row r="56" spans="1:3" x14ac:dyDescent="0.2">
      <c r="A56" s="153">
        <v>30834</v>
      </c>
      <c r="B56" s="152">
        <v>6.4080248999999999E-9</v>
      </c>
    </row>
    <row r="57" spans="1:3" x14ac:dyDescent="0.2">
      <c r="A57" s="153">
        <v>30864</v>
      </c>
      <c r="B57" s="152">
        <v>7.0311840000000001E-9</v>
      </c>
    </row>
    <row r="58" spans="1:3" x14ac:dyDescent="0.2">
      <c r="A58" s="153">
        <v>30895</v>
      </c>
      <c r="B58" s="152">
        <v>7.6885439000000004E-9</v>
      </c>
    </row>
    <row r="59" spans="1:3" x14ac:dyDescent="0.2">
      <c r="A59" s="153">
        <v>30926</v>
      </c>
      <c r="B59" s="152">
        <v>8.5917990000000006E-9</v>
      </c>
    </row>
    <row r="60" spans="1:3" x14ac:dyDescent="0.2">
      <c r="A60" s="153">
        <v>30956</v>
      </c>
      <c r="B60" s="152">
        <v>9.4885419999999994E-9</v>
      </c>
    </row>
    <row r="61" spans="1:3" x14ac:dyDescent="0.2">
      <c r="A61" s="153">
        <v>30987</v>
      </c>
      <c r="B61" s="152">
        <v>1.0487340000000001E-8</v>
      </c>
    </row>
    <row r="62" spans="1:3" x14ac:dyDescent="0.2">
      <c r="A62" s="153">
        <v>31017</v>
      </c>
      <c r="B62" s="152">
        <v>1.1743429999999999E-8</v>
      </c>
    </row>
    <row r="63" spans="1:3" x14ac:dyDescent="0.2">
      <c r="A63" s="153">
        <v>31048</v>
      </c>
      <c r="B63" s="152">
        <v>1.3124369999999999E-8</v>
      </c>
    </row>
    <row r="64" spans="1:3" x14ac:dyDescent="0.2">
      <c r="A64" s="153">
        <v>31079</v>
      </c>
      <c r="B64" s="152">
        <v>1.455037E-8</v>
      </c>
    </row>
    <row r="65" spans="1:3" x14ac:dyDescent="0.2">
      <c r="A65" s="153">
        <v>31107</v>
      </c>
      <c r="B65" s="152">
        <v>1.6029020000000001E-8</v>
      </c>
    </row>
    <row r="66" spans="1:3" x14ac:dyDescent="0.2">
      <c r="A66" s="153">
        <v>31138</v>
      </c>
      <c r="B66" s="152">
        <v>1.7342649999999999E-8</v>
      </c>
      <c r="C66" s="152"/>
    </row>
    <row r="67" spans="1:3" x14ac:dyDescent="0.2">
      <c r="A67" s="153">
        <v>31168</v>
      </c>
      <c r="B67" s="152">
        <v>1.8590599999999999E-8</v>
      </c>
    </row>
    <row r="68" spans="1:3" x14ac:dyDescent="0.2">
      <c r="A68" s="153">
        <v>31199</v>
      </c>
      <c r="B68" s="152">
        <v>2.0169669999999999E-8</v>
      </c>
    </row>
    <row r="69" spans="1:3" x14ac:dyDescent="0.2">
      <c r="A69" s="153">
        <v>31229</v>
      </c>
      <c r="B69" s="152">
        <v>2.224977E-8</v>
      </c>
    </row>
    <row r="70" spans="1:3" x14ac:dyDescent="0.2">
      <c r="A70" s="153">
        <v>31260</v>
      </c>
      <c r="B70" s="152">
        <v>2.493077E-8</v>
      </c>
    </row>
    <row r="71" spans="1:3" x14ac:dyDescent="0.2">
      <c r="A71" s="153">
        <v>31291</v>
      </c>
      <c r="B71" s="152">
        <v>2.7702419899999999E-8</v>
      </c>
    </row>
    <row r="72" spans="1:3" x14ac:dyDescent="0.2">
      <c r="A72" s="153">
        <v>31321</v>
      </c>
      <c r="B72" s="152">
        <v>3.064344E-8</v>
      </c>
    </row>
    <row r="73" spans="1:3" x14ac:dyDescent="0.2">
      <c r="A73" s="153">
        <v>31352</v>
      </c>
      <c r="B73" s="152">
        <v>3.4925229999999997E-8</v>
      </c>
    </row>
    <row r="74" spans="1:3" x14ac:dyDescent="0.2">
      <c r="A74" s="153">
        <v>31382</v>
      </c>
      <c r="B74" s="152">
        <v>4.0189519999999997E-8</v>
      </c>
    </row>
    <row r="75" spans="1:3" x14ac:dyDescent="0.2">
      <c r="A75" s="153">
        <v>31413</v>
      </c>
      <c r="B75" s="152">
        <v>4.59657E-8</v>
      </c>
    </row>
    <row r="76" spans="1:3" x14ac:dyDescent="0.2">
      <c r="A76" s="153">
        <v>31444</v>
      </c>
      <c r="B76" s="152">
        <v>5.1810820000000002E-8</v>
      </c>
    </row>
    <row r="77" spans="1:3" x14ac:dyDescent="0.2">
      <c r="A77" s="153">
        <v>31472</v>
      </c>
      <c r="B77" s="152">
        <v>5.4282290000000002E-8</v>
      </c>
    </row>
    <row r="78" spans="1:3" x14ac:dyDescent="0.2">
      <c r="A78" s="153">
        <v>31503</v>
      </c>
      <c r="B78" s="152">
        <v>5.4705690000000001E-8</v>
      </c>
    </row>
    <row r="79" spans="1:3" x14ac:dyDescent="0.2">
      <c r="A79" s="153">
        <v>31533</v>
      </c>
      <c r="B79" s="152">
        <v>5.5471069999999997E-8</v>
      </c>
      <c r="C79" s="152"/>
    </row>
    <row r="80" spans="1:3" x14ac:dyDescent="0.2">
      <c r="A80" s="153">
        <v>31564</v>
      </c>
      <c r="B80" s="152">
        <v>5.617675E-8</v>
      </c>
    </row>
    <row r="81" spans="1:3" x14ac:dyDescent="0.2">
      <c r="A81" s="153">
        <v>31594</v>
      </c>
      <c r="B81" s="152">
        <v>5.7137539999999997E-8</v>
      </c>
    </row>
    <row r="82" spans="1:3" x14ac:dyDescent="0.2">
      <c r="A82" s="153">
        <v>31625</v>
      </c>
      <c r="B82" s="152">
        <v>5.9167699899999999E-8</v>
      </c>
    </row>
    <row r="83" spans="1:3" x14ac:dyDescent="0.2">
      <c r="A83" s="153">
        <v>31656</v>
      </c>
      <c r="B83" s="152">
        <v>6.018278E-8</v>
      </c>
    </row>
    <row r="84" spans="1:3" x14ac:dyDescent="0.2">
      <c r="A84" s="153">
        <v>31686</v>
      </c>
      <c r="B84" s="152">
        <v>6.132813E-8</v>
      </c>
    </row>
    <row r="85" spans="1:3" x14ac:dyDescent="0.2">
      <c r="A85" s="153">
        <v>31717</v>
      </c>
      <c r="B85" s="152">
        <v>6.4671919999999999E-8</v>
      </c>
    </row>
    <row r="86" spans="1:3" x14ac:dyDescent="0.2">
      <c r="A86" s="153">
        <v>31747</v>
      </c>
      <c r="B86" s="152">
        <v>7.2206299999999995E-8</v>
      </c>
    </row>
    <row r="87" spans="1:3" x14ac:dyDescent="0.2">
      <c r="A87" s="153">
        <v>31778</v>
      </c>
      <c r="B87" s="152">
        <v>8.1743699899999996E-8</v>
      </c>
    </row>
    <row r="88" spans="1:3" x14ac:dyDescent="0.2">
      <c r="A88" s="153">
        <v>31809</v>
      </c>
      <c r="B88" s="152">
        <v>9.2073630000000002E-8</v>
      </c>
    </row>
    <row r="89" spans="1:3" x14ac:dyDescent="0.2">
      <c r="A89" s="153">
        <v>31837</v>
      </c>
      <c r="B89" s="152">
        <v>1.071478E-7</v>
      </c>
    </row>
    <row r="90" spans="1:3" x14ac:dyDescent="0.2">
      <c r="A90" s="153">
        <v>31868</v>
      </c>
      <c r="B90" s="152">
        <v>1.276122E-7</v>
      </c>
    </row>
    <row r="91" spans="1:3" x14ac:dyDescent="0.2">
      <c r="A91" s="153">
        <v>31898</v>
      </c>
      <c r="B91" s="152">
        <v>1.549867999E-7</v>
      </c>
    </row>
    <row r="92" spans="1:3" x14ac:dyDescent="0.2">
      <c r="A92" s="153">
        <v>31929</v>
      </c>
      <c r="B92" s="152">
        <v>1.8553689989999999E-7</v>
      </c>
      <c r="C92" s="152"/>
    </row>
    <row r="93" spans="1:3" x14ac:dyDescent="0.2">
      <c r="A93" s="153">
        <v>31959</v>
      </c>
      <c r="B93" s="152">
        <v>2.0262489989999999E-7</v>
      </c>
    </row>
    <row r="94" spans="1:3" x14ac:dyDescent="0.2">
      <c r="A94" s="153">
        <v>31990</v>
      </c>
      <c r="B94" s="152">
        <v>2.1249350000000001E-7</v>
      </c>
    </row>
    <row r="95" spans="1:3" x14ac:dyDescent="0.2">
      <c r="A95" s="153">
        <v>32021</v>
      </c>
      <c r="B95" s="152">
        <v>2.2902779999999999E-7</v>
      </c>
    </row>
    <row r="96" spans="1:3" x14ac:dyDescent="0.2">
      <c r="A96" s="153">
        <v>32051</v>
      </c>
      <c r="B96" s="152">
        <v>2.5472510000000002E-7</v>
      </c>
    </row>
    <row r="97" spans="1:3" x14ac:dyDescent="0.2">
      <c r="A97" s="153">
        <v>32082</v>
      </c>
      <c r="B97" s="152">
        <v>2.9313519999999999E-7</v>
      </c>
    </row>
    <row r="98" spans="1:3" x14ac:dyDescent="0.2">
      <c r="A98" s="153">
        <v>32112</v>
      </c>
      <c r="B98" s="152">
        <v>3.3461229999999998E-7</v>
      </c>
    </row>
    <row r="99" spans="1:3" x14ac:dyDescent="0.2">
      <c r="A99" s="153">
        <v>32143</v>
      </c>
      <c r="B99" s="152">
        <v>3.9781859989999998E-7</v>
      </c>
    </row>
    <row r="100" spans="1:3" x14ac:dyDescent="0.2">
      <c r="A100" s="153">
        <v>32174</v>
      </c>
      <c r="B100" s="152">
        <v>4.602758E-7</v>
      </c>
    </row>
    <row r="101" spans="1:3" x14ac:dyDescent="0.2">
      <c r="A101" s="153">
        <v>32203</v>
      </c>
      <c r="B101" s="152">
        <v>5.4128669989999997E-7</v>
      </c>
    </row>
    <row r="102" spans="1:3" x14ac:dyDescent="0.2">
      <c r="A102" s="153">
        <v>32234</v>
      </c>
      <c r="B102" s="152">
        <v>6.4569880000000001E-7</v>
      </c>
    </row>
    <row r="103" spans="1:3" x14ac:dyDescent="0.2">
      <c r="A103" s="153">
        <v>32264</v>
      </c>
      <c r="B103" s="152">
        <v>7.5817709989999997E-7</v>
      </c>
    </row>
    <row r="104" spans="1:3" x14ac:dyDescent="0.2">
      <c r="A104" s="153">
        <v>32295</v>
      </c>
      <c r="B104" s="152">
        <v>9.2497569999999998E-7</v>
      </c>
    </row>
    <row r="105" spans="1:3" x14ac:dyDescent="0.2">
      <c r="A105" s="153">
        <v>32325</v>
      </c>
      <c r="B105" s="152">
        <v>1.127639E-6</v>
      </c>
      <c r="C105" s="152"/>
    </row>
    <row r="106" spans="1:3" x14ac:dyDescent="0.2">
      <c r="A106" s="153">
        <v>32356</v>
      </c>
      <c r="B106" s="152">
        <v>1.371095E-6</v>
      </c>
    </row>
    <row r="107" spans="1:3" x14ac:dyDescent="0.2">
      <c r="A107" s="153">
        <v>32387</v>
      </c>
      <c r="B107" s="152">
        <v>1.747461E-6</v>
      </c>
    </row>
    <row r="108" spans="1:3" x14ac:dyDescent="0.2">
      <c r="A108" s="153">
        <v>32417</v>
      </c>
      <c r="B108" s="152">
        <v>2.1951599999999999E-6</v>
      </c>
    </row>
    <row r="109" spans="1:3" x14ac:dyDescent="0.2">
      <c r="A109" s="153">
        <v>32448</v>
      </c>
      <c r="B109" s="152">
        <v>2.80849E-6</v>
      </c>
    </row>
    <row r="110" spans="1:3" x14ac:dyDescent="0.2">
      <c r="A110" s="153">
        <v>32478</v>
      </c>
      <c r="B110" s="152">
        <v>3.614527E-6</v>
      </c>
    </row>
    <row r="111" spans="1:3" x14ac:dyDescent="0.2">
      <c r="A111" s="153">
        <v>32509</v>
      </c>
      <c r="B111" s="152">
        <v>4.9696139999999998E-6</v>
      </c>
    </row>
    <row r="112" spans="1:3" x14ac:dyDescent="0.2">
      <c r="A112" s="153">
        <v>32540</v>
      </c>
      <c r="B112" s="152">
        <v>5.8035149999999998E-6</v>
      </c>
    </row>
    <row r="113" spans="1:3" x14ac:dyDescent="0.2">
      <c r="A113" s="153">
        <v>32568</v>
      </c>
      <c r="B113" s="152">
        <v>6.1993150000000003E-6</v>
      </c>
    </row>
    <row r="114" spans="1:3" x14ac:dyDescent="0.2">
      <c r="A114" s="153">
        <v>32599</v>
      </c>
      <c r="B114" s="152">
        <v>6.715718E-6</v>
      </c>
    </row>
    <row r="115" spans="1:3" x14ac:dyDescent="0.2">
      <c r="A115" s="153">
        <v>32629</v>
      </c>
      <c r="B115" s="152">
        <v>7.9191729999999998E-6</v>
      </c>
    </row>
    <row r="116" spans="1:3" x14ac:dyDescent="0.2">
      <c r="A116" s="153">
        <v>32660</v>
      </c>
      <c r="B116" s="152">
        <v>1.0188019999999999E-5</v>
      </c>
    </row>
    <row r="117" spans="1:3" x14ac:dyDescent="0.2">
      <c r="A117" s="153">
        <v>32690</v>
      </c>
      <c r="B117" s="152">
        <v>1.3014169999999999E-5</v>
      </c>
    </row>
    <row r="118" spans="1:3" x14ac:dyDescent="0.2">
      <c r="A118" s="153">
        <v>32721</v>
      </c>
      <c r="B118" s="152">
        <v>1.7401249999999999E-5</v>
      </c>
      <c r="C118" s="152"/>
    </row>
    <row r="119" spans="1:3" x14ac:dyDescent="0.2">
      <c r="A119" s="153">
        <v>32752</v>
      </c>
      <c r="B119" s="152">
        <v>2.3937149999999998E-5</v>
      </c>
    </row>
    <row r="120" spans="1:3" x14ac:dyDescent="0.2">
      <c r="A120" s="153">
        <v>32782</v>
      </c>
      <c r="B120" s="152">
        <v>3.3456959999999999E-5</v>
      </c>
    </row>
    <row r="121" spans="1:3" x14ac:dyDescent="0.2">
      <c r="A121" s="153">
        <v>32813</v>
      </c>
      <c r="B121" s="152">
        <v>4.9456080000000001E-5</v>
      </c>
    </row>
    <row r="122" spans="1:3" x14ac:dyDescent="0.2">
      <c r="A122" s="153">
        <v>32843</v>
      </c>
      <c r="B122" s="152">
        <v>7.49259599999E-5</v>
      </c>
    </row>
    <row r="123" spans="1:3" x14ac:dyDescent="0.2">
      <c r="A123" s="153">
        <v>32874</v>
      </c>
      <c r="B123" s="152">
        <v>1.255385E-4</v>
      </c>
    </row>
    <row r="124" spans="1:3" x14ac:dyDescent="0.2">
      <c r="A124" s="153">
        <v>32905</v>
      </c>
      <c r="B124" s="152">
        <v>2.2060869999989999E-4</v>
      </c>
    </row>
    <row r="125" spans="1:3" x14ac:dyDescent="0.2">
      <c r="A125" s="153">
        <v>32933</v>
      </c>
      <c r="B125" s="152">
        <v>4.0236820000000002E-4</v>
      </c>
    </row>
    <row r="126" spans="1:3" x14ac:dyDescent="0.2">
      <c r="A126" s="153">
        <v>32964</v>
      </c>
      <c r="B126" s="152">
        <v>4.6481579999999999E-4</v>
      </c>
    </row>
    <row r="127" spans="1:3" x14ac:dyDescent="0.2">
      <c r="A127" s="153">
        <v>32994</v>
      </c>
      <c r="B127" s="152">
        <v>5.0009529999999998E-4</v>
      </c>
    </row>
    <row r="128" spans="1:3" x14ac:dyDescent="0.2">
      <c r="A128" s="153">
        <v>33025</v>
      </c>
      <c r="B128" s="152">
        <v>5.588565E-4</v>
      </c>
    </row>
    <row r="129" spans="1:3" x14ac:dyDescent="0.2">
      <c r="A129" s="153">
        <v>33055</v>
      </c>
      <c r="B129" s="152">
        <v>6.3106070000000004E-4</v>
      </c>
    </row>
    <row r="130" spans="1:3" x14ac:dyDescent="0.2">
      <c r="A130" s="153">
        <v>33086</v>
      </c>
      <c r="B130" s="152">
        <v>7.1234140000000004E-4</v>
      </c>
    </row>
    <row r="131" spans="1:3" x14ac:dyDescent="0.2">
      <c r="A131" s="153">
        <v>33117</v>
      </c>
      <c r="B131" s="152">
        <v>8.1498979999999996E-4</v>
      </c>
      <c r="C131" s="152"/>
    </row>
    <row r="132" spans="1:3" x14ac:dyDescent="0.2">
      <c r="A132" s="153">
        <v>33147</v>
      </c>
      <c r="B132" s="152">
        <v>9.3202230000000001E-4</v>
      </c>
    </row>
    <row r="133" spans="1:3" x14ac:dyDescent="0.2">
      <c r="A133" s="153">
        <v>33178</v>
      </c>
      <c r="B133" s="152">
        <v>1.088695E-3</v>
      </c>
    </row>
    <row r="134" spans="1:3" x14ac:dyDescent="0.2">
      <c r="A134" s="153">
        <v>33208</v>
      </c>
      <c r="B134" s="152">
        <v>1.2894510000000001E-3</v>
      </c>
    </row>
    <row r="135" spans="1:3" x14ac:dyDescent="0.2">
      <c r="A135" s="153">
        <v>33239</v>
      </c>
      <c r="B135" s="152">
        <v>1.557012E-3</v>
      </c>
    </row>
    <row r="136" spans="1:3" x14ac:dyDescent="0.2">
      <c r="A136" s="153">
        <v>33270</v>
      </c>
      <c r="B136" s="152">
        <v>1.879632E-3</v>
      </c>
    </row>
    <row r="137" spans="1:3" x14ac:dyDescent="0.2">
      <c r="A137" s="153">
        <v>33298</v>
      </c>
      <c r="B137" s="152">
        <v>2.1037389999999999E-3</v>
      </c>
    </row>
    <row r="138" spans="1:3" x14ac:dyDescent="0.2">
      <c r="A138" s="153">
        <v>33329</v>
      </c>
      <c r="B138" s="152">
        <v>2.2087000000000001E-3</v>
      </c>
    </row>
    <row r="139" spans="1:3" x14ac:dyDescent="0.2">
      <c r="A139" s="153">
        <v>33359</v>
      </c>
      <c r="B139" s="152">
        <v>2.372847E-3</v>
      </c>
    </row>
    <row r="140" spans="1:3" x14ac:dyDescent="0.2">
      <c r="A140" s="153">
        <v>33390</v>
      </c>
      <c r="B140" s="152">
        <v>2.6383449999999998E-3</v>
      </c>
    </row>
    <row r="141" spans="1:3" x14ac:dyDescent="0.2">
      <c r="A141" s="153">
        <v>33420</v>
      </c>
      <c r="B141" s="152">
        <v>2.9657359999998999E-3</v>
      </c>
    </row>
    <row r="142" spans="1:3" x14ac:dyDescent="0.2">
      <c r="A142" s="153">
        <v>33451</v>
      </c>
      <c r="B142" s="152">
        <v>3.4292939999999998E-3</v>
      </c>
    </row>
    <row r="143" spans="1:3" x14ac:dyDescent="0.2">
      <c r="A143" s="153">
        <v>33482</v>
      </c>
      <c r="B143" s="152">
        <v>3.9653190000000001E-3</v>
      </c>
    </row>
    <row r="144" spans="1:3" x14ac:dyDescent="0.2">
      <c r="A144" s="153">
        <v>33512</v>
      </c>
      <c r="B144" s="152">
        <v>4.7674859999999996E-3</v>
      </c>
      <c r="C144" s="152"/>
    </row>
    <row r="145" spans="1:3" x14ac:dyDescent="0.2">
      <c r="A145" s="153">
        <v>33543</v>
      </c>
      <c r="B145" s="152">
        <v>5.969383E-3</v>
      </c>
    </row>
    <row r="146" spans="1:3" x14ac:dyDescent="0.2">
      <c r="A146" s="153">
        <v>33573</v>
      </c>
      <c r="B146" s="152">
        <v>7.3846839999999999E-3</v>
      </c>
    </row>
    <row r="147" spans="1:3" x14ac:dyDescent="0.2">
      <c r="A147" s="153">
        <v>33604</v>
      </c>
      <c r="B147" s="152">
        <v>9.3002919999999999E-3</v>
      </c>
    </row>
    <row r="148" spans="1:3" x14ac:dyDescent="0.2">
      <c r="A148" s="153">
        <v>33635</v>
      </c>
      <c r="B148" s="152">
        <v>1.156212E-2</v>
      </c>
    </row>
    <row r="149" spans="1:3" x14ac:dyDescent="0.2">
      <c r="A149" s="153">
        <v>33664</v>
      </c>
      <c r="B149" s="152">
        <v>1.4036440000000001E-2</v>
      </c>
    </row>
    <row r="150" spans="1:3" x14ac:dyDescent="0.2">
      <c r="A150" s="153">
        <v>33695</v>
      </c>
      <c r="B150" s="152">
        <v>1.6833910000000001E-2</v>
      </c>
    </row>
    <row r="151" spans="1:3" x14ac:dyDescent="0.2">
      <c r="A151" s="153">
        <v>33725</v>
      </c>
      <c r="B151" s="152">
        <v>2.1018820000000001E-2</v>
      </c>
    </row>
    <row r="152" spans="1:3" x14ac:dyDescent="0.2">
      <c r="A152" s="153">
        <v>33756</v>
      </c>
      <c r="B152" s="152">
        <v>2.5266790000000001E-2</v>
      </c>
    </row>
    <row r="153" spans="1:3" x14ac:dyDescent="0.2">
      <c r="A153" s="153">
        <v>33786</v>
      </c>
      <c r="B153" s="152">
        <v>3.0782540000000001E-2</v>
      </c>
    </row>
    <row r="154" spans="1:3" x14ac:dyDescent="0.2">
      <c r="A154" s="153">
        <v>33817</v>
      </c>
      <c r="B154" s="152">
        <v>3.7597800000000001E-2</v>
      </c>
    </row>
    <row r="155" spans="1:3" x14ac:dyDescent="0.2">
      <c r="A155" s="153">
        <v>33848</v>
      </c>
      <c r="B155" s="152">
        <v>4.6858120000000003E-2</v>
      </c>
    </row>
    <row r="156" spans="1:3" x14ac:dyDescent="0.2">
      <c r="A156" s="153">
        <v>33878</v>
      </c>
      <c r="B156" s="152">
        <v>5.8685090000000002E-2</v>
      </c>
    </row>
    <row r="157" spans="1:3" x14ac:dyDescent="0.2">
      <c r="A157" s="153">
        <v>33909</v>
      </c>
      <c r="B157" s="152">
        <v>7.18834E-2</v>
      </c>
      <c r="C157" s="152"/>
    </row>
    <row r="158" spans="1:3" x14ac:dyDescent="0.2">
      <c r="A158" s="153">
        <v>33939</v>
      </c>
      <c r="B158" s="152">
        <v>9.0026739999999994E-2</v>
      </c>
    </row>
    <row r="159" spans="1:3" x14ac:dyDescent="0.2">
      <c r="A159" s="153">
        <v>33970</v>
      </c>
      <c r="B159" s="152">
        <v>0.1173498</v>
      </c>
    </row>
    <row r="160" spans="1:3" x14ac:dyDescent="0.2">
      <c r="A160" s="153">
        <v>34001</v>
      </c>
      <c r="B160" s="152">
        <v>0.1466637999999999</v>
      </c>
    </row>
    <row r="161" spans="1:3" x14ac:dyDescent="0.2">
      <c r="A161" s="153">
        <v>34029</v>
      </c>
      <c r="B161" s="152">
        <v>0.18664439999999999</v>
      </c>
    </row>
    <row r="162" spans="1:3" x14ac:dyDescent="0.2">
      <c r="A162" s="153">
        <v>34060</v>
      </c>
      <c r="B162" s="152">
        <v>0.23843809999999999</v>
      </c>
    </row>
    <row r="163" spans="1:3" x14ac:dyDescent="0.2">
      <c r="A163" s="153">
        <v>34090</v>
      </c>
      <c r="B163" s="152">
        <v>0.3044616</v>
      </c>
    </row>
    <row r="164" spans="1:3" x14ac:dyDescent="0.2">
      <c r="A164" s="153">
        <v>34121</v>
      </c>
      <c r="B164" s="152">
        <v>0.3960132999999999</v>
      </c>
    </row>
    <row r="165" spans="1:3" x14ac:dyDescent="0.2">
      <c r="A165" s="153">
        <v>34151</v>
      </c>
      <c r="B165" s="152">
        <v>0.51766850000000009</v>
      </c>
    </row>
    <row r="166" spans="1:3" x14ac:dyDescent="0.2">
      <c r="A166" s="153">
        <v>34182</v>
      </c>
      <c r="B166" s="152">
        <v>0.68829209999999996</v>
      </c>
    </row>
    <row r="167" spans="1:3" x14ac:dyDescent="0.2">
      <c r="A167" s="153">
        <v>34213</v>
      </c>
      <c r="B167" s="152">
        <v>0.93394359999999998</v>
      </c>
    </row>
    <row r="168" spans="1:3" x14ac:dyDescent="0.2">
      <c r="A168" s="153">
        <v>34243</v>
      </c>
      <c r="B168" s="152">
        <v>1.250737</v>
      </c>
    </row>
    <row r="169" spans="1:3" x14ac:dyDescent="0.2">
      <c r="A169" s="153">
        <v>34274</v>
      </c>
      <c r="B169" s="152">
        <v>1.6954990000000001</v>
      </c>
    </row>
    <row r="170" spans="1:3" x14ac:dyDescent="0.2">
      <c r="A170" s="153">
        <v>34304</v>
      </c>
      <c r="B170" s="152">
        <v>2.320122</v>
      </c>
      <c r="C170" s="152"/>
    </row>
    <row r="171" spans="1:3" x14ac:dyDescent="0.2">
      <c r="A171" s="153">
        <v>34335</v>
      </c>
      <c r="B171" s="152">
        <v>3.2785639999999998</v>
      </c>
    </row>
    <row r="172" spans="1:3" x14ac:dyDescent="0.2">
      <c r="A172" s="153">
        <v>34366</v>
      </c>
      <c r="B172" s="152">
        <v>4.5989449999999996</v>
      </c>
    </row>
    <row r="173" spans="1:3" x14ac:dyDescent="0.2">
      <c r="A173" s="153">
        <v>34394</v>
      </c>
      <c r="B173" s="152">
        <v>6.565016</v>
      </c>
    </row>
    <row r="174" spans="1:3" x14ac:dyDescent="0.2">
      <c r="A174" s="153">
        <v>34425</v>
      </c>
      <c r="B174" s="152">
        <v>9.3670259999999992</v>
      </c>
    </row>
    <row r="175" spans="1:3" x14ac:dyDescent="0.2">
      <c r="A175" s="153">
        <v>34455</v>
      </c>
      <c r="B175" s="152">
        <v>13.49127</v>
      </c>
    </row>
    <row r="176" spans="1:3" x14ac:dyDescent="0.2">
      <c r="A176" s="153">
        <v>34486</v>
      </c>
      <c r="B176" s="152">
        <v>19.890170000000001</v>
      </c>
    </row>
    <row r="177" spans="1:3" x14ac:dyDescent="0.2">
      <c r="A177" s="153">
        <v>34516</v>
      </c>
      <c r="B177" s="152">
        <v>21.250689999999999</v>
      </c>
    </row>
    <row r="178" spans="1:3" x14ac:dyDescent="0.2">
      <c r="A178" s="153">
        <v>34547</v>
      </c>
      <c r="B178" s="152">
        <v>21.646039999999999</v>
      </c>
    </row>
    <row r="179" spans="1:3" x14ac:dyDescent="0.2">
      <c r="A179" s="153">
        <v>34578</v>
      </c>
      <c r="B179" s="152">
        <v>21.977119999999999</v>
      </c>
    </row>
    <row r="180" spans="1:3" x14ac:dyDescent="0.2">
      <c r="A180" s="153">
        <v>34608</v>
      </c>
      <c r="B180" s="152">
        <v>22.552969999999998</v>
      </c>
    </row>
    <row r="181" spans="1:3" x14ac:dyDescent="0.2">
      <c r="A181" s="153">
        <v>34639</v>
      </c>
      <c r="B181" s="152">
        <v>23.186599999999999</v>
      </c>
    </row>
    <row r="182" spans="1:3" x14ac:dyDescent="0.2">
      <c r="A182" s="153">
        <v>34669</v>
      </c>
      <c r="B182" s="152">
        <v>23.583110000000001</v>
      </c>
    </row>
    <row r="183" spans="1:3" x14ac:dyDescent="0.2">
      <c r="A183" s="153">
        <v>34700</v>
      </c>
      <c r="B183" s="152">
        <v>23.984020000000001</v>
      </c>
      <c r="C183" s="152"/>
    </row>
    <row r="184" spans="1:3" x14ac:dyDescent="0.2">
      <c r="A184" s="153">
        <v>34731</v>
      </c>
      <c r="B184" s="152">
        <v>24.228570000000001</v>
      </c>
    </row>
    <row r="185" spans="1:3" x14ac:dyDescent="0.2">
      <c r="A185" s="153">
        <v>34759</v>
      </c>
      <c r="B185" s="152">
        <v>24.604189999999999</v>
      </c>
    </row>
    <row r="186" spans="1:3" x14ac:dyDescent="0.2">
      <c r="A186" s="153">
        <v>34790</v>
      </c>
      <c r="B186" s="152">
        <v>25.202089999999998</v>
      </c>
    </row>
    <row r="187" spans="1:3" x14ac:dyDescent="0.2">
      <c r="A187" s="153">
        <v>34820</v>
      </c>
      <c r="B187" s="152">
        <v>25.874919999999999</v>
      </c>
    </row>
    <row r="188" spans="1:3" x14ac:dyDescent="0.2">
      <c r="A188" s="153">
        <v>34851</v>
      </c>
      <c r="B188" s="152">
        <v>26.459589999999999</v>
      </c>
    </row>
    <row r="189" spans="1:3" x14ac:dyDescent="0.2">
      <c r="A189" s="153">
        <v>34881</v>
      </c>
      <c r="B189" s="152">
        <v>27.083939999999998</v>
      </c>
    </row>
    <row r="190" spans="1:3" x14ac:dyDescent="0.2">
      <c r="A190" s="153">
        <v>34912</v>
      </c>
      <c r="B190" s="152">
        <v>27.352139999999999</v>
      </c>
    </row>
    <row r="191" spans="1:3" x14ac:dyDescent="0.2">
      <c r="A191" s="153">
        <v>34943</v>
      </c>
      <c r="B191" s="152">
        <v>27.622900000000001</v>
      </c>
    </row>
    <row r="192" spans="1:3" x14ac:dyDescent="0.2">
      <c r="A192" s="153">
        <v>34973</v>
      </c>
      <c r="B192" s="152">
        <v>28.012450000000001</v>
      </c>
    </row>
    <row r="193" spans="1:3" x14ac:dyDescent="0.2">
      <c r="A193" s="153">
        <v>35004</v>
      </c>
      <c r="B193" s="152">
        <v>28.42427</v>
      </c>
    </row>
    <row r="194" spans="1:3" x14ac:dyDescent="0.2">
      <c r="A194" s="153">
        <v>35034</v>
      </c>
      <c r="B194" s="152">
        <v>28.867650000000001</v>
      </c>
    </row>
    <row r="195" spans="1:3" x14ac:dyDescent="0.2">
      <c r="A195" s="153">
        <v>35065</v>
      </c>
      <c r="B195" s="152">
        <v>29.25441</v>
      </c>
    </row>
    <row r="196" spans="1:3" x14ac:dyDescent="0.2">
      <c r="A196" s="153">
        <v>35096</v>
      </c>
      <c r="B196" s="152">
        <v>29.555800000000001</v>
      </c>
      <c r="C196" s="152"/>
    </row>
    <row r="197" spans="1:3" x14ac:dyDescent="0.2">
      <c r="A197" s="153">
        <v>35125</v>
      </c>
      <c r="B197" s="152">
        <v>29.659269999999999</v>
      </c>
    </row>
    <row r="198" spans="1:3" x14ac:dyDescent="0.2">
      <c r="A198" s="153">
        <v>35156</v>
      </c>
      <c r="B198" s="152">
        <v>30.03304</v>
      </c>
    </row>
    <row r="199" spans="1:3" x14ac:dyDescent="0.2">
      <c r="A199" s="153">
        <v>35186</v>
      </c>
      <c r="B199" s="152">
        <v>30.39939</v>
      </c>
    </row>
    <row r="200" spans="1:3" x14ac:dyDescent="0.2">
      <c r="A200" s="153">
        <v>35217</v>
      </c>
      <c r="B200" s="152">
        <v>30.761099999999999</v>
      </c>
    </row>
    <row r="201" spans="1:3" x14ac:dyDescent="0.2">
      <c r="A201" s="153">
        <v>35247</v>
      </c>
      <c r="B201" s="152">
        <v>31.102620000000002</v>
      </c>
    </row>
    <row r="202" spans="1:3" x14ac:dyDescent="0.2">
      <c r="A202" s="153">
        <v>35278</v>
      </c>
      <c r="B202" s="152">
        <v>31.239509999999999</v>
      </c>
    </row>
    <row r="203" spans="1:3" x14ac:dyDescent="0.2">
      <c r="A203" s="153">
        <v>35309</v>
      </c>
      <c r="B203" s="152">
        <v>31.286370000000002</v>
      </c>
    </row>
    <row r="204" spans="1:3" x14ac:dyDescent="0.2">
      <c r="A204" s="153">
        <v>35339</v>
      </c>
      <c r="B204" s="152">
        <v>31.38034</v>
      </c>
    </row>
    <row r="205" spans="1:3" x14ac:dyDescent="0.2">
      <c r="A205" s="153">
        <v>35370</v>
      </c>
      <c r="B205" s="152">
        <v>31.480799999999999</v>
      </c>
    </row>
    <row r="206" spans="1:3" x14ac:dyDescent="0.2">
      <c r="A206" s="153">
        <v>35400</v>
      </c>
      <c r="B206" s="152">
        <v>31.628820000000001</v>
      </c>
    </row>
    <row r="207" spans="1:3" x14ac:dyDescent="0.2">
      <c r="A207" s="153">
        <v>35431</v>
      </c>
      <c r="B207" s="152">
        <v>32.002130000000001</v>
      </c>
    </row>
    <row r="208" spans="1:3" x14ac:dyDescent="0.2">
      <c r="A208" s="153">
        <v>35462</v>
      </c>
      <c r="B208" s="152">
        <v>32.162219999999998</v>
      </c>
    </row>
    <row r="209" spans="1:3" x14ac:dyDescent="0.2">
      <c r="A209" s="153">
        <v>35490</v>
      </c>
      <c r="B209" s="152">
        <v>32.326250000000002</v>
      </c>
      <c r="C209" s="152"/>
    </row>
    <row r="210" spans="1:3" x14ac:dyDescent="0.2">
      <c r="A210" s="153">
        <v>35521</v>
      </c>
      <c r="B210" s="152">
        <v>32.610700000000001</v>
      </c>
    </row>
    <row r="211" spans="1:3" x14ac:dyDescent="0.2">
      <c r="A211" s="153">
        <v>35551</v>
      </c>
      <c r="B211" s="152">
        <v>32.744340000000001</v>
      </c>
    </row>
    <row r="212" spans="1:3" x14ac:dyDescent="0.2">
      <c r="A212" s="153">
        <v>35582</v>
      </c>
      <c r="B212" s="152">
        <v>32.921129999999998</v>
      </c>
    </row>
    <row r="213" spans="1:3" x14ac:dyDescent="0.2">
      <c r="A213" s="153">
        <v>35612</v>
      </c>
      <c r="B213" s="152">
        <v>32.993519999999997</v>
      </c>
    </row>
    <row r="214" spans="1:3" x14ac:dyDescent="0.2">
      <c r="A214" s="153">
        <v>35643</v>
      </c>
      <c r="B214" s="152">
        <v>32.987020000000001</v>
      </c>
    </row>
    <row r="215" spans="1:3" x14ac:dyDescent="0.2">
      <c r="A215" s="153">
        <v>35674</v>
      </c>
      <c r="B215" s="152">
        <v>33.006740000000001</v>
      </c>
    </row>
    <row r="216" spans="1:3" x14ac:dyDescent="0.2">
      <c r="A216" s="153">
        <v>35704</v>
      </c>
      <c r="B216" s="152">
        <v>33.082610000000003</v>
      </c>
    </row>
    <row r="217" spans="1:3" x14ac:dyDescent="0.2">
      <c r="A217" s="153">
        <v>35735</v>
      </c>
      <c r="B217" s="152">
        <v>33.138759999999998</v>
      </c>
    </row>
    <row r="218" spans="1:3" x14ac:dyDescent="0.2">
      <c r="A218" s="153">
        <v>35765</v>
      </c>
      <c r="B218" s="152">
        <v>33.281219999999998</v>
      </c>
    </row>
    <row r="219" spans="1:3" x14ac:dyDescent="0.2">
      <c r="A219" s="153">
        <v>35796</v>
      </c>
      <c r="B219" s="152">
        <v>33.517400000000002</v>
      </c>
    </row>
    <row r="220" spans="1:3" x14ac:dyDescent="0.2">
      <c r="A220" s="153">
        <v>35827</v>
      </c>
      <c r="B220" s="152">
        <v>33.671690000000012</v>
      </c>
    </row>
    <row r="221" spans="1:3" x14ac:dyDescent="0.2">
      <c r="A221" s="153">
        <v>35855</v>
      </c>
      <c r="B221" s="152">
        <v>33.786070000000002</v>
      </c>
    </row>
    <row r="222" spans="1:3" x14ac:dyDescent="0.2">
      <c r="A222" s="153">
        <v>35886</v>
      </c>
      <c r="B222" s="152">
        <v>33.867049999999999</v>
      </c>
      <c r="C222" s="152"/>
    </row>
    <row r="223" spans="1:3" x14ac:dyDescent="0.2">
      <c r="A223" s="153">
        <v>35916</v>
      </c>
      <c r="B223" s="152">
        <v>34.03642</v>
      </c>
    </row>
    <row r="224" spans="1:3" x14ac:dyDescent="0.2">
      <c r="A224" s="153">
        <v>35947</v>
      </c>
      <c r="B224" s="152">
        <v>34.043140000000001</v>
      </c>
    </row>
    <row r="225" spans="1:3" x14ac:dyDescent="0.2">
      <c r="A225" s="153">
        <v>35977</v>
      </c>
      <c r="B225" s="152">
        <v>34.002309999999987</v>
      </c>
    </row>
    <row r="226" spans="1:3" x14ac:dyDescent="0.2">
      <c r="A226" s="153">
        <v>36008</v>
      </c>
      <c r="B226" s="152">
        <v>33.828989999999997</v>
      </c>
    </row>
    <row r="227" spans="1:3" x14ac:dyDescent="0.2">
      <c r="A227" s="153">
        <v>36039</v>
      </c>
      <c r="B227" s="152">
        <v>33.754519999999999</v>
      </c>
    </row>
    <row r="228" spans="1:3" x14ac:dyDescent="0.2">
      <c r="A228" s="153">
        <v>36069</v>
      </c>
      <c r="B228" s="152">
        <v>33.761249999999997</v>
      </c>
    </row>
    <row r="229" spans="1:3" x14ac:dyDescent="0.2">
      <c r="A229" s="153">
        <v>36100</v>
      </c>
      <c r="B229" s="152">
        <v>33.720649999999999</v>
      </c>
    </row>
    <row r="230" spans="1:3" x14ac:dyDescent="0.2">
      <c r="A230" s="153">
        <v>36130</v>
      </c>
      <c r="B230" s="152">
        <v>33.832009999999997</v>
      </c>
    </row>
    <row r="231" spans="1:3" x14ac:dyDescent="0.2">
      <c r="A231" s="153">
        <v>36161</v>
      </c>
      <c r="B231" s="152">
        <v>34.068899999999999</v>
      </c>
    </row>
    <row r="232" spans="1:3" x14ac:dyDescent="0.2">
      <c r="A232" s="153">
        <v>36192</v>
      </c>
      <c r="B232" s="152">
        <v>34.426659999999998</v>
      </c>
    </row>
    <row r="233" spans="1:3" x14ac:dyDescent="0.2">
      <c r="A233" s="153">
        <v>36220</v>
      </c>
      <c r="B233" s="152">
        <v>34.805300000000003</v>
      </c>
    </row>
    <row r="234" spans="1:3" x14ac:dyDescent="0.2">
      <c r="A234" s="153">
        <v>36251</v>
      </c>
      <c r="B234" s="152">
        <v>35.000190000000003</v>
      </c>
    </row>
    <row r="235" spans="1:3" x14ac:dyDescent="0.2">
      <c r="A235" s="153">
        <v>36281</v>
      </c>
      <c r="B235" s="152">
        <v>35.105289999999997</v>
      </c>
      <c r="C235" s="152"/>
    </row>
    <row r="236" spans="1:3" x14ac:dyDescent="0.2">
      <c r="A236" s="153">
        <v>36312</v>
      </c>
      <c r="B236" s="152">
        <v>35.171880000000002</v>
      </c>
    </row>
    <row r="237" spans="1:3" x14ac:dyDescent="0.2">
      <c r="A237" s="153">
        <v>36342</v>
      </c>
      <c r="B237" s="152">
        <v>35.555160000000001</v>
      </c>
    </row>
    <row r="238" spans="1:3" x14ac:dyDescent="0.2">
      <c r="A238" s="153">
        <v>36373</v>
      </c>
      <c r="B238" s="152">
        <v>35.75423</v>
      </c>
    </row>
    <row r="239" spans="1:3" x14ac:dyDescent="0.2">
      <c r="A239" s="153">
        <v>36404</v>
      </c>
      <c r="B239" s="152">
        <v>35.865139999999997</v>
      </c>
    </row>
    <row r="240" spans="1:3" x14ac:dyDescent="0.2">
      <c r="A240" s="153">
        <v>36434</v>
      </c>
      <c r="B240" s="152">
        <v>36.292029999999997</v>
      </c>
    </row>
    <row r="241" spans="1:3" x14ac:dyDescent="0.2">
      <c r="A241" s="153">
        <v>36465</v>
      </c>
      <c r="B241" s="152">
        <v>36.636809999999997</v>
      </c>
    </row>
    <row r="242" spans="1:3" x14ac:dyDescent="0.2">
      <c r="A242" s="153">
        <v>36495</v>
      </c>
      <c r="B242" s="152">
        <v>36.856520000000003</v>
      </c>
    </row>
    <row r="243" spans="1:3" x14ac:dyDescent="0.2">
      <c r="A243" s="153">
        <v>36526</v>
      </c>
      <c r="B243" s="152">
        <v>37.085050000000003</v>
      </c>
    </row>
    <row r="244" spans="1:3" x14ac:dyDescent="0.2">
      <c r="A244" s="153">
        <v>36557</v>
      </c>
      <c r="B244" s="152">
        <v>37.133309999999987</v>
      </c>
    </row>
    <row r="245" spans="1:3" x14ac:dyDescent="0.2">
      <c r="A245" s="153">
        <v>36586</v>
      </c>
      <c r="B245" s="152">
        <v>37.214979999999997</v>
      </c>
    </row>
    <row r="246" spans="1:3" x14ac:dyDescent="0.2">
      <c r="A246" s="153">
        <v>36617</v>
      </c>
      <c r="B246" s="152">
        <v>37.371360000000003</v>
      </c>
    </row>
    <row r="247" spans="1:3" x14ac:dyDescent="0.2">
      <c r="A247" s="153">
        <v>36647</v>
      </c>
      <c r="B247" s="152">
        <v>37.375070000000001</v>
      </c>
    </row>
    <row r="248" spans="1:3" x14ac:dyDescent="0.2">
      <c r="A248" s="153">
        <v>36678</v>
      </c>
      <c r="B248" s="152">
        <v>37.46114</v>
      </c>
      <c r="C248" s="152"/>
    </row>
    <row r="249" spans="1:3" x14ac:dyDescent="0.2">
      <c r="A249" s="153">
        <v>36708</v>
      </c>
      <c r="B249" s="152">
        <v>38.06438</v>
      </c>
    </row>
    <row r="250" spans="1:3" x14ac:dyDescent="0.2">
      <c r="A250" s="153">
        <v>36739</v>
      </c>
      <c r="B250" s="152">
        <v>38.56297</v>
      </c>
    </row>
    <row r="251" spans="1:3" x14ac:dyDescent="0.2">
      <c r="A251" s="153">
        <v>36770</v>
      </c>
      <c r="B251" s="152">
        <v>38.651600000000002</v>
      </c>
    </row>
    <row r="252" spans="1:3" x14ac:dyDescent="0.2">
      <c r="A252" s="153">
        <v>36800</v>
      </c>
      <c r="B252" s="152">
        <v>38.705659999999988</v>
      </c>
    </row>
    <row r="253" spans="1:3" x14ac:dyDescent="0.2">
      <c r="A253" s="153">
        <v>36831</v>
      </c>
      <c r="B253" s="152">
        <v>38.829549999999998</v>
      </c>
    </row>
    <row r="254" spans="1:3" x14ac:dyDescent="0.2">
      <c r="A254" s="153">
        <v>36861</v>
      </c>
      <c r="B254" s="152">
        <v>39.058549999999997</v>
      </c>
    </row>
    <row r="255" spans="1:3" x14ac:dyDescent="0.2">
      <c r="A255" s="153">
        <v>36892</v>
      </c>
      <c r="B255" s="152">
        <v>39.281280000000002</v>
      </c>
    </row>
    <row r="256" spans="1:3" x14ac:dyDescent="0.2">
      <c r="A256" s="153">
        <v>36923</v>
      </c>
      <c r="B256" s="152">
        <v>39.462020000000003</v>
      </c>
    </row>
    <row r="257" spans="1:3" x14ac:dyDescent="0.2">
      <c r="A257" s="153">
        <v>36951</v>
      </c>
      <c r="B257" s="152">
        <v>39.611899999999999</v>
      </c>
    </row>
    <row r="258" spans="1:3" x14ac:dyDescent="0.2">
      <c r="A258" s="153">
        <v>36982</v>
      </c>
      <c r="B258" s="152">
        <v>39.841589999999997</v>
      </c>
    </row>
    <row r="259" spans="1:3" x14ac:dyDescent="0.2">
      <c r="A259" s="153">
        <v>37012</v>
      </c>
      <c r="B259" s="152">
        <v>40.004919999999998</v>
      </c>
    </row>
    <row r="260" spans="1:3" x14ac:dyDescent="0.2">
      <c r="A260" s="153">
        <v>37043</v>
      </c>
      <c r="B260" s="152">
        <v>40.213039999999999</v>
      </c>
    </row>
    <row r="261" spans="1:3" x14ac:dyDescent="0.2">
      <c r="A261" s="153">
        <v>37073</v>
      </c>
      <c r="B261" s="152">
        <v>40.74783</v>
      </c>
      <c r="C261" s="152"/>
    </row>
    <row r="262" spans="1:3" x14ac:dyDescent="0.2">
      <c r="A262" s="153">
        <v>37104</v>
      </c>
      <c r="B262" s="152">
        <v>41.032969999999999</v>
      </c>
    </row>
    <row r="263" spans="1:3" x14ac:dyDescent="0.2">
      <c r="A263" s="153">
        <v>37135</v>
      </c>
      <c r="B263" s="152">
        <v>41.147820000000003</v>
      </c>
    </row>
    <row r="264" spans="1:3" x14ac:dyDescent="0.2">
      <c r="A264" s="153">
        <v>37165</v>
      </c>
      <c r="B264" s="152">
        <v>41.489340000000013</v>
      </c>
    </row>
    <row r="265" spans="1:3" x14ac:dyDescent="0.2">
      <c r="A265" s="153">
        <v>37196</v>
      </c>
      <c r="B265" s="152">
        <v>41.783999999999999</v>
      </c>
    </row>
    <row r="266" spans="1:3" x14ac:dyDescent="0.2">
      <c r="A266" s="153">
        <v>37226</v>
      </c>
      <c r="B266" s="152">
        <v>42.055680000000002</v>
      </c>
    </row>
    <row r="267" spans="1:3" x14ac:dyDescent="0.2">
      <c r="A267" s="153">
        <v>37257</v>
      </c>
      <c r="B267" s="152">
        <v>42.274470000000001</v>
      </c>
    </row>
    <row r="268" spans="1:3" x14ac:dyDescent="0.2">
      <c r="A268" s="153">
        <v>37288</v>
      </c>
      <c r="B268" s="152">
        <v>42.426670000000001</v>
      </c>
    </row>
    <row r="269" spans="1:3" x14ac:dyDescent="0.2">
      <c r="A269" s="153">
        <v>37316</v>
      </c>
      <c r="B269" s="152">
        <v>42.681190000000001</v>
      </c>
    </row>
    <row r="270" spans="1:3" x14ac:dyDescent="0.2">
      <c r="A270" s="153">
        <v>37347</v>
      </c>
      <c r="B270" s="152">
        <v>43.022709999999996</v>
      </c>
    </row>
    <row r="271" spans="1:3" x14ac:dyDescent="0.2">
      <c r="A271" s="153">
        <v>37377</v>
      </c>
      <c r="B271" s="152">
        <v>43.112960000000001</v>
      </c>
    </row>
    <row r="272" spans="1:3" x14ac:dyDescent="0.2">
      <c r="A272" s="153">
        <v>37408</v>
      </c>
      <c r="B272" s="152">
        <v>43.293930000000003</v>
      </c>
    </row>
    <row r="273" spans="1:3" x14ac:dyDescent="0.2">
      <c r="A273" s="153">
        <v>37438</v>
      </c>
      <c r="B273" s="152">
        <v>43.809229999999999</v>
      </c>
    </row>
    <row r="274" spans="1:3" x14ac:dyDescent="0.2">
      <c r="A274" s="153">
        <v>37469</v>
      </c>
      <c r="B274" s="152">
        <v>44.093910000000001</v>
      </c>
      <c r="C274" s="152"/>
    </row>
    <row r="275" spans="1:3" x14ac:dyDescent="0.2">
      <c r="A275" s="153">
        <v>37500</v>
      </c>
      <c r="B275" s="152">
        <v>44.411299999999997</v>
      </c>
    </row>
    <row r="276" spans="1:3" x14ac:dyDescent="0.2">
      <c r="A276" s="153">
        <v>37530</v>
      </c>
      <c r="B276" s="152">
        <v>44.993190000000013</v>
      </c>
    </row>
    <row r="277" spans="1:3" x14ac:dyDescent="0.2">
      <c r="A277" s="153">
        <v>37561</v>
      </c>
      <c r="B277" s="152">
        <v>46.352080000000001</v>
      </c>
    </row>
    <row r="278" spans="1:3" x14ac:dyDescent="0.2">
      <c r="A278" s="153">
        <v>37591</v>
      </c>
      <c r="B278" s="152">
        <v>47.325369999999999</v>
      </c>
    </row>
    <row r="279" spans="1:3" x14ac:dyDescent="0.2">
      <c r="A279" s="153">
        <v>37622</v>
      </c>
      <c r="B279" s="152">
        <v>48.390309999999999</v>
      </c>
    </row>
    <row r="280" spans="1:3" x14ac:dyDescent="0.2">
      <c r="A280" s="153">
        <v>37653</v>
      </c>
      <c r="B280" s="152">
        <v>49.150149999999996</v>
      </c>
    </row>
    <row r="281" spans="1:3" x14ac:dyDescent="0.2">
      <c r="A281" s="153">
        <v>37681</v>
      </c>
      <c r="B281" s="152">
        <v>49.754770000000001</v>
      </c>
    </row>
    <row r="282" spans="1:3" x14ac:dyDescent="0.2">
      <c r="A282" s="153">
        <v>37712</v>
      </c>
      <c r="B282" s="152">
        <v>50.237360000000002</v>
      </c>
    </row>
    <row r="283" spans="1:3" x14ac:dyDescent="0.2">
      <c r="A283" s="153">
        <v>37742</v>
      </c>
      <c r="B283" s="152">
        <v>50.543849999999999</v>
      </c>
    </row>
    <row r="284" spans="1:3" x14ac:dyDescent="0.2">
      <c r="A284" s="153">
        <v>37773</v>
      </c>
      <c r="B284" s="152">
        <v>50.467979999999997</v>
      </c>
    </row>
    <row r="285" spans="1:3" x14ac:dyDescent="0.2">
      <c r="A285" s="153">
        <v>37803</v>
      </c>
      <c r="B285" s="152">
        <v>50.568899999999999</v>
      </c>
    </row>
    <row r="286" spans="1:3" x14ac:dyDescent="0.2">
      <c r="A286" s="153">
        <v>37834</v>
      </c>
      <c r="B286" s="152">
        <v>50.740830000000003</v>
      </c>
    </row>
    <row r="287" spans="1:3" x14ac:dyDescent="0.2">
      <c r="A287" s="153">
        <v>37865</v>
      </c>
      <c r="B287" s="152">
        <v>51.13664</v>
      </c>
      <c r="C287" s="152"/>
    </row>
    <row r="288" spans="1:3" x14ac:dyDescent="0.2">
      <c r="A288" s="153">
        <v>37895</v>
      </c>
      <c r="B288" s="152">
        <v>51.284889999999997</v>
      </c>
    </row>
    <row r="289" spans="1:3" x14ac:dyDescent="0.2">
      <c r="A289" s="153">
        <v>37926</v>
      </c>
      <c r="B289" s="152">
        <v>51.45937</v>
      </c>
    </row>
    <row r="290" spans="1:3" x14ac:dyDescent="0.2">
      <c r="A290" s="153">
        <v>37956</v>
      </c>
      <c r="B290" s="152">
        <v>51.726880000000001</v>
      </c>
    </row>
    <row r="291" spans="1:3" x14ac:dyDescent="0.2">
      <c r="A291" s="153">
        <v>37987</v>
      </c>
      <c r="B291" s="152">
        <v>52.119900000000001</v>
      </c>
    </row>
    <row r="292" spans="1:3" x14ac:dyDescent="0.2">
      <c r="A292" s="153">
        <v>38018</v>
      </c>
      <c r="B292" s="152">
        <v>52.437759999999997</v>
      </c>
    </row>
    <row r="293" spans="1:3" x14ac:dyDescent="0.2">
      <c r="A293" s="153">
        <v>38047</v>
      </c>
      <c r="B293" s="152">
        <v>52.684159999999999</v>
      </c>
    </row>
    <row r="294" spans="1:3" x14ac:dyDescent="0.2">
      <c r="A294" s="153">
        <v>38078</v>
      </c>
      <c r="B294" s="152">
        <v>52.879049999999999</v>
      </c>
    </row>
    <row r="295" spans="1:3" x14ac:dyDescent="0.2">
      <c r="A295" s="153">
        <v>38108</v>
      </c>
      <c r="B295" s="152">
        <v>53.148650000000004</v>
      </c>
    </row>
    <row r="296" spans="1:3" x14ac:dyDescent="0.2">
      <c r="A296" s="153">
        <v>38139</v>
      </c>
      <c r="B296" s="152">
        <v>53.5259</v>
      </c>
    </row>
    <row r="297" spans="1:3" x14ac:dyDescent="0.2">
      <c r="A297" s="153">
        <v>38169</v>
      </c>
      <c r="B297" s="152">
        <v>54.012890000000013</v>
      </c>
    </row>
    <row r="298" spans="1:3" x14ac:dyDescent="0.2">
      <c r="A298" s="153">
        <v>38200</v>
      </c>
      <c r="B298" s="152">
        <v>54.3855</v>
      </c>
    </row>
    <row r="299" spans="1:3" x14ac:dyDescent="0.2">
      <c r="A299" s="153">
        <v>38231</v>
      </c>
      <c r="B299" s="152">
        <v>54.565080000000002</v>
      </c>
    </row>
    <row r="300" spans="1:3" x14ac:dyDescent="0.2">
      <c r="A300" s="153">
        <v>38261</v>
      </c>
      <c r="B300" s="152">
        <v>54.805210000000002</v>
      </c>
      <c r="C300" s="152"/>
    </row>
    <row r="301" spans="1:3" x14ac:dyDescent="0.2">
      <c r="A301" s="153">
        <v>38292</v>
      </c>
      <c r="B301" s="152">
        <v>55.183390000000003</v>
      </c>
    </row>
    <row r="302" spans="1:3" x14ac:dyDescent="0.2">
      <c r="A302" s="153">
        <v>38322</v>
      </c>
      <c r="B302" s="152">
        <v>55.657859999999999</v>
      </c>
    </row>
    <row r="303" spans="1:3" x14ac:dyDescent="0.2">
      <c r="A303" s="153">
        <v>38353</v>
      </c>
      <c r="B303" s="152">
        <v>55.980589999999999</v>
      </c>
    </row>
    <row r="304" spans="1:3" x14ac:dyDescent="0.2">
      <c r="A304" s="153">
        <v>38384</v>
      </c>
      <c r="B304" s="152">
        <v>56.310969999999998</v>
      </c>
    </row>
    <row r="305" spans="1:3" x14ac:dyDescent="0.2">
      <c r="A305" s="153">
        <v>38412</v>
      </c>
      <c r="B305" s="152">
        <v>56.654350000000001</v>
      </c>
    </row>
    <row r="306" spans="1:3" x14ac:dyDescent="0.2">
      <c r="A306" s="153">
        <v>38443</v>
      </c>
      <c r="B306" s="152">
        <v>57.14714</v>
      </c>
    </row>
    <row r="307" spans="1:3" x14ac:dyDescent="0.2">
      <c r="A307" s="153">
        <v>38473</v>
      </c>
      <c r="B307" s="152">
        <v>57.427180000000007</v>
      </c>
    </row>
    <row r="308" spans="1:3" x14ac:dyDescent="0.2">
      <c r="A308" s="153">
        <v>38504</v>
      </c>
      <c r="B308" s="152">
        <v>57.415580000000013</v>
      </c>
    </row>
    <row r="309" spans="1:3" x14ac:dyDescent="0.2">
      <c r="A309" s="153">
        <v>38534</v>
      </c>
      <c r="B309" s="152">
        <v>57.559199999999997</v>
      </c>
    </row>
    <row r="310" spans="1:3" x14ac:dyDescent="0.2">
      <c r="A310" s="153">
        <v>38565</v>
      </c>
      <c r="B310" s="152">
        <v>57.657110000000003</v>
      </c>
    </row>
    <row r="311" spans="1:3" x14ac:dyDescent="0.2">
      <c r="A311" s="153">
        <v>38596</v>
      </c>
      <c r="B311" s="152">
        <v>57.858960000000003</v>
      </c>
    </row>
    <row r="312" spans="1:3" x14ac:dyDescent="0.2">
      <c r="A312" s="153">
        <v>38626</v>
      </c>
      <c r="B312" s="152">
        <v>58.292819999999992</v>
      </c>
    </row>
    <row r="313" spans="1:3" x14ac:dyDescent="0.2">
      <c r="A313" s="153">
        <v>38657</v>
      </c>
      <c r="B313" s="152">
        <v>58.613460000000003</v>
      </c>
      <c r="C313" s="152"/>
    </row>
    <row r="314" spans="1:3" x14ac:dyDescent="0.2">
      <c r="A314" s="153">
        <v>38687</v>
      </c>
      <c r="B314" s="152">
        <v>58.824359999999999</v>
      </c>
    </row>
    <row r="315" spans="1:3" x14ac:dyDescent="0.2">
      <c r="A315" s="153">
        <v>38718</v>
      </c>
      <c r="B315" s="152">
        <v>59.17145</v>
      </c>
    </row>
    <row r="316" spans="1:3" x14ac:dyDescent="0.2">
      <c r="A316" s="153">
        <v>38749</v>
      </c>
      <c r="B316" s="152">
        <v>59.414130000000007</v>
      </c>
    </row>
    <row r="317" spans="1:3" x14ac:dyDescent="0.2">
      <c r="A317" s="153">
        <v>38777</v>
      </c>
      <c r="B317" s="152">
        <v>59.669580000000003</v>
      </c>
    </row>
    <row r="318" spans="1:3" x14ac:dyDescent="0.2">
      <c r="A318" s="153">
        <v>38808</v>
      </c>
      <c r="B318" s="152">
        <v>59.79486</v>
      </c>
    </row>
    <row r="319" spans="1:3" x14ac:dyDescent="0.2">
      <c r="A319" s="153">
        <v>38838</v>
      </c>
      <c r="B319" s="152">
        <v>59.854719999999993</v>
      </c>
    </row>
    <row r="320" spans="1:3" x14ac:dyDescent="0.2">
      <c r="A320" s="153">
        <v>38869</v>
      </c>
      <c r="B320" s="152">
        <v>59.728969999999997</v>
      </c>
    </row>
    <row r="321" spans="1:3" x14ac:dyDescent="0.2">
      <c r="A321" s="153">
        <v>38899</v>
      </c>
      <c r="B321" s="152">
        <v>59.842430000000007</v>
      </c>
    </row>
    <row r="322" spans="1:3" x14ac:dyDescent="0.2">
      <c r="A322" s="153">
        <v>38930</v>
      </c>
      <c r="B322" s="152">
        <v>59.87236</v>
      </c>
    </row>
    <row r="323" spans="1:3" x14ac:dyDescent="0.2">
      <c r="A323" s="153">
        <v>38961</v>
      </c>
      <c r="B323" s="152">
        <v>59.998109999999997</v>
      </c>
    </row>
    <row r="324" spans="1:3" x14ac:dyDescent="0.2">
      <c r="A324" s="153">
        <v>38991</v>
      </c>
      <c r="B324" s="152">
        <v>60.196010000000001</v>
      </c>
    </row>
    <row r="325" spans="1:3" x14ac:dyDescent="0.2">
      <c r="A325" s="153">
        <v>39022</v>
      </c>
      <c r="B325" s="152">
        <v>60.382550000000002</v>
      </c>
    </row>
    <row r="326" spans="1:3" x14ac:dyDescent="0.2">
      <c r="A326" s="153">
        <v>39052</v>
      </c>
      <c r="B326" s="152">
        <v>60.672340000000013</v>
      </c>
      <c r="C326" s="152"/>
    </row>
    <row r="327" spans="1:3" x14ac:dyDescent="0.2">
      <c r="A327" s="153">
        <v>39083</v>
      </c>
      <c r="B327" s="152">
        <v>60.939380000000007</v>
      </c>
    </row>
    <row r="328" spans="1:3" x14ac:dyDescent="0.2">
      <c r="A328" s="153">
        <v>39114</v>
      </c>
      <c r="B328" s="152">
        <v>61.207590000000003</v>
      </c>
    </row>
    <row r="329" spans="1:3" x14ac:dyDescent="0.2">
      <c r="A329" s="153">
        <v>39142</v>
      </c>
      <c r="B329" s="152">
        <v>61.434030000000007</v>
      </c>
    </row>
    <row r="330" spans="1:3" x14ac:dyDescent="0.2">
      <c r="A330" s="153">
        <v>39173</v>
      </c>
      <c r="B330" s="152">
        <v>61.587619999999987</v>
      </c>
    </row>
    <row r="331" spans="1:3" x14ac:dyDescent="0.2">
      <c r="A331" s="153">
        <v>39203</v>
      </c>
      <c r="B331" s="152">
        <v>61.760010000000001</v>
      </c>
    </row>
    <row r="332" spans="1:3" x14ac:dyDescent="0.2">
      <c r="A332" s="153">
        <v>39234</v>
      </c>
      <c r="B332" s="152">
        <v>61.932859999999998</v>
      </c>
    </row>
    <row r="333" spans="1:3" x14ac:dyDescent="0.2">
      <c r="A333" s="153">
        <v>39264</v>
      </c>
      <c r="B333" s="152">
        <v>62.081580000000002</v>
      </c>
    </row>
    <row r="334" spans="1:3" x14ac:dyDescent="0.2">
      <c r="A334" s="153">
        <v>39295</v>
      </c>
      <c r="B334" s="152">
        <v>62.373449999999998</v>
      </c>
    </row>
    <row r="335" spans="1:3" x14ac:dyDescent="0.2">
      <c r="A335" s="153">
        <v>39326</v>
      </c>
      <c r="B335" s="152">
        <v>62.48574</v>
      </c>
    </row>
    <row r="336" spans="1:3" x14ac:dyDescent="0.2">
      <c r="A336" s="153">
        <v>39356</v>
      </c>
      <c r="B336" s="152">
        <v>62.673209999999997</v>
      </c>
    </row>
    <row r="337" spans="1:3" x14ac:dyDescent="0.2">
      <c r="A337" s="153">
        <v>39387</v>
      </c>
      <c r="B337" s="152">
        <v>62.911250000000003</v>
      </c>
    </row>
    <row r="338" spans="1:3" x14ac:dyDescent="0.2">
      <c r="A338" s="153">
        <v>39417</v>
      </c>
      <c r="B338" s="152">
        <v>63.376899999999999</v>
      </c>
    </row>
    <row r="339" spans="1:3" x14ac:dyDescent="0.2">
      <c r="A339" s="153">
        <v>39448</v>
      </c>
      <c r="B339" s="152">
        <v>63.719119999999997</v>
      </c>
      <c r="C339" s="152"/>
    </row>
    <row r="340" spans="1:3" x14ac:dyDescent="0.2">
      <c r="A340" s="153">
        <v>39479</v>
      </c>
      <c r="B340" s="152">
        <v>64.031409999999994</v>
      </c>
    </row>
    <row r="341" spans="1:3" x14ac:dyDescent="0.2">
      <c r="A341" s="153">
        <v>39508</v>
      </c>
      <c r="B341" s="152">
        <v>64.338819999999998</v>
      </c>
    </row>
    <row r="342" spans="1:3" x14ac:dyDescent="0.2">
      <c r="A342" s="153">
        <v>39539</v>
      </c>
      <c r="B342" s="152">
        <v>64.692639999999997</v>
      </c>
    </row>
    <row r="343" spans="1:3" x14ac:dyDescent="0.2">
      <c r="A343" s="153">
        <v>39569</v>
      </c>
      <c r="B343" s="152">
        <v>65.203769999999992</v>
      </c>
    </row>
    <row r="344" spans="1:3" x14ac:dyDescent="0.2">
      <c r="A344" s="153">
        <v>39600</v>
      </c>
      <c r="B344" s="152">
        <v>65.686350000000004</v>
      </c>
    </row>
    <row r="345" spans="1:3" x14ac:dyDescent="0.2">
      <c r="A345" s="153">
        <v>39630</v>
      </c>
      <c r="B345" s="152">
        <v>66.034369999999996</v>
      </c>
    </row>
    <row r="346" spans="1:3" x14ac:dyDescent="0.2">
      <c r="A346" s="153">
        <v>39661</v>
      </c>
      <c r="B346" s="152">
        <v>66.219279999999998</v>
      </c>
    </row>
    <row r="347" spans="1:3" x14ac:dyDescent="0.2">
      <c r="A347" s="153">
        <v>39692</v>
      </c>
      <c r="B347" s="152">
        <v>66.39143</v>
      </c>
    </row>
    <row r="348" spans="1:3" x14ac:dyDescent="0.2">
      <c r="A348" s="153">
        <v>39722</v>
      </c>
      <c r="B348" s="152">
        <v>66.690269999999998</v>
      </c>
    </row>
    <row r="349" spans="1:3" x14ac:dyDescent="0.2">
      <c r="A349" s="153">
        <v>39753</v>
      </c>
      <c r="B349" s="152">
        <v>66.930400000000006</v>
      </c>
    </row>
    <row r="350" spans="1:3" x14ac:dyDescent="0.2">
      <c r="A350" s="153">
        <v>39783</v>
      </c>
      <c r="B350" s="152">
        <v>67.117869999999996</v>
      </c>
    </row>
    <row r="351" spans="1:3" x14ac:dyDescent="0.2">
      <c r="A351" s="153">
        <v>39814</v>
      </c>
      <c r="B351" s="152">
        <v>67.439899999999994</v>
      </c>
    </row>
    <row r="352" spans="1:3" x14ac:dyDescent="0.2">
      <c r="A352" s="153">
        <v>39845</v>
      </c>
      <c r="B352" s="152">
        <v>67.810880000000012</v>
      </c>
      <c r="C352" s="152"/>
    </row>
    <row r="353" spans="1:3" x14ac:dyDescent="0.2">
      <c r="A353" s="153">
        <v>39873</v>
      </c>
      <c r="B353" s="152">
        <v>67.946380000000005</v>
      </c>
    </row>
    <row r="354" spans="1:3" x14ac:dyDescent="0.2">
      <c r="A354" s="153">
        <v>39904</v>
      </c>
      <c r="B354" s="152">
        <v>68.272590000000008</v>
      </c>
    </row>
    <row r="355" spans="1:3" x14ac:dyDescent="0.2">
      <c r="A355" s="153">
        <v>39934</v>
      </c>
      <c r="B355" s="152">
        <v>68.593459999999993</v>
      </c>
    </row>
    <row r="356" spans="1:3" x14ac:dyDescent="0.2">
      <c r="A356" s="153">
        <v>39965</v>
      </c>
      <c r="B356" s="152">
        <v>68.840319999999991</v>
      </c>
    </row>
    <row r="357" spans="1:3" x14ac:dyDescent="0.2">
      <c r="A357" s="153">
        <v>39995</v>
      </c>
      <c r="B357" s="152">
        <v>69.00551999999999</v>
      </c>
    </row>
    <row r="358" spans="1:3" x14ac:dyDescent="0.2">
      <c r="A358" s="153">
        <v>40026</v>
      </c>
      <c r="B358" s="152">
        <v>69.108990000000006</v>
      </c>
    </row>
    <row r="359" spans="1:3" x14ac:dyDescent="0.2">
      <c r="A359" s="153">
        <v>40057</v>
      </c>
      <c r="B359" s="152">
        <v>69.27488000000001</v>
      </c>
    </row>
    <row r="360" spans="1:3" x14ac:dyDescent="0.2">
      <c r="A360" s="153">
        <v>40087</v>
      </c>
      <c r="B360" s="152">
        <v>69.46884</v>
      </c>
    </row>
    <row r="361" spans="1:3" x14ac:dyDescent="0.2">
      <c r="A361" s="153">
        <v>40118</v>
      </c>
      <c r="B361" s="152">
        <v>69.753749999999997</v>
      </c>
    </row>
    <row r="362" spans="1:3" x14ac:dyDescent="0.2">
      <c r="A362" s="153">
        <v>40148</v>
      </c>
      <c r="B362" s="152">
        <v>70.011759999999995</v>
      </c>
    </row>
    <row r="363" spans="1:3" x14ac:dyDescent="0.2">
      <c r="A363" s="153">
        <v>40179</v>
      </c>
      <c r="B363" s="152">
        <v>70.536799999999999</v>
      </c>
    </row>
    <row r="364" spans="1:3" x14ac:dyDescent="0.2">
      <c r="A364" s="153">
        <v>40210</v>
      </c>
      <c r="B364" s="152">
        <v>71.0869</v>
      </c>
    </row>
    <row r="365" spans="1:3" x14ac:dyDescent="0.2">
      <c r="A365" s="153">
        <v>40238</v>
      </c>
      <c r="B365" s="152">
        <v>71.456490000000002</v>
      </c>
      <c r="C365" s="152"/>
    </row>
    <row r="366" spans="1:3" x14ac:dyDescent="0.2">
      <c r="A366" s="153">
        <v>40269</v>
      </c>
      <c r="B366" s="152">
        <v>71.863910000000004</v>
      </c>
    </row>
    <row r="367" spans="1:3" x14ac:dyDescent="0.2">
      <c r="A367" s="153">
        <v>40299</v>
      </c>
      <c r="B367" s="152">
        <v>72.172939999999997</v>
      </c>
    </row>
    <row r="368" spans="1:3" x14ac:dyDescent="0.2">
      <c r="A368" s="153">
        <v>40330</v>
      </c>
      <c r="B368" s="152">
        <v>72.172939999999997</v>
      </c>
    </row>
    <row r="369" spans="1:3" x14ac:dyDescent="0.2">
      <c r="A369" s="153">
        <v>40360</v>
      </c>
      <c r="B369" s="152">
        <v>72.180140000000023</v>
      </c>
    </row>
    <row r="370" spans="1:3" x14ac:dyDescent="0.2">
      <c r="A370" s="153">
        <v>40391</v>
      </c>
      <c r="B370" s="152">
        <v>72.208910000000003</v>
      </c>
    </row>
    <row r="371" spans="1:3" x14ac:dyDescent="0.2">
      <c r="A371" s="153">
        <v>40422</v>
      </c>
      <c r="B371" s="152">
        <v>72.533720000000002</v>
      </c>
    </row>
    <row r="372" spans="1:3" x14ac:dyDescent="0.2">
      <c r="A372" s="153">
        <v>40452</v>
      </c>
      <c r="B372" s="152">
        <v>73.077799999999996</v>
      </c>
    </row>
    <row r="373" spans="1:3" x14ac:dyDescent="0.2">
      <c r="A373" s="153">
        <v>40483</v>
      </c>
      <c r="B373" s="152">
        <v>73.684269999999998</v>
      </c>
    </row>
    <row r="374" spans="1:3" x14ac:dyDescent="0.2">
      <c r="A374" s="153">
        <v>40513</v>
      </c>
      <c r="B374" s="152">
        <v>74.148530000000022</v>
      </c>
      <c r="C374" s="156">
        <f>AVERAGE(B363:B374)</f>
        <v>72.260279166666677</v>
      </c>
    </row>
    <row r="375" spans="1:3" x14ac:dyDescent="0.2">
      <c r="A375" s="153">
        <v>40544</v>
      </c>
      <c r="B375" s="152">
        <v>74.764060000000001</v>
      </c>
    </row>
    <row r="376" spans="1:3" x14ac:dyDescent="0.2">
      <c r="A376" s="153">
        <v>40575</v>
      </c>
      <c r="B376" s="152">
        <v>75.362180000000009</v>
      </c>
    </row>
    <row r="377" spans="1:3" x14ac:dyDescent="0.2">
      <c r="A377" s="153">
        <v>40603</v>
      </c>
      <c r="B377" s="152">
        <v>75.957530000000006</v>
      </c>
    </row>
    <row r="378" spans="1:3" x14ac:dyDescent="0.2">
      <c r="A378" s="153">
        <v>40634</v>
      </c>
      <c r="B378" s="152">
        <v>76.54243000000001</v>
      </c>
      <c r="C378" s="152"/>
    </row>
    <row r="379" spans="1:3" x14ac:dyDescent="0.2">
      <c r="A379" s="153">
        <v>40664</v>
      </c>
      <c r="B379" s="152">
        <v>76.902280000000005</v>
      </c>
    </row>
    <row r="380" spans="1:3" x14ac:dyDescent="0.2">
      <c r="A380" s="153">
        <v>40695</v>
      </c>
      <c r="B380" s="152">
        <v>77.017589999999998</v>
      </c>
    </row>
    <row r="381" spans="1:3" x14ac:dyDescent="0.2">
      <c r="A381" s="153">
        <v>40725</v>
      </c>
      <c r="B381" s="152">
        <v>77.140789999999996</v>
      </c>
    </row>
    <row r="382" spans="1:3" x14ac:dyDescent="0.2">
      <c r="A382" s="153">
        <v>40756</v>
      </c>
      <c r="B382" s="152">
        <v>77.426159999999996</v>
      </c>
    </row>
    <row r="383" spans="1:3" x14ac:dyDescent="0.2">
      <c r="A383" s="153">
        <v>40787</v>
      </c>
      <c r="B383" s="152">
        <v>77.836590000000001</v>
      </c>
    </row>
    <row r="384" spans="1:3" x14ac:dyDescent="0.2">
      <c r="A384" s="153">
        <v>40817</v>
      </c>
      <c r="B384" s="152">
        <v>78.171390000000002</v>
      </c>
    </row>
    <row r="385" spans="1:3" x14ac:dyDescent="0.2">
      <c r="A385" s="153">
        <v>40848</v>
      </c>
      <c r="B385" s="152">
        <v>78.57786999999999</v>
      </c>
    </row>
    <row r="386" spans="1:3" x14ac:dyDescent="0.2">
      <c r="A386" s="153">
        <v>40878</v>
      </c>
      <c r="B386" s="152">
        <v>78.970669999999998</v>
      </c>
      <c r="C386" s="156">
        <f>AVERAGE(B375:B386)</f>
        <v>77.055795000000003</v>
      </c>
    </row>
    <row r="387" spans="1:3" x14ac:dyDescent="0.2">
      <c r="A387" s="153">
        <v>40909</v>
      </c>
      <c r="B387" s="152">
        <v>79.412890000000004</v>
      </c>
    </row>
    <row r="388" spans="1:3" x14ac:dyDescent="0.2">
      <c r="A388" s="153">
        <v>40940</v>
      </c>
      <c r="B388" s="152">
        <v>79.770189999999999</v>
      </c>
    </row>
    <row r="389" spans="1:3" x14ac:dyDescent="0.2">
      <c r="A389" s="153">
        <v>40969</v>
      </c>
      <c r="B389" s="152">
        <v>79.937700000000007</v>
      </c>
    </row>
    <row r="390" spans="1:3" x14ac:dyDescent="0.2">
      <c r="A390" s="153">
        <v>41000</v>
      </c>
      <c r="B390" s="152">
        <v>80.449290000000005</v>
      </c>
    </row>
    <row r="391" spans="1:3" x14ac:dyDescent="0.2">
      <c r="A391" s="153">
        <v>41030</v>
      </c>
      <c r="B391" s="152">
        <v>80.738839999999996</v>
      </c>
      <c r="C391" s="152"/>
    </row>
    <row r="392" spans="1:3" x14ac:dyDescent="0.2">
      <c r="A392" s="153">
        <v>41061</v>
      </c>
      <c r="B392" s="152">
        <v>80.803340000000006</v>
      </c>
    </row>
    <row r="393" spans="1:3" x14ac:dyDescent="0.2">
      <c r="A393" s="153">
        <v>41091</v>
      </c>
      <c r="B393" s="152">
        <v>81.150890000000004</v>
      </c>
    </row>
    <row r="394" spans="1:3" x14ac:dyDescent="0.2">
      <c r="A394" s="153">
        <v>41122</v>
      </c>
      <c r="B394" s="152">
        <v>81.483599999999996</v>
      </c>
    </row>
    <row r="395" spans="1:3" x14ac:dyDescent="0.2">
      <c r="A395" s="153">
        <v>41153</v>
      </c>
      <c r="B395" s="152">
        <v>81.948080000000004</v>
      </c>
    </row>
    <row r="396" spans="1:3" x14ac:dyDescent="0.2">
      <c r="A396" s="153">
        <v>41183</v>
      </c>
      <c r="B396" s="152">
        <v>82.43159</v>
      </c>
    </row>
    <row r="397" spans="1:3" x14ac:dyDescent="0.2">
      <c r="A397" s="153">
        <v>41214</v>
      </c>
      <c r="B397" s="152">
        <v>82.926249999999996</v>
      </c>
    </row>
    <row r="398" spans="1:3" x14ac:dyDescent="0.2">
      <c r="A398" s="153">
        <v>41244</v>
      </c>
      <c r="B398" s="152">
        <v>83.581450000000004</v>
      </c>
      <c r="C398" s="156">
        <f>AVERAGE(B387:B398)</f>
        <v>81.219509166666668</v>
      </c>
    </row>
    <row r="399" spans="1:3" x14ac:dyDescent="0.2">
      <c r="A399" s="153">
        <v>41275</v>
      </c>
      <c r="B399" s="152">
        <v>84.300219999999996</v>
      </c>
    </row>
    <row r="400" spans="1:3" x14ac:dyDescent="0.2">
      <c r="A400" s="153">
        <v>41306</v>
      </c>
      <c r="B400" s="152">
        <v>84.806010000000001</v>
      </c>
    </row>
    <row r="401" spans="1:3" x14ac:dyDescent="0.2">
      <c r="A401" s="153">
        <v>41334</v>
      </c>
      <c r="B401" s="152">
        <v>85.204610000000002</v>
      </c>
    </row>
    <row r="402" spans="1:3" x14ac:dyDescent="0.2">
      <c r="A402" s="153">
        <v>41365</v>
      </c>
      <c r="B402" s="152">
        <v>85.673270000000002</v>
      </c>
    </row>
    <row r="403" spans="1:3" x14ac:dyDescent="0.2">
      <c r="A403" s="153">
        <v>41395</v>
      </c>
      <c r="B403" s="152">
        <v>85.990200000000002</v>
      </c>
    </row>
    <row r="404" spans="1:3" x14ac:dyDescent="0.2">
      <c r="A404" s="153">
        <v>41426</v>
      </c>
      <c r="B404" s="152">
        <v>86.213859999999997</v>
      </c>
      <c r="C404" s="152"/>
    </row>
    <row r="405" spans="1:3" x14ac:dyDescent="0.2">
      <c r="A405" s="153">
        <v>41456</v>
      </c>
      <c r="B405" s="152">
        <v>86.239609999999999</v>
      </c>
    </row>
    <row r="406" spans="1:3" x14ac:dyDescent="0.2">
      <c r="A406" s="153">
        <v>41487</v>
      </c>
      <c r="B406" s="152">
        <v>86.446559999999991</v>
      </c>
    </row>
    <row r="407" spans="1:3" x14ac:dyDescent="0.2">
      <c r="A407" s="153">
        <v>41518</v>
      </c>
      <c r="B407" s="152">
        <v>86.749110000000002</v>
      </c>
    </row>
    <row r="408" spans="1:3" x14ac:dyDescent="0.2">
      <c r="A408" s="153">
        <v>41548</v>
      </c>
      <c r="B408" s="152">
        <v>87.243530000000007</v>
      </c>
    </row>
    <row r="409" spans="1:3" x14ac:dyDescent="0.2">
      <c r="A409" s="153">
        <v>41579</v>
      </c>
      <c r="B409" s="152">
        <v>87.714740000000006</v>
      </c>
    </row>
    <row r="410" spans="1:3" x14ac:dyDescent="0.2">
      <c r="A410" s="153">
        <v>41609</v>
      </c>
      <c r="B410" s="152">
        <v>88.521680000000003</v>
      </c>
      <c r="C410" s="156">
        <f>AVERAGE(B399:B410)</f>
        <v>86.258616666666668</v>
      </c>
    </row>
    <row r="411" spans="1:3" x14ac:dyDescent="0.2">
      <c r="A411" s="153">
        <v>41640</v>
      </c>
      <c r="B411" s="152">
        <v>89.008449999999996</v>
      </c>
    </row>
    <row r="412" spans="1:3" x14ac:dyDescent="0.2">
      <c r="A412" s="153">
        <v>41671</v>
      </c>
      <c r="B412" s="152">
        <v>89.622579999999999</v>
      </c>
    </row>
    <row r="413" spans="1:3" x14ac:dyDescent="0.2">
      <c r="A413" s="153">
        <v>41699</v>
      </c>
      <c r="B413" s="152">
        <v>90.447149999999993</v>
      </c>
    </row>
    <row r="414" spans="1:3" x14ac:dyDescent="0.2">
      <c r="A414" s="153">
        <v>41730</v>
      </c>
      <c r="B414" s="152">
        <v>91.053169999999994</v>
      </c>
    </row>
    <row r="415" spans="1:3" x14ac:dyDescent="0.2">
      <c r="A415" s="153">
        <v>41760</v>
      </c>
      <c r="B415" s="152">
        <v>91.471950000000007</v>
      </c>
    </row>
    <row r="416" spans="1:3" x14ac:dyDescent="0.2">
      <c r="A416" s="153">
        <v>41791</v>
      </c>
      <c r="B416" s="152">
        <v>91.837829999999997</v>
      </c>
    </row>
    <row r="417" spans="1:3" x14ac:dyDescent="0.2">
      <c r="A417" s="153">
        <v>41821</v>
      </c>
      <c r="B417" s="152">
        <v>91.847110000000001</v>
      </c>
      <c r="C417" s="152"/>
    </row>
    <row r="418" spans="1:3" x14ac:dyDescent="0.2">
      <c r="A418" s="153">
        <v>41852</v>
      </c>
      <c r="B418" s="152">
        <v>92.076809999999995</v>
      </c>
    </row>
    <row r="419" spans="1:3" x14ac:dyDescent="0.2">
      <c r="A419" s="153">
        <v>41883</v>
      </c>
      <c r="B419" s="152">
        <v>92.601619999999997</v>
      </c>
    </row>
    <row r="420" spans="1:3" x14ac:dyDescent="0.2">
      <c r="A420" s="153">
        <v>41913</v>
      </c>
      <c r="B420" s="152">
        <v>92.990470000000002</v>
      </c>
    </row>
    <row r="421" spans="1:3" x14ac:dyDescent="0.2">
      <c r="A421" s="153">
        <v>41944</v>
      </c>
      <c r="B421" s="152">
        <v>93.464699999999993</v>
      </c>
    </row>
    <row r="422" spans="1:3" x14ac:dyDescent="0.2">
      <c r="A422" s="153">
        <v>41974</v>
      </c>
      <c r="B422" s="152">
        <v>94.193680000000001</v>
      </c>
      <c r="C422" s="156">
        <f>AVERAGE(B411:B422)</f>
        <v>91.717960000000005</v>
      </c>
    </row>
    <row r="423" spans="1:3" x14ac:dyDescent="0.2">
      <c r="A423" s="153">
        <v>42005</v>
      </c>
      <c r="B423" s="152">
        <v>95.361630000000005</v>
      </c>
    </row>
    <row r="424" spans="1:3" x14ac:dyDescent="0.2">
      <c r="A424" s="153">
        <v>42036</v>
      </c>
      <c r="B424" s="152">
        <v>96.524940000000001</v>
      </c>
    </row>
    <row r="425" spans="1:3" x14ac:dyDescent="0.2">
      <c r="A425" s="153">
        <v>42064</v>
      </c>
      <c r="B425" s="152">
        <v>97.799149999999997</v>
      </c>
    </row>
    <row r="426" spans="1:3" x14ac:dyDescent="0.2">
      <c r="A426" s="153">
        <v>42095</v>
      </c>
      <c r="B426" s="152">
        <v>98.493560000000002</v>
      </c>
    </row>
    <row r="427" spans="1:3" x14ac:dyDescent="0.2">
      <c r="A427" s="153">
        <v>42125</v>
      </c>
      <c r="B427" s="152">
        <v>99.222309999999993</v>
      </c>
    </row>
    <row r="428" spans="1:3" x14ac:dyDescent="0.2">
      <c r="A428" s="153">
        <v>42156</v>
      </c>
      <c r="B428" s="152">
        <v>100.0063</v>
      </c>
    </row>
    <row r="429" spans="1:3" x14ac:dyDescent="0.2">
      <c r="A429" s="153">
        <v>42186</v>
      </c>
      <c r="B429" s="152">
        <v>100.6262</v>
      </c>
    </row>
    <row r="430" spans="1:3" x14ac:dyDescent="0.2">
      <c r="A430" s="153">
        <v>42217</v>
      </c>
      <c r="B430" s="152">
        <v>100.8476</v>
      </c>
      <c r="C430" s="152"/>
    </row>
    <row r="431" spans="1:3" x14ac:dyDescent="0.2">
      <c r="A431" s="153">
        <v>42248</v>
      </c>
      <c r="B431" s="152">
        <v>101.3921</v>
      </c>
    </row>
    <row r="432" spans="1:3" x14ac:dyDescent="0.2">
      <c r="A432" s="153">
        <v>42278</v>
      </c>
      <c r="B432" s="152">
        <v>102.2234</v>
      </c>
    </row>
    <row r="433" spans="1:3" x14ac:dyDescent="0.2">
      <c r="A433" s="153">
        <v>42309</v>
      </c>
      <c r="B433" s="152">
        <v>103.25579999999999</v>
      </c>
    </row>
    <row r="434" spans="1:3" x14ac:dyDescent="0.2">
      <c r="A434" s="153">
        <v>42339</v>
      </c>
      <c r="B434" s="152">
        <v>104.247</v>
      </c>
      <c r="C434" s="156">
        <f>AVERAGE(B423:B434)</f>
        <v>99.999999166666669</v>
      </c>
    </row>
    <row r="435" spans="1:3" x14ac:dyDescent="0.2">
      <c r="A435" s="153">
        <v>42370</v>
      </c>
      <c r="B435" s="152">
        <v>105.57089999999999</v>
      </c>
    </row>
    <row r="436" spans="1:3" x14ac:dyDescent="0.2">
      <c r="A436" s="153">
        <v>42401</v>
      </c>
      <c r="B436" s="152">
        <v>106.521</v>
      </c>
    </row>
    <row r="437" spans="1:3" x14ac:dyDescent="0.2">
      <c r="A437" s="153">
        <v>42430</v>
      </c>
      <c r="B437" s="152">
        <v>106.9789</v>
      </c>
    </row>
    <row r="438" spans="1:3" x14ac:dyDescent="0.2">
      <c r="A438" s="153">
        <v>42461</v>
      </c>
      <c r="B438" s="152">
        <v>107.63160000000001</v>
      </c>
    </row>
    <row r="439" spans="1:3" x14ac:dyDescent="0.2">
      <c r="A439" s="153">
        <v>42491</v>
      </c>
      <c r="B439" s="152">
        <v>108.471</v>
      </c>
    </row>
    <row r="440" spans="1:3" x14ac:dyDescent="0.2">
      <c r="A440" s="153">
        <v>42522</v>
      </c>
      <c r="B440" s="152">
        <v>108.8506</v>
      </c>
    </row>
    <row r="441" spans="1:3" x14ac:dyDescent="0.2">
      <c r="A441" s="153">
        <v>42552</v>
      </c>
      <c r="B441" s="152">
        <v>109.41670000000001</v>
      </c>
    </row>
    <row r="442" spans="1:3" x14ac:dyDescent="0.2">
      <c r="A442" s="153">
        <v>42583</v>
      </c>
      <c r="B442" s="152">
        <v>109.8981</v>
      </c>
    </row>
    <row r="443" spans="1:3" x14ac:dyDescent="0.2">
      <c r="A443" s="153">
        <v>42614</v>
      </c>
      <c r="B443" s="152">
        <v>109.98609999999999</v>
      </c>
      <c r="C443" s="152"/>
    </row>
    <row r="444" spans="1:3" x14ac:dyDescent="0.2">
      <c r="A444" s="153">
        <v>42644</v>
      </c>
      <c r="B444" s="152">
        <v>110.27209999999999</v>
      </c>
    </row>
    <row r="445" spans="1:3" x14ac:dyDescent="0.2">
      <c r="A445" s="153">
        <v>42675</v>
      </c>
      <c r="B445" s="152">
        <v>110.47069999999999</v>
      </c>
    </row>
    <row r="446" spans="1:3" x14ac:dyDescent="0.2">
      <c r="A446" s="153">
        <v>42705</v>
      </c>
      <c r="B446" s="152">
        <v>110.80200000000001</v>
      </c>
      <c r="C446" s="156">
        <f>AVERAGE(B435:B446)</f>
        <v>108.73914166666667</v>
      </c>
    </row>
    <row r="447" spans="1:3" x14ac:dyDescent="0.2">
      <c r="A447" s="153">
        <v>42736</v>
      </c>
      <c r="B447" s="152">
        <v>111.2231</v>
      </c>
    </row>
    <row r="448" spans="1:3" x14ac:dyDescent="0.2">
      <c r="A448" s="153">
        <v>42767</v>
      </c>
      <c r="B448" s="152">
        <v>111.5902</v>
      </c>
    </row>
    <row r="449" spans="1:3" x14ac:dyDescent="0.2">
      <c r="A449" s="153">
        <v>42795</v>
      </c>
      <c r="B449" s="152">
        <v>111.8691</v>
      </c>
    </row>
    <row r="450" spans="1:3" x14ac:dyDescent="0.2">
      <c r="A450" s="153">
        <v>42826</v>
      </c>
      <c r="B450" s="152">
        <v>112.0257</v>
      </c>
    </row>
    <row r="451" spans="1:3" x14ac:dyDescent="0.2">
      <c r="A451" s="153">
        <v>42856</v>
      </c>
      <c r="B451" s="152">
        <v>112.373</v>
      </c>
    </row>
    <row r="452" spans="1:3" x14ac:dyDescent="0.2">
      <c r="A452" s="153">
        <v>42887</v>
      </c>
      <c r="B452" s="152">
        <v>112.11450000000001</v>
      </c>
    </row>
    <row r="453" spans="1:3" x14ac:dyDescent="0.2">
      <c r="A453" s="153">
        <v>42917</v>
      </c>
      <c r="B453" s="152">
        <v>112.3837</v>
      </c>
    </row>
    <row r="454" spans="1:3" x14ac:dyDescent="0.2">
      <c r="A454" s="153">
        <v>42948</v>
      </c>
      <c r="B454" s="152">
        <v>112.5971</v>
      </c>
    </row>
    <row r="455" spans="1:3" x14ac:dyDescent="0.2">
      <c r="A455" s="153">
        <v>42979</v>
      </c>
      <c r="B455" s="152">
        <v>112.77719999999999</v>
      </c>
    </row>
    <row r="456" spans="1:3" x14ac:dyDescent="0.2">
      <c r="A456" s="153">
        <v>43009</v>
      </c>
      <c r="B456" s="152">
        <v>113.2509</v>
      </c>
      <c r="C456" s="152"/>
    </row>
    <row r="457" spans="1:3" x14ac:dyDescent="0.2">
      <c r="A457" s="153">
        <v>43040</v>
      </c>
      <c r="B457" s="152">
        <v>113.5681</v>
      </c>
    </row>
    <row r="458" spans="1:3" x14ac:dyDescent="0.2">
      <c r="A458" s="153">
        <v>43070</v>
      </c>
      <c r="B458" s="152">
        <v>114.06780000000001</v>
      </c>
      <c r="C458" s="156">
        <f>AVERAGE(B447:B458)</f>
        <v>112.4867</v>
      </c>
    </row>
    <row r="459" spans="1:3" x14ac:dyDescent="0.2">
      <c r="A459" s="153">
        <v>43101</v>
      </c>
      <c r="B459" s="152">
        <v>114.39870000000001</v>
      </c>
    </row>
    <row r="460" spans="1:3" x14ac:dyDescent="0.2">
      <c r="A460" s="153">
        <v>43132</v>
      </c>
      <c r="B460" s="152">
        <v>114.76479999999999</v>
      </c>
    </row>
    <row r="461" spans="1:3" x14ac:dyDescent="0.2">
      <c r="A461" s="153">
        <v>43160</v>
      </c>
      <c r="B461" s="152">
        <v>114.8681</v>
      </c>
    </row>
    <row r="462" spans="1:3" x14ac:dyDescent="0.2">
      <c r="A462" s="153">
        <v>43191</v>
      </c>
      <c r="B462" s="152">
        <v>115.1207</v>
      </c>
    </row>
    <row r="463" spans="1:3" x14ac:dyDescent="0.2">
      <c r="A463" s="153">
        <v>43221</v>
      </c>
      <c r="B463" s="152">
        <v>115.5813</v>
      </c>
    </row>
    <row r="464" spans="1:3" x14ac:dyDescent="0.2">
      <c r="A464" s="153">
        <v>43252</v>
      </c>
      <c r="B464" s="152">
        <v>117.0376</v>
      </c>
    </row>
    <row r="465" spans="1:3" x14ac:dyDescent="0.2">
      <c r="A465" s="153">
        <v>43282</v>
      </c>
      <c r="B465" s="152">
        <v>117.4239</v>
      </c>
    </row>
    <row r="466" spans="1:3" x14ac:dyDescent="0.2">
      <c r="A466" s="153">
        <v>43313</v>
      </c>
      <c r="B466" s="152">
        <v>117.31829999999999</v>
      </c>
    </row>
    <row r="467" spans="1:3" x14ac:dyDescent="0.2">
      <c r="A467" s="153">
        <v>43344</v>
      </c>
      <c r="B467" s="152">
        <v>117.8814</v>
      </c>
    </row>
    <row r="468" spans="1:3" x14ac:dyDescent="0.2">
      <c r="A468" s="153">
        <v>43374</v>
      </c>
      <c r="B468" s="152">
        <v>118.4118</v>
      </c>
    </row>
    <row r="469" spans="1:3" x14ac:dyDescent="0.2">
      <c r="A469" s="153">
        <v>43405</v>
      </c>
      <c r="B469" s="152">
        <v>118.1631</v>
      </c>
      <c r="C469" s="152"/>
    </row>
    <row r="470" spans="1:3" x14ac:dyDescent="0.2">
      <c r="A470" s="153">
        <v>43435</v>
      </c>
      <c r="B470" s="152">
        <v>118.3403</v>
      </c>
      <c r="C470" s="156">
        <f>AVERAGE(B459:B470)</f>
        <v>116.60916666666668</v>
      </c>
    </row>
    <row r="471" spans="1:3" x14ac:dyDescent="0.2">
      <c r="A471" s="153">
        <v>43466</v>
      </c>
      <c r="B471" s="152">
        <v>118.71899999999999</v>
      </c>
    </row>
    <row r="472" spans="1:3" x14ac:dyDescent="0.2">
      <c r="A472" s="153">
        <v>43497</v>
      </c>
      <c r="B472" s="152">
        <v>119.2294</v>
      </c>
    </row>
    <row r="473" spans="1:3" x14ac:dyDescent="0.2">
      <c r="A473" s="153">
        <v>43525</v>
      </c>
      <c r="B473" s="152">
        <v>120.1236</v>
      </c>
    </row>
    <row r="474" spans="1:3" x14ac:dyDescent="0.2">
      <c r="A474" s="153">
        <v>43556</v>
      </c>
      <c r="B474" s="152">
        <v>120.8083</v>
      </c>
    </row>
    <row r="475" spans="1:3" x14ac:dyDescent="0.2">
      <c r="A475" s="153">
        <v>43586</v>
      </c>
      <c r="B475" s="152">
        <v>120.9653</v>
      </c>
    </row>
    <row r="476" spans="1:3" x14ac:dyDescent="0.2">
      <c r="A476" s="153">
        <v>43617</v>
      </c>
      <c r="B476" s="152">
        <v>120.9774</v>
      </c>
    </row>
    <row r="477" spans="1:3" x14ac:dyDescent="0.2">
      <c r="A477" s="153">
        <v>43647</v>
      </c>
      <c r="B477" s="152">
        <v>121.2073</v>
      </c>
    </row>
    <row r="478" spans="1:3" x14ac:dyDescent="0.2">
      <c r="A478" s="153">
        <v>43678</v>
      </c>
      <c r="B478" s="152">
        <v>121.3407</v>
      </c>
    </row>
    <row r="479" spans="1:3" x14ac:dyDescent="0.2">
      <c r="A479" s="153">
        <v>43709</v>
      </c>
      <c r="B479" s="152">
        <v>121.29219999999999</v>
      </c>
    </row>
    <row r="480" spans="1:3" x14ac:dyDescent="0.2">
      <c r="A480" s="153">
        <v>43739</v>
      </c>
      <c r="B480" s="152">
        <v>121.4136</v>
      </c>
    </row>
    <row r="481" spans="1:3" x14ac:dyDescent="0.2">
      <c r="A481" s="153">
        <v>43770</v>
      </c>
      <c r="B481" s="152">
        <v>122.03279999999999</v>
      </c>
    </row>
    <row r="482" spans="1:3" x14ac:dyDescent="0.2">
      <c r="A482" s="153">
        <v>43800</v>
      </c>
      <c r="B482" s="152">
        <v>123.4363</v>
      </c>
      <c r="C482" s="156">
        <f>AVERAGE(B471:B482)</f>
        <v>120.96215833333333</v>
      </c>
    </row>
    <row r="483" spans="1:3" x14ac:dyDescent="0.2">
      <c r="A483" s="153">
        <v>43831</v>
      </c>
      <c r="B483" s="152">
        <v>123.69540000000001</v>
      </c>
    </row>
    <row r="484" spans="1:3" x14ac:dyDescent="0.2">
      <c r="A484" s="153">
        <v>43862</v>
      </c>
      <c r="B484" s="152">
        <v>124.0047</v>
      </c>
    </row>
    <row r="485" spans="1:3" x14ac:dyDescent="0.2">
      <c r="A485" s="153">
        <v>43891</v>
      </c>
      <c r="B485" s="152">
        <v>124.0915</v>
      </c>
    </row>
    <row r="486" spans="1:3" x14ac:dyDescent="0.2">
      <c r="A486" s="153">
        <v>43922</v>
      </c>
      <c r="B486" s="152">
        <v>123.7068</v>
      </c>
    </row>
    <row r="487" spans="1:3" x14ac:dyDescent="0.2">
      <c r="A487" s="153">
        <v>43952</v>
      </c>
      <c r="B487" s="152">
        <v>123.2367</v>
      </c>
    </row>
    <row r="488" spans="1:3" x14ac:dyDescent="0.2">
      <c r="A488" s="153">
        <v>43983</v>
      </c>
      <c r="B488" s="152">
        <v>123.55710000000001</v>
      </c>
    </row>
    <row r="489" spans="1:3" x14ac:dyDescent="0.2">
      <c r="A489" s="153">
        <v>44013</v>
      </c>
      <c r="B489" s="152">
        <v>124.00190000000001</v>
      </c>
    </row>
    <row r="490" spans="1:3" x14ac:dyDescent="0.2">
      <c r="A490" s="153">
        <v>44044</v>
      </c>
      <c r="B490" s="152">
        <v>124.2996</v>
      </c>
    </row>
    <row r="491" spans="1:3" x14ac:dyDescent="0.2">
      <c r="A491" s="153">
        <v>44075</v>
      </c>
      <c r="B491" s="152">
        <v>125.0951</v>
      </c>
    </row>
    <row r="492" spans="1:3" x14ac:dyDescent="0.2">
      <c r="A492" s="153">
        <v>44105</v>
      </c>
      <c r="B492" s="152">
        <v>126.17100000000001</v>
      </c>
    </row>
    <row r="493" spans="1:3" x14ac:dyDescent="0.2">
      <c r="A493" s="153">
        <v>44136</v>
      </c>
      <c r="B493" s="152">
        <v>127.29389999999999</v>
      </c>
    </row>
    <row r="494" spans="1:3" x14ac:dyDescent="0.2">
      <c r="A494" s="153">
        <v>44166</v>
      </c>
      <c r="B494" s="152">
        <v>129.01240000000001</v>
      </c>
      <c r="C494" s="156">
        <f>AVERAGE(B483:B494)</f>
        <v>124.84717499999999</v>
      </c>
    </row>
    <row r="495" spans="1:3" x14ac:dyDescent="0.2">
      <c r="A495" s="153">
        <v>44197</v>
      </c>
      <c r="B495" s="152">
        <v>129.3349</v>
      </c>
      <c r="C495" s="152"/>
    </row>
    <row r="496" spans="1:3" x14ac:dyDescent="0.2">
      <c r="A496" s="153">
        <v>44228</v>
      </c>
      <c r="B496" s="152">
        <v>130.44720000000001</v>
      </c>
    </row>
    <row r="497" spans="1:3" x14ac:dyDescent="0.2">
      <c r="A497" s="153">
        <v>44256</v>
      </c>
      <c r="B497" s="152">
        <v>131.66040000000001</v>
      </c>
    </row>
    <row r="498" spans="1:3" x14ac:dyDescent="0.2">
      <c r="A498" s="153">
        <v>44287</v>
      </c>
      <c r="B498" s="152">
        <v>132.0685</v>
      </c>
    </row>
    <row r="499" spans="1:3" x14ac:dyDescent="0.2">
      <c r="A499" s="153">
        <v>44317</v>
      </c>
      <c r="B499" s="152">
        <v>133.16480000000001</v>
      </c>
    </row>
    <row r="500" spans="1:3" x14ac:dyDescent="0.2">
      <c r="A500" s="153">
        <v>44348</v>
      </c>
      <c r="B500" s="152">
        <v>133.87049999999999</v>
      </c>
    </row>
    <row r="501" spans="1:3" x14ac:dyDescent="0.2">
      <c r="A501" s="153">
        <v>44378</v>
      </c>
      <c r="B501" s="152">
        <v>135.1557</v>
      </c>
    </row>
    <row r="502" spans="1:3" x14ac:dyDescent="0.2">
      <c r="A502" s="153">
        <v>44409</v>
      </c>
      <c r="B502" s="152">
        <v>136.33150000000001</v>
      </c>
    </row>
    <row r="503" spans="1:3" x14ac:dyDescent="0.2">
      <c r="A503" s="153">
        <v>44440</v>
      </c>
      <c r="B503" s="152">
        <v>137.91290000000001</v>
      </c>
    </row>
    <row r="504" spans="1:3" x14ac:dyDescent="0.2">
      <c r="A504" s="153">
        <v>44470</v>
      </c>
      <c r="B504" s="152">
        <v>139.63669999999999</v>
      </c>
    </row>
    <row r="505" spans="1:3" x14ac:dyDescent="0.2">
      <c r="A505" s="153">
        <v>44501</v>
      </c>
      <c r="B505" s="152">
        <v>140.96340000000001</v>
      </c>
    </row>
    <row r="506" spans="1:3" x14ac:dyDescent="0.2">
      <c r="A506" s="153">
        <v>44531</v>
      </c>
      <c r="B506" s="152">
        <v>141.9924</v>
      </c>
      <c r="C506" s="156">
        <f>AVERAGE(B495:B506)</f>
        <v>135.21157500000001</v>
      </c>
    </row>
    <row r="507" spans="1:3" x14ac:dyDescent="0.2">
      <c r="A507" s="153">
        <v>44562</v>
      </c>
      <c r="B507" s="152">
        <v>142.75919999999999</v>
      </c>
    </row>
    <row r="508" spans="1:3" x14ac:dyDescent="0.2">
      <c r="A508" s="153">
        <v>44593</v>
      </c>
      <c r="B508" s="152">
        <v>144.2011</v>
      </c>
      <c r="C508" s="152"/>
    </row>
    <row r="509" spans="1:3" x14ac:dyDescent="0.2">
      <c r="A509" s="153">
        <v>44621</v>
      </c>
      <c r="B509" s="152">
        <v>146.53720000000001</v>
      </c>
    </row>
    <row r="510" spans="1:3" x14ac:dyDescent="0.2">
      <c r="A510" s="153">
        <v>44652</v>
      </c>
      <c r="B510" s="152">
        <v>148.09059999999999</v>
      </c>
    </row>
    <row r="511" spans="1:3" x14ac:dyDescent="0.2">
      <c r="A511" s="153">
        <v>44682</v>
      </c>
      <c r="B511" s="152">
        <v>148.78659999999999</v>
      </c>
    </row>
    <row r="512" spans="1:3" x14ac:dyDescent="0.2">
      <c r="A512" s="153">
        <v>44713</v>
      </c>
      <c r="B512" s="152">
        <v>149.78360000000001</v>
      </c>
    </row>
    <row r="513" spans="1:3" x14ac:dyDescent="0.2">
      <c r="A513" s="153">
        <v>44743</v>
      </c>
      <c r="B513" s="152">
        <v>148.76499999999999</v>
      </c>
    </row>
    <row r="514" spans="1:3" x14ac:dyDescent="0.2">
      <c r="A514" s="153">
        <v>44774</v>
      </c>
      <c r="B514" s="152">
        <v>148.2295</v>
      </c>
    </row>
    <row r="515" spans="1:3" x14ac:dyDescent="0.2">
      <c r="A515" s="153">
        <v>44805</v>
      </c>
      <c r="B515" s="152">
        <v>147.7996</v>
      </c>
    </row>
    <row r="516" spans="1:3" x14ac:dyDescent="0.2">
      <c r="A516" s="153">
        <v>44835</v>
      </c>
      <c r="B516" s="152">
        <v>148.67179999999999</v>
      </c>
    </row>
    <row r="517" spans="1:3" x14ac:dyDescent="0.2">
      <c r="A517" s="153">
        <v>44866</v>
      </c>
      <c r="B517" s="152">
        <v>149.28129999999999</v>
      </c>
    </row>
    <row r="518" spans="1:3" x14ac:dyDescent="0.2">
      <c r="A518" s="153">
        <v>44896</v>
      </c>
      <c r="B518" s="152">
        <v>150.20679999999999</v>
      </c>
      <c r="C518" s="156">
        <f>AVERAGE(B507:B518)</f>
        <v>147.75935833333332</v>
      </c>
    </row>
    <row r="519" spans="1:3" x14ac:dyDescent="0.2">
      <c r="A519" s="153">
        <v>44927</v>
      </c>
      <c r="B519" s="152">
        <v>151.00280000000001</v>
      </c>
    </row>
    <row r="520" spans="1:3" x14ac:dyDescent="0.2">
      <c r="A520" s="153">
        <v>44958</v>
      </c>
      <c r="B520" s="152">
        <v>152.27119999999999</v>
      </c>
    </row>
    <row r="521" spans="1:3" x14ac:dyDescent="0.2">
      <c r="A521" s="153">
        <v>44986</v>
      </c>
      <c r="B521" s="152">
        <v>153.35239999999999</v>
      </c>
      <c r="C521" s="152"/>
    </row>
    <row r="522" spans="1:3" x14ac:dyDescent="0.2">
      <c r="A522" s="153">
        <v>45017</v>
      </c>
      <c r="B522" s="152">
        <v>154.2878</v>
      </c>
    </row>
    <row r="523" spans="1:3" x14ac:dyDescent="0.2">
      <c r="A523" s="153">
        <v>45047</v>
      </c>
      <c r="B523" s="152">
        <v>154.64259999999999</v>
      </c>
    </row>
    <row r="524" spans="1:3" x14ac:dyDescent="0.2">
      <c r="A524" s="153">
        <v>45078</v>
      </c>
      <c r="B524" s="152">
        <v>154.5189</v>
      </c>
    </row>
    <row r="525" spans="1:3" x14ac:dyDescent="0.2">
      <c r="A525" s="153">
        <v>45108</v>
      </c>
      <c r="B525" s="152">
        <v>154.70429999999999</v>
      </c>
    </row>
    <row r="526" spans="1:3" x14ac:dyDescent="0.2">
      <c r="A526" s="153">
        <v>45139</v>
      </c>
      <c r="B526" s="152">
        <v>155.06020000000001</v>
      </c>
    </row>
    <row r="527" spans="1:3" x14ac:dyDescent="0.2">
      <c r="A527" s="153">
        <v>45170</v>
      </c>
      <c r="B527" s="152">
        <v>155.46350000000001</v>
      </c>
    </row>
    <row r="528" spans="1:3" x14ac:dyDescent="0.2">
      <c r="A528" s="153">
        <v>45200</v>
      </c>
      <c r="B528" s="152">
        <v>155.8365</v>
      </c>
    </row>
    <row r="529" spans="1:3" x14ac:dyDescent="0.2">
      <c r="A529" s="153">
        <v>45231</v>
      </c>
      <c r="B529" s="152">
        <v>156.27289999999999</v>
      </c>
    </row>
    <row r="530" spans="1:3" x14ac:dyDescent="0.2">
      <c r="A530" s="157">
        <v>45261</v>
      </c>
      <c r="B530" s="156">
        <v>157.1481</v>
      </c>
      <c r="C530" s="156">
        <f>AVERAGE(B519:B530)</f>
        <v>154.54676666666668</v>
      </c>
    </row>
    <row r="531" spans="1:3" x14ac:dyDescent="0.2">
      <c r="A531" s="153">
        <v>45292</v>
      </c>
      <c r="B531" s="152">
        <v>157.8082</v>
      </c>
    </row>
    <row r="532" spans="1:3" x14ac:dyDescent="0.2">
      <c r="A532" s="153">
        <v>45323</v>
      </c>
      <c r="B532" s="152">
        <v>159.11789999999999</v>
      </c>
    </row>
    <row r="533" spans="1:3" x14ac:dyDescent="0.2">
      <c r="A533" s="153">
        <v>45352</v>
      </c>
      <c r="B533" s="152">
        <v>159.3724</v>
      </c>
    </row>
    <row r="534" spans="1:3" x14ac:dyDescent="0.2">
      <c r="A534" s="153">
        <v>45383</v>
      </c>
      <c r="B534" s="152">
        <v>159.97790000000001</v>
      </c>
      <c r="C534" s="152"/>
    </row>
    <row r="535" spans="1:3" x14ac:dyDescent="0.2">
      <c r="A535" s="153">
        <v>45413</v>
      </c>
      <c r="B535" s="152">
        <v>160.7139</v>
      </c>
    </row>
    <row r="536" spans="1:3" x14ac:dyDescent="0.2">
      <c r="A536" s="153">
        <v>45444</v>
      </c>
      <c r="B536" s="152">
        <v>161.0515</v>
      </c>
    </row>
    <row r="537" spans="1:3" x14ac:dyDescent="0.2">
      <c r="A537" s="153">
        <v>45474</v>
      </c>
      <c r="B537" s="152">
        <v>161.6635</v>
      </c>
    </row>
    <row r="538" spans="1:3" x14ac:dyDescent="0.2">
      <c r="A538" s="153">
        <v>45505</v>
      </c>
      <c r="B538" s="152">
        <v>161.63130000000001</v>
      </c>
    </row>
    <row r="539" spans="1:3" x14ac:dyDescent="0.2">
      <c r="A539" s="153">
        <v>45536</v>
      </c>
      <c r="B539" s="152">
        <v>162.3424</v>
      </c>
    </row>
    <row r="540" spans="1:3" x14ac:dyDescent="0.2">
      <c r="A540" s="153">
        <v>45566</v>
      </c>
      <c r="B540" s="152">
        <v>163.25139999999999</v>
      </c>
    </row>
    <row r="541" spans="1:3" x14ac:dyDescent="0.2">
      <c r="A541" s="153">
        <v>45597</v>
      </c>
      <c r="B541" s="152">
        <v>163.88800000000001</v>
      </c>
    </row>
    <row r="542" spans="1:3" x14ac:dyDescent="0.2">
      <c r="A542" s="157">
        <v>45627</v>
      </c>
      <c r="B542" s="156">
        <v>164.74019999999999</v>
      </c>
      <c r="C542" s="156">
        <f>AVERAGE(B531:B542)</f>
        <v>161.29655</v>
      </c>
    </row>
    <row r="543" spans="1:3" x14ac:dyDescent="0.2">
      <c r="A543" s="153">
        <v>45658</v>
      </c>
      <c r="B543" s="152">
        <v>165.00380000000001</v>
      </c>
    </row>
    <row r="544" spans="1:3" x14ac:dyDescent="0.2">
      <c r="A544" s="153">
        <v>45689</v>
      </c>
      <c r="B544" s="152">
        <v>167.16550000000001</v>
      </c>
    </row>
    <row r="545" spans="1:3" x14ac:dyDescent="0.2">
      <c r="A545" s="153">
        <v>45717</v>
      </c>
      <c r="B545" s="152">
        <v>168.10159999999999</v>
      </c>
    </row>
    <row r="546" spans="1:3" x14ac:dyDescent="0.2">
      <c r="A546" s="157">
        <v>45748</v>
      </c>
      <c r="B546" s="156">
        <v>168.8246</v>
      </c>
      <c r="C546" s="156">
        <f>AVERAGE(B543:B546)</f>
        <v>167.273875</v>
      </c>
    </row>
  </sheetData>
  <hyperlinks>
    <hyperlink ref="E9" r:id="rId1" xr:uid="{77270673-6F76-6D42-BDC3-76EF08EE400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3A74-246A-CB44-902F-17E5FB67DEBF}">
  <dimension ref="A1:C46"/>
  <sheetViews>
    <sheetView topLeftCell="A12" zoomScale="130" zoomScaleNormal="130" workbookViewId="0">
      <selection activeCell="H32" sqref="H32"/>
    </sheetView>
  </sheetViews>
  <sheetFormatPr baseColWidth="10" defaultColWidth="8.83203125" defaultRowHeight="16" x14ac:dyDescent="0.2"/>
  <cols>
    <col min="1" max="1" width="16.5" bestFit="1" customWidth="1"/>
    <col min="2" max="2" width="8.83203125" style="107" bestFit="1"/>
  </cols>
  <sheetData>
    <row r="1" spans="1:2" x14ac:dyDescent="0.2">
      <c r="A1" s="105" t="s">
        <v>345</v>
      </c>
      <c r="B1" s="105" t="s">
        <v>346</v>
      </c>
    </row>
    <row r="2" spans="1:2" x14ac:dyDescent="0.2">
      <c r="A2" s="106">
        <v>34700</v>
      </c>
      <c r="B2" s="107">
        <v>0.91610000000000003</v>
      </c>
    </row>
    <row r="3" spans="1:2" x14ac:dyDescent="0.2">
      <c r="A3" s="106">
        <v>35065</v>
      </c>
      <c r="B3" s="107">
        <v>1.0051000000000001</v>
      </c>
    </row>
    <row r="4" spans="1:2" x14ac:dyDescent="0.2">
      <c r="A4" s="106">
        <v>35431</v>
      </c>
      <c r="B4" s="107">
        <v>1.0779000000000001</v>
      </c>
    </row>
    <row r="5" spans="1:2" x14ac:dyDescent="0.2">
      <c r="A5" s="106">
        <v>35796</v>
      </c>
      <c r="B5" s="107">
        <v>1.1605000000000001</v>
      </c>
    </row>
    <row r="6" spans="1:2" x14ac:dyDescent="0.2">
      <c r="A6" s="106">
        <v>36161</v>
      </c>
      <c r="B6" s="107">
        <v>1.8207</v>
      </c>
    </row>
    <row r="7" spans="1:2" x14ac:dyDescent="0.2">
      <c r="A7" s="106">
        <v>36526</v>
      </c>
      <c r="B7" s="107">
        <v>1.8301000000000001</v>
      </c>
    </row>
    <row r="8" spans="1:2" x14ac:dyDescent="0.2">
      <c r="A8" s="106">
        <v>36892</v>
      </c>
      <c r="B8" s="107">
        <v>2.3527</v>
      </c>
    </row>
    <row r="9" spans="1:2" x14ac:dyDescent="0.2">
      <c r="A9" s="106">
        <v>37257</v>
      </c>
      <c r="B9" s="107">
        <v>2.9213</v>
      </c>
    </row>
    <row r="10" spans="1:2" x14ac:dyDescent="0.2">
      <c r="A10" s="106">
        <v>37622</v>
      </c>
      <c r="B10" s="107">
        <v>3.0750000000000002</v>
      </c>
    </row>
    <row r="11" spans="1:2" x14ac:dyDescent="0.2">
      <c r="A11" s="106">
        <v>37987</v>
      </c>
      <c r="B11" s="107">
        <v>2.9262000000000001</v>
      </c>
    </row>
    <row r="12" spans="1:2" x14ac:dyDescent="0.2">
      <c r="A12" s="106">
        <v>38353</v>
      </c>
      <c r="B12" s="107">
        <v>2.4352</v>
      </c>
    </row>
    <row r="13" spans="1:2" x14ac:dyDescent="0.2">
      <c r="A13" s="106">
        <v>38718</v>
      </c>
      <c r="B13" s="107">
        <v>2.1738</v>
      </c>
    </row>
    <row r="14" spans="1:2" x14ac:dyDescent="0.2">
      <c r="A14" s="106">
        <v>39083</v>
      </c>
      <c r="B14" s="107">
        <v>1.9460999999999999</v>
      </c>
    </row>
    <row r="15" spans="1:2" x14ac:dyDescent="0.2">
      <c r="A15" s="106">
        <v>39448</v>
      </c>
      <c r="B15" s="107">
        <v>1.8326</v>
      </c>
    </row>
    <row r="16" spans="1:2" x14ac:dyDescent="0.2">
      <c r="A16" s="106">
        <v>39814</v>
      </c>
      <c r="B16" s="107">
        <v>1.9976</v>
      </c>
    </row>
    <row r="17" spans="1:2" x14ac:dyDescent="0.2">
      <c r="A17" s="109">
        <v>40179</v>
      </c>
      <c r="B17" s="110">
        <v>1.76</v>
      </c>
    </row>
    <row r="18" spans="1:2" x14ac:dyDescent="0.2">
      <c r="A18" s="106">
        <v>40544</v>
      </c>
      <c r="B18" s="107">
        <v>1.6722999999999999</v>
      </c>
    </row>
    <row r="19" spans="1:2" x14ac:dyDescent="0.2">
      <c r="A19" s="106">
        <v>40909</v>
      </c>
      <c r="B19" s="107">
        <v>1.9535</v>
      </c>
    </row>
    <row r="20" spans="1:2" x14ac:dyDescent="0.2">
      <c r="A20" s="106">
        <v>41275</v>
      </c>
      <c r="B20" s="107">
        <v>2.157</v>
      </c>
    </row>
    <row r="21" spans="1:2" x14ac:dyDescent="0.2">
      <c r="A21" s="106">
        <v>41640</v>
      </c>
      <c r="B21" s="107">
        <v>2.3512</v>
      </c>
    </row>
    <row r="22" spans="1:2" x14ac:dyDescent="0.2">
      <c r="A22" s="106">
        <v>42005</v>
      </c>
      <c r="B22" s="107">
        <v>3.3359999999999999</v>
      </c>
    </row>
    <row r="23" spans="1:2" x14ac:dyDescent="0.2">
      <c r="A23" s="106">
        <v>42370</v>
      </c>
      <c r="B23" s="107">
        <v>3.4839000000000002</v>
      </c>
    </row>
    <row r="24" spans="1:2" x14ac:dyDescent="0.2">
      <c r="A24" s="106">
        <v>42736</v>
      </c>
      <c r="B24" s="107">
        <v>3.1909999999999998</v>
      </c>
    </row>
    <row r="25" spans="1:2" x14ac:dyDescent="0.2">
      <c r="A25" s="106">
        <v>43101</v>
      </c>
      <c r="B25" s="107">
        <v>3.6513</v>
      </c>
    </row>
    <row r="26" spans="1:2" x14ac:dyDescent="0.2">
      <c r="A26" s="106">
        <v>43466</v>
      </c>
      <c r="B26" s="107">
        <v>3.944</v>
      </c>
    </row>
    <row r="27" spans="1:2" x14ac:dyDescent="0.2">
      <c r="A27" s="106">
        <v>43831</v>
      </c>
      <c r="B27" s="107">
        <v>5.1586999999999996</v>
      </c>
    </row>
    <row r="28" spans="1:2" x14ac:dyDescent="0.2">
      <c r="A28" s="106">
        <v>44197</v>
      </c>
      <c r="B28" s="107">
        <v>5.3958000000000004</v>
      </c>
    </row>
    <row r="29" spans="1:2" x14ac:dyDescent="0.2">
      <c r="A29" s="106">
        <v>44562</v>
      </c>
      <c r="B29" s="107">
        <v>5.1604999999999999</v>
      </c>
    </row>
    <row r="30" spans="1:2" x14ac:dyDescent="0.2">
      <c r="A30" s="106">
        <v>44927</v>
      </c>
      <c r="B30" s="107">
        <v>4.9946000000000002</v>
      </c>
    </row>
    <row r="31" spans="1:2" x14ac:dyDescent="0.2">
      <c r="A31" s="109">
        <v>45292</v>
      </c>
      <c r="B31" s="110">
        <v>5.3872</v>
      </c>
    </row>
    <row r="35" spans="1:3" x14ac:dyDescent="0.2">
      <c r="A35" s="2" t="s">
        <v>357</v>
      </c>
    </row>
    <row r="36" spans="1:3" x14ac:dyDescent="0.2">
      <c r="A36" t="s">
        <v>347</v>
      </c>
      <c r="B36"/>
    </row>
    <row r="37" spans="1:3" x14ac:dyDescent="0.2">
      <c r="A37" t="s">
        <v>348</v>
      </c>
      <c r="B37"/>
    </row>
    <row r="38" spans="1:3" x14ac:dyDescent="0.2">
      <c r="A38" t="s">
        <v>349</v>
      </c>
      <c r="B38"/>
    </row>
    <row r="39" spans="1:3" x14ac:dyDescent="0.2">
      <c r="A39" t="s">
        <v>350</v>
      </c>
      <c r="B39"/>
    </row>
    <row r="40" spans="1:3" x14ac:dyDescent="0.2">
      <c r="A40" t="s">
        <v>351</v>
      </c>
      <c r="B40"/>
    </row>
    <row r="41" spans="1:3" x14ac:dyDescent="0.2">
      <c r="A41" t="s">
        <v>352</v>
      </c>
      <c r="B41"/>
    </row>
    <row r="42" spans="1:3" x14ac:dyDescent="0.2">
      <c r="A42" s="108"/>
      <c r="B42"/>
    </row>
    <row r="43" spans="1:3" ht="17" x14ac:dyDescent="0.2">
      <c r="A43" s="108" t="s">
        <v>346</v>
      </c>
      <c r="B43" t="s">
        <v>353</v>
      </c>
      <c r="C43" t="s">
        <v>354</v>
      </c>
    </row>
    <row r="44" spans="1:3" x14ac:dyDescent="0.2">
      <c r="A44" s="108"/>
      <c r="B44"/>
    </row>
    <row r="45" spans="1:3" x14ac:dyDescent="0.2">
      <c r="A45" s="108"/>
      <c r="B45"/>
    </row>
    <row r="46" spans="1:3" x14ac:dyDescent="0.2">
      <c r="A46" s="108"/>
      <c r="B46"/>
    </row>
  </sheetData>
  <hyperlinks>
    <hyperlink ref="A35" r:id="rId1" xr:uid="{31BC7D9F-31B0-D54D-9180-66BA01FDD2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Readme</vt:lpstr>
      <vt:lpstr>Inputs Table &gt;&gt;</vt:lpstr>
      <vt:lpstr>parameters</vt:lpstr>
      <vt:lpstr>Vaccine Efficacy &gt;&gt;</vt:lpstr>
      <vt:lpstr>seroresponse</vt:lpstr>
      <vt:lpstr>Demographics &gt;&gt;</vt:lpstr>
      <vt:lpstr>life_tables</vt:lpstr>
      <vt:lpstr>age_pyramid</vt:lpstr>
      <vt:lpstr>Costs &gt;&gt;</vt:lpstr>
      <vt:lpstr>tax_rates</vt:lpstr>
      <vt:lpstr>qdenga_price</vt:lpstr>
      <vt:lpstr>pneumo-13_price</vt:lpstr>
      <vt:lpstr>chiqx_price</vt:lpstr>
      <vt:lpstr>calculations</vt:lpstr>
      <vt:lpstr>Adjustments &gt;&gt;</vt:lpstr>
      <vt:lpstr>cpi</vt:lpstr>
      <vt:lpstr>spot_fx_rate</vt:lpstr>
      <vt:lpstr>C_C</vt:lpstr>
      <vt:lpstr>cycle_length</vt:lpstr>
      <vt:lpstr>U_I</vt:lpstr>
      <vt:lpstr>U_S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Fulgence Drabo</dc:creator>
  <cp:lastModifiedBy>Emmanuel Fulgence Drabo</cp:lastModifiedBy>
  <dcterms:created xsi:type="dcterms:W3CDTF">2025-11-14T18:27:25Z</dcterms:created>
  <dcterms:modified xsi:type="dcterms:W3CDTF">2026-01-23T22:04:24Z</dcterms:modified>
</cp:coreProperties>
</file>