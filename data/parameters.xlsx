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emmanuel/Dropbox/vaccines/BMJOpen/RR1/Data/"/>
    </mc:Choice>
  </mc:AlternateContent>
  <xr:revisionPtr revIDLastSave="0" documentId="13_ncr:1_{0818AEB8-6326-AC46-9728-C32BBC00AA67}" xr6:coauthVersionLast="47" xr6:coauthVersionMax="47" xr10:uidLastSave="{00000000-0000-0000-0000-000000000000}"/>
  <bookViews>
    <workbookView xWindow="0" yWindow="660" windowWidth="24800" windowHeight="16440" activeTab="2" xr2:uid="{6CCCB85C-99E7-9B4E-9359-B3F89C549C7B}"/>
  </bookViews>
  <sheets>
    <sheet name="Readme" sheetId="18" r:id="rId1"/>
    <sheet name="Inputs Table &gt;&gt;" sheetId="19" r:id="rId2"/>
    <sheet name="parameters" sheetId="1" r:id="rId3"/>
    <sheet name="gbd_2023_healthstate_appendix_t" sheetId="20" r:id="rId4"/>
    <sheet name="Vaccine Efficacy &gt;&gt;" sheetId="17" r:id="rId5"/>
    <sheet name="seroresponse" sheetId="7" r:id="rId6"/>
    <sheet name="Demographics &gt;&gt;" sheetId="16" r:id="rId7"/>
    <sheet name="life_tables" sheetId="3" r:id="rId8"/>
    <sheet name="age_pyramid" sheetId="4" r:id="rId9"/>
    <sheet name="Costs &gt;&gt;" sheetId="15" r:id="rId10"/>
    <sheet name="tax_rates" sheetId="2" r:id="rId11"/>
    <sheet name="qdenga_price" sheetId="11" r:id="rId12"/>
    <sheet name="pneumo-13_price" sheetId="12" r:id="rId13"/>
    <sheet name="chiqx_price" sheetId="9" r:id="rId14"/>
    <sheet name="calculations" sheetId="13" r:id="rId15"/>
    <sheet name="Adjustments &gt;&gt;" sheetId="14" r:id="rId16"/>
    <sheet name="cpi" sheetId="21" r:id="rId17"/>
    <sheet name="cpi_old" sheetId="10" state="hidden" r:id="rId18"/>
    <sheet name="spot_fx_rate" sheetId="6" r:id="rId19"/>
  </sheets>
  <definedNames>
    <definedName name="C_C">parameters!$H$3</definedName>
    <definedName name="cycle_length">parameters!$H$51</definedName>
    <definedName name="fracinfected">parameters!#REF!</definedName>
    <definedName name="U_I">parameters!$H$96</definedName>
    <definedName name="U_S">parameters!$H$87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5" i="1" l="1"/>
  <c r="D19" i="21"/>
  <c r="D20" i="21"/>
  <c r="D21" i="21" s="1"/>
  <c r="D22" i="21" s="1"/>
  <c r="D23" i="21" s="1"/>
  <c r="D24" i="21" s="1"/>
  <c r="D25" i="21" s="1"/>
  <c r="D26" i="21" s="1"/>
  <c r="D27" i="21" s="1"/>
  <c r="D28" i="21" s="1"/>
  <c r="D29" i="21" s="1"/>
  <c r="D30" i="21" s="1"/>
  <c r="D31" i="21" s="1"/>
  <c r="D32" i="21" s="1"/>
  <c r="D33" i="21" s="1"/>
  <c r="D34" i="21" s="1"/>
  <c r="G112" i="1" s="1"/>
  <c r="B5" i="21"/>
  <c r="B6" i="21" s="1"/>
  <c r="B7" i="21" s="1"/>
  <c r="B8" i="21" s="1"/>
  <c r="B9" i="21" s="1"/>
  <c r="B10" i="21" s="1"/>
  <c r="B11" i="21" s="1"/>
  <c r="B12" i="21" s="1"/>
  <c r="B13" i="21" s="1"/>
  <c r="B14" i="21" s="1"/>
  <c r="B15" i="21" s="1"/>
  <c r="B16" i="21" s="1"/>
  <c r="B17" i="21" s="1"/>
  <c r="B18" i="21" s="1"/>
  <c r="B19" i="21" s="1"/>
  <c r="B20" i="21" s="1"/>
  <c r="B21" i="21" s="1"/>
  <c r="B22" i="21" s="1"/>
  <c r="B23" i="21" s="1"/>
  <c r="B24" i="21" s="1"/>
  <c r="B25" i="21" s="1"/>
  <c r="B26" i="21" s="1"/>
  <c r="B27" i="21" s="1"/>
  <c r="B28" i="21" s="1"/>
  <c r="B29" i="21" s="1"/>
  <c r="B30" i="21" s="1"/>
  <c r="B31" i="21" s="1"/>
  <c r="B32" i="21" s="1"/>
  <c r="B33" i="21" s="1"/>
  <c r="B34" i="21" s="1"/>
  <c r="G108" i="1" l="1"/>
  <c r="G110" i="1"/>
  <c r="G106" i="1"/>
  <c r="G109" i="1"/>
  <c r="G111" i="1"/>
  <c r="G107" i="1"/>
  <c r="C546" i="10"/>
  <c r="I38" i="1"/>
  <c r="H38" i="1"/>
  <c r="G38" i="1"/>
  <c r="G49" i="1" l="1"/>
  <c r="H45" i="1" s="1"/>
  <c r="H49" i="1"/>
  <c r="O10" i="9"/>
  <c r="M10" i="9"/>
  <c r="N10" i="9"/>
  <c r="O9" i="9"/>
  <c r="M9" i="9"/>
  <c r="N9" i="9"/>
  <c r="H12" i="1"/>
  <c r="I12" i="1"/>
  <c r="G4" i="13"/>
  <c r="I4" i="13"/>
  <c r="F3" i="13"/>
  <c r="G3" i="13"/>
  <c r="H3" i="13"/>
  <c r="H4" i="13" s="1"/>
  <c r="K4" i="13" s="1"/>
  <c r="I3" i="13"/>
  <c r="J3" i="13"/>
  <c r="K3" i="13" s="1"/>
  <c r="G7" i="11"/>
  <c r="H7" i="11" s="1"/>
  <c r="I47" i="1" l="1"/>
  <c r="H47" i="1"/>
  <c r="I46" i="1"/>
  <c r="H46" i="1"/>
  <c r="G47" i="1"/>
  <c r="G46" i="1"/>
  <c r="C374" i="10"/>
  <c r="C386" i="10"/>
  <c r="C398" i="10"/>
  <c r="C410" i="10"/>
  <c r="C422" i="10"/>
  <c r="C434" i="10"/>
  <c r="C446" i="10"/>
  <c r="C458" i="10"/>
  <c r="C470" i="10"/>
  <c r="C482" i="10"/>
  <c r="C494" i="10"/>
  <c r="C506" i="10"/>
  <c r="C518" i="10"/>
  <c r="C530" i="10"/>
  <c r="C542" i="10"/>
  <c r="F18" i="9"/>
  <c r="E18" i="9"/>
  <c r="F17" i="9"/>
  <c r="E17" i="9"/>
  <c r="F16" i="9"/>
  <c r="E16" i="9"/>
  <c r="F15" i="9"/>
  <c r="E15" i="9"/>
  <c r="F14" i="9"/>
  <c r="E14" i="9"/>
  <c r="F13" i="9"/>
  <c r="E13" i="9"/>
  <c r="F12" i="9"/>
  <c r="E12" i="9"/>
  <c r="J11" i="9"/>
  <c r="I11" i="9"/>
  <c r="F11" i="9"/>
  <c r="E11" i="9"/>
  <c r="J10" i="9"/>
  <c r="I10" i="9"/>
  <c r="F10" i="9"/>
  <c r="E10" i="9"/>
  <c r="J9" i="9"/>
  <c r="I9" i="9"/>
  <c r="F9" i="9"/>
  <c r="E9" i="9"/>
  <c r="F8" i="9"/>
  <c r="E8" i="9"/>
  <c r="F7" i="9"/>
  <c r="E7" i="9"/>
  <c r="F6" i="9"/>
  <c r="E6" i="9"/>
  <c r="G19" i="1"/>
  <c r="I18" i="1"/>
  <c r="H18" i="1"/>
  <c r="I17" i="1"/>
  <c r="H17" i="1"/>
  <c r="G17" i="1"/>
  <c r="I58" i="1" l="1"/>
  <c r="H58" i="1"/>
  <c r="I36" i="1" l="1"/>
  <c r="H36" i="1"/>
  <c r="H27" i="1"/>
  <c r="I27" i="1"/>
  <c r="G27" i="1"/>
  <c r="I25" i="1"/>
  <c r="H25" i="1"/>
  <c r="G25" i="1"/>
  <c r="I24" i="1"/>
  <c r="H24" i="1"/>
  <c r="G24" i="1"/>
  <c r="I26" i="1"/>
  <c r="H26" i="1"/>
  <c r="G26" i="1"/>
  <c r="G10" i="1"/>
  <c r="I9" i="1"/>
  <c r="H9" i="1"/>
  <c r="B4" i="7" l="1"/>
  <c r="B6" i="7"/>
  <c r="G104" i="1"/>
  <c r="I79" i="1"/>
  <c r="H79" i="1"/>
  <c r="I71" i="1"/>
  <c r="H71" i="1"/>
  <c r="I60" i="1"/>
  <c r="H60" i="1"/>
  <c r="I81" i="1"/>
  <c r="H81" i="1"/>
  <c r="I84" i="1"/>
  <c r="H84" i="1"/>
  <c r="I83" i="1"/>
  <c r="H83" i="1"/>
  <c r="I82" i="1"/>
  <c r="H82" i="1"/>
  <c r="I73" i="1"/>
  <c r="H73" i="1"/>
  <c r="I77" i="1"/>
  <c r="H77" i="1"/>
  <c r="I76" i="1"/>
  <c r="H76" i="1"/>
  <c r="I75" i="1"/>
  <c r="H75" i="1"/>
  <c r="I74" i="1"/>
  <c r="H74" i="1"/>
  <c r="I69" i="1"/>
  <c r="H69" i="1"/>
  <c r="I68" i="1"/>
  <c r="H68" i="1"/>
  <c r="I67" i="1"/>
  <c r="H67" i="1"/>
  <c r="I65" i="1"/>
  <c r="H65" i="1"/>
  <c r="I64" i="1"/>
  <c r="H64" i="1"/>
  <c r="I62" i="1"/>
  <c r="H62" i="1"/>
  <c r="I55" i="1" l="1"/>
  <c r="H55" i="1"/>
  <c r="I57" i="1"/>
  <c r="H57" i="1"/>
  <c r="I56" i="1"/>
  <c r="H56" i="1"/>
  <c r="I16" i="1"/>
  <c r="H16" i="1"/>
  <c r="I54" i="1"/>
  <c r="H54" i="1"/>
  <c r="I52" i="1"/>
  <c r="H52" i="1"/>
  <c r="G40" i="1"/>
  <c r="G39" i="1"/>
  <c r="I34" i="1"/>
  <c r="H34" i="1"/>
  <c r="H39" i="1" l="1"/>
  <c r="I39" i="1"/>
  <c r="H40" i="1"/>
  <c r="I40" i="1"/>
</calcChain>
</file>

<file path=xl/sharedStrings.xml><?xml version="1.0" encoding="utf-8"?>
<sst xmlns="http://schemas.openxmlformats.org/spreadsheetml/2006/main" count="8463" uniqueCount="3615">
  <si>
    <t>Definition</t>
  </si>
  <si>
    <t>Value</t>
  </si>
  <si>
    <t>Beta</t>
  </si>
  <si>
    <t>Disease transmission rate</t>
  </si>
  <si>
    <t>Gamma</t>
  </si>
  <si>
    <t>Vaccination rate</t>
  </si>
  <si>
    <t>Background death rate</t>
  </si>
  <si>
    <t>Chronic disease recovery rate</t>
  </si>
  <si>
    <t>R0</t>
  </si>
  <si>
    <t>Source</t>
  </si>
  <si>
    <t>Assuming incubation period is 5 days so 0.2 per day</t>
  </si>
  <si>
    <t xml:space="preserve">Assumes recovery in 7-10 days, 8.5 days as midpoint. </t>
  </si>
  <si>
    <t>Schneider et al, 2023</t>
  </si>
  <si>
    <t>Assumption</t>
  </si>
  <si>
    <t>Paixao 2018</t>
  </si>
  <si>
    <t>Assume patients recover from the chronic form of disease in 12 months</t>
  </si>
  <si>
    <t>Bertolotti et al, 2020</t>
  </si>
  <si>
    <t>Haider et al, 2020</t>
  </si>
  <si>
    <t>Comments</t>
  </si>
  <si>
    <t>Calculation</t>
  </si>
  <si>
    <t>Average duration of infection, days</t>
  </si>
  <si>
    <t>Infection rate</t>
  </si>
  <si>
    <t>Incubation period, days</t>
  </si>
  <si>
    <t>Lower</t>
  </si>
  <si>
    <t>Upper</t>
  </si>
  <si>
    <t>Distribution</t>
  </si>
  <si>
    <t>Parameter</t>
  </si>
  <si>
    <t>Average duration of chronic disease, days</t>
  </si>
  <si>
    <t>Susceptible </t>
  </si>
  <si>
    <t>Exposed (Latent) </t>
  </si>
  <si>
    <t>Infectious (Acute CHIKV) </t>
  </si>
  <si>
    <t>Recovered </t>
  </si>
  <si>
    <t>Chronic Disease (Persistent Polyarthritis) </t>
  </si>
  <si>
    <t>Death </t>
  </si>
  <si>
    <t>Linde L, et al. 2013</t>
  </si>
  <si>
    <t>Schneider M et a., 2023</t>
  </si>
  <si>
    <t>Richardson et al., 2025</t>
  </si>
  <si>
    <t>SD = 0.19, assuming utility Rheumatoid Arthritis  = utility in chronic phase; N = 315</t>
  </si>
  <si>
    <t>Utility, Exposed (Latent) </t>
  </si>
  <si>
    <t>Utility, Infectious (Acute CHIKV) </t>
  </si>
  <si>
    <t>Utility, Chronic Disease (Persistent Polyarthritis) </t>
  </si>
  <si>
    <t>NA</t>
  </si>
  <si>
    <t>C_S</t>
  </si>
  <si>
    <t xml:space="preserve">Assumption </t>
  </si>
  <si>
    <t>Vaccinated </t>
  </si>
  <si>
    <t>C_V</t>
  </si>
  <si>
    <t>Sarmento T, et al. 2022 describes WTP of $31.17. Dengue vaccine in Brazil costs $70-100. YF vaccine costs $50. In the US, CHIKV vaccine costs $300-450, dengue vaccine costs $66, YF vaccine $205-235</t>
  </si>
  <si>
    <t>C_E</t>
  </si>
  <si>
    <t>de Andrade, et al. 2022</t>
  </si>
  <si>
    <t>Gonçalves, et al. 2024</t>
  </si>
  <si>
    <t>de Roo, et al. 2024</t>
  </si>
  <si>
    <t>C_D</t>
  </si>
  <si>
    <t>2017 dollars: $1 to $1.31 for 2025 dollars</t>
  </si>
  <si>
    <t>Average hospitalization cost per stay</t>
  </si>
  <si>
    <t>de Andrade quotes 1.8% hospitalization. Gonçalves quotes 0.67% (256/38830)</t>
  </si>
  <si>
    <t>PERT</t>
  </si>
  <si>
    <t>Durand et al., 2017</t>
  </si>
  <si>
    <t>From Dengue CEA</t>
  </si>
  <si>
    <t>Administration cost</t>
  </si>
  <si>
    <t>Durand report cost in 2016 Brazilian Real of 7.3 to administer 1 dose Dengue</t>
  </si>
  <si>
    <t>Average working days lost</t>
  </si>
  <si>
    <t xml:space="preserve">Bastos, et al. 2018. </t>
  </si>
  <si>
    <t xml:space="preserve">Beta </t>
  </si>
  <si>
    <t>Costs</t>
  </si>
  <si>
    <t>Vaccine wastage rate</t>
  </si>
  <si>
    <t>Currency</t>
  </si>
  <si>
    <t>Year</t>
  </si>
  <si>
    <t>Category</t>
  </si>
  <si>
    <t xml:space="preserve">Average hospitalization LOS, days </t>
  </si>
  <si>
    <t>USD</t>
  </si>
  <si>
    <t>Public share of inpatient admissions</t>
  </si>
  <si>
    <t>Ref 31</t>
  </si>
  <si>
    <t>Average inpatient stay cost, public sector</t>
  </si>
  <si>
    <t>BRL</t>
  </si>
  <si>
    <t>Average inpatient stay cost, private sector</t>
  </si>
  <si>
    <t>Proportion of patients hospitalized</t>
  </si>
  <si>
    <t>Cohort size</t>
  </si>
  <si>
    <t>n_cohort</t>
  </si>
  <si>
    <t>Cohort</t>
  </si>
  <si>
    <t>Time</t>
  </si>
  <si>
    <t>Utilities</t>
  </si>
  <si>
    <t>Epidemic</t>
  </si>
  <si>
    <t>Vaccination Costs</t>
  </si>
  <si>
    <t>Direct Costs</t>
  </si>
  <si>
    <t>Indirect Costs</t>
  </si>
  <si>
    <t>Epidemic Parameters</t>
  </si>
  <si>
    <t>Number of bootstrap samples</t>
  </si>
  <si>
    <t>Base case willingness to pay threshold</t>
  </si>
  <si>
    <t>Calculations</t>
  </si>
  <si>
    <t>Adjustments</t>
  </si>
  <si>
    <t>Number of outpatient visits during the acute phase</t>
  </si>
  <si>
    <t>Once every 7 days (Table 2)</t>
  </si>
  <si>
    <t>Dipyrone (for minor/moderate pain treatment)</t>
  </si>
  <si>
    <t>Acetaminophen (for minor/moderate pain treatment)</t>
  </si>
  <si>
    <t>Duration of minor/moderate pain treatment, days</t>
  </si>
  <si>
    <t>Duration of severe pain treatment, days</t>
  </si>
  <si>
    <t>Tramadol (for severe pain treatment)</t>
  </si>
  <si>
    <t>Codeine (for severe pain treatment)</t>
  </si>
  <si>
    <t>Oxycodone (for severe pain treatment)</t>
  </si>
  <si>
    <t>Gonçalves, et al. 2024; Delgado-Enciso I, Paz-Michel B, Melnikov V, Guzman-Esquivel J, Espinoza-Gomez F, Soriano-Hernandez AD, et al. Smoking and female sex as key risk factors associated with severe arthralgia in acute and chronic phases of Chikungunya virus infection. Exp Ther Med 2018; 15(3): 2634-42. https://doi.org/10.3892/etm.2017.5668 [DOI] [PMC free article] [PubMed]</t>
  </si>
  <si>
    <t>Total number of reported cases in acute phase</t>
  </si>
  <si>
    <t>Share of acute phase cases with minor/moderate pain</t>
  </si>
  <si>
    <t>(2 x medical appointment amount x N0) + (47% of N0 x average amount mild/moderate treatment) + (53% of N0 x average amount severe treatment) = Tota</t>
  </si>
  <si>
    <t>Acute phase</t>
  </si>
  <si>
    <t>Number of outpatient visits during the post-acute phase</t>
  </si>
  <si>
    <t>Once every 4 weeks (Table 3)</t>
  </si>
  <si>
    <t>Total number of reported cases in post-acute phase</t>
  </si>
  <si>
    <t>Cost of prednisone (for arthritis treatment)</t>
  </si>
  <si>
    <t>Cost of ibuprofen (for treatment of nerve pain/pain without arthritis)</t>
  </si>
  <si>
    <t>Cost of amitriptyline (for treatment of nerve pain/pain without arthritis)</t>
  </si>
  <si>
    <t>Cost of gabapentin (for treatment of nerve pain/pain without arthritis)</t>
  </si>
  <si>
    <t>2-weeks treatment course</t>
  </si>
  <si>
    <t>8-weeks treatment course</t>
  </si>
  <si>
    <t>4-weeks treatment course</t>
  </si>
  <si>
    <t>(3 x medical appointment amount x N1) + (75.5% of N1 x average amount treatment with arthritis) + (24.5% of N1 x amount treatment without arthritis) = Total</t>
  </si>
  <si>
    <t>Total direct cost of acute phase, per case</t>
  </si>
  <si>
    <t>Total direct cost of post-acute phase, per case</t>
  </si>
  <si>
    <t>Share of post-acute phase cases with arthritis</t>
  </si>
  <si>
    <t>Chronic phase</t>
  </si>
  <si>
    <t>Once every 8 weeks (Table 4)</t>
  </si>
  <si>
    <t>Total number of reported cases in chronic phase</t>
  </si>
  <si>
    <t>Number of outpatient visits during the chronic phase</t>
  </si>
  <si>
    <t>Cost of hydroxychloroquine (for the treatment of mild illness)</t>
  </si>
  <si>
    <t>Cost of methotrexate (for the treatment of moderate/severe illness)</t>
  </si>
  <si>
    <t>Cost of folic acid (for the treatment of moderate/severe illness)</t>
  </si>
  <si>
    <t>Total direct cost of chronic phase, per case</t>
  </si>
  <si>
    <t>(3 x medical appointment amount x N2) + (40.4% of N2 x mild activity treatment amount) + (59.6% of N2 x moderate/intense activity treatment amount) = Total</t>
  </si>
  <si>
    <t>Share of chronic phase cases with mild illness</t>
  </si>
  <si>
    <t>Absenteeism days, infectious phase</t>
  </si>
  <si>
    <t>Absenteeism frequency, infectious phase</t>
  </si>
  <si>
    <t>Informal caregiving days, infectious phase</t>
  </si>
  <si>
    <t>Informal caregiving  frequency, infectious phase</t>
  </si>
  <si>
    <t>Absenteeism frequency, chronic phase</t>
  </si>
  <si>
    <t>Informal caregiving days, chronic phase</t>
  </si>
  <si>
    <t>Informal caregiving frequency, chronic phase</t>
  </si>
  <si>
    <t>Absenteeism days, chronic phase</t>
  </si>
  <si>
    <t>https://izajole.springeropen.com/articles/10.1186/s40172-014-0014-0</t>
  </si>
  <si>
    <t>Simplified deductions rate</t>
  </si>
  <si>
    <t>Annual cap for the simplified 20% option</t>
  </si>
  <si>
    <t>Employee monthly mandatory contribution (INSS)</t>
  </si>
  <si>
    <t>C_INSS_month</t>
  </si>
  <si>
    <t>C_SimpDed_year</t>
  </si>
  <si>
    <t>C_TaxableInc_year</t>
  </si>
  <si>
    <t>C_INSS_Rate</t>
  </si>
  <si>
    <t>Employee mandatory contribution (INSS) rate, share of gross income</t>
  </si>
  <si>
    <t>Average monthly real gross earnings</t>
  </si>
  <si>
    <t>https://www.gov.br/receitafederal/pt-br/assuntos/meu-imposto-de-renda/preenchimento/regimes</t>
  </si>
  <si>
    <t>Annual taxable income</t>
  </si>
  <si>
    <t>Simplified annual deduction amounts</t>
  </si>
  <si>
    <t>IR</t>
  </si>
  <si>
    <t>Tax rates</t>
  </si>
  <si>
    <t>upper</t>
  </si>
  <si>
    <t>lower</t>
  </si>
  <si>
    <t>parcela</t>
  </si>
  <si>
    <t>tax_rate</t>
  </si>
  <si>
    <t>lower_taxable_income</t>
  </si>
  <si>
    <t>upper_taxable_income</t>
  </si>
  <si>
    <t>Net annual income</t>
  </si>
  <si>
    <t>C_NetInc_year</t>
  </si>
  <si>
    <t>C_Parcela_year</t>
  </si>
  <si>
    <t>Work_Days_Lost</t>
  </si>
  <si>
    <t>Abs_Days_Inf</t>
  </si>
  <si>
    <t>Abs_Freq_Inf</t>
  </si>
  <si>
    <t>Abs_Freq_Chronic</t>
  </si>
  <si>
    <t>Daily absenteeism cost per patient</t>
  </si>
  <si>
    <t>C_Abs_day</t>
  </si>
  <si>
    <t>Inf_Caregiving_Days_Inf</t>
  </si>
  <si>
    <t>Inf_Caregiving_Freq_Inf</t>
  </si>
  <si>
    <t>Inf_Caregiving_Days_Chronic</t>
  </si>
  <si>
    <t>Inf_Caregiving_Freq_Chronic</t>
  </si>
  <si>
    <t>Average daily caregiving cost per patient</t>
  </si>
  <si>
    <t>C_Inf_Caregiving_day</t>
  </si>
  <si>
    <t>C_Vaccine_Admin</t>
  </si>
  <si>
    <t>qol_S</t>
  </si>
  <si>
    <t>qol_R</t>
  </si>
  <si>
    <t>qol_D</t>
  </si>
  <si>
    <t>qol_I_factor</t>
  </si>
  <si>
    <t>qol_E_factor</t>
  </si>
  <si>
    <t>qol_C_factor</t>
  </si>
  <si>
    <t>C_Gross_Inc_month</t>
  </si>
  <si>
    <t>C_Simp_Ded_Rate</t>
  </si>
  <si>
    <t>C_Simp_Ded_Cap_year</t>
  </si>
  <si>
    <t>Susceptible</t>
  </si>
  <si>
    <t>General</t>
  </si>
  <si>
    <t>qol_E</t>
  </si>
  <si>
    <t>qol_I</t>
  </si>
  <si>
    <t>qol_C</t>
  </si>
  <si>
    <t>disc_rate</t>
  </si>
  <si>
    <t>C_S_total</t>
  </si>
  <si>
    <t>C_E_total</t>
  </si>
  <si>
    <t>C_I_total</t>
  </si>
  <si>
    <t>C_R_total</t>
  </si>
  <si>
    <t>C_C_total</t>
  </si>
  <si>
    <t>Death</t>
  </si>
  <si>
    <t>C_V_NoVac_total</t>
  </si>
  <si>
    <t>C_D_total</t>
  </si>
  <si>
    <t>TaxRate</t>
  </si>
  <si>
    <t>Calculated from the Table</t>
  </si>
  <si>
    <t>&lt;&lt;-- Discounted productivity costs?</t>
  </si>
  <si>
    <t>Life expectancy</t>
  </si>
  <si>
    <t xml:space="preserve">     (Continua)</t>
  </si>
  <si>
    <t>Idades</t>
  </si>
  <si>
    <t>Probabilidades de Morte</t>
  </si>
  <si>
    <t>Óbitos</t>
  </si>
  <si>
    <t>l ( X )</t>
  </si>
  <si>
    <t>L (X, N)</t>
  </si>
  <si>
    <t>T(X)</t>
  </si>
  <si>
    <t>Expectativa de Vida</t>
  </si>
  <si>
    <t>Exatas</t>
  </si>
  <si>
    <t xml:space="preserve"> entre Duas Idades Exatas</t>
  </si>
  <si>
    <t>D (X, N)</t>
  </si>
  <si>
    <t xml:space="preserve"> à Idade X</t>
  </si>
  <si>
    <t>(X)</t>
  </si>
  <si>
    <t>Q (X, N)   (Por Mil)</t>
  </si>
  <si>
    <t>E(X)</t>
  </si>
  <si>
    <t>Notas:</t>
  </si>
  <si>
    <t>N = 1</t>
  </si>
  <si>
    <t>Q(X, N) = Probabilidades de morte entre as idades exatas X e X+N.</t>
  </si>
  <si>
    <t>l(X) = Número de sobreviventes à idade exata X.</t>
  </si>
  <si>
    <t>D(X, N) = Número de óbitos ocorridos entre as idades X e X+N.</t>
  </si>
  <si>
    <t>L(X, N) = Número de pessoas-anos vividos entre as idades X e X+N.</t>
  </si>
  <si>
    <t>T(X) = Número de pessoas-anos vividos a partir da idade X.</t>
  </si>
  <si>
    <t>E(X) = Expectativa de vida à idade X.</t>
  </si>
  <si>
    <t>90 ou mais</t>
  </si>
  <si>
    <t>Fonte: IBGE, Diretoria de Pesquisas (DPE), Coordenação de População e Indicadores Sociais (COPIS).</t>
  </si>
  <si>
    <t>Age</t>
  </si>
  <si>
    <t>M</t>
  </si>
  <si>
    <t>F</t>
  </si>
  <si>
    <t>0-4</t>
  </si>
  <si>
    <t>15-19</t>
  </si>
  <si>
    <t>20-24</t>
  </si>
  <si>
    <t>25-29</t>
  </si>
  <si>
    <t>30-34</t>
  </si>
  <si>
    <t>35-39</t>
  </si>
  <si>
    <t>40-44</t>
  </si>
  <si>
    <t>45-49</t>
  </si>
  <si>
    <t>50-54</t>
  </si>
  <si>
    <t>55-59</t>
  </si>
  <si>
    <t>60-64</t>
  </si>
  <si>
    <t>65-69</t>
  </si>
  <si>
    <t>70-74</t>
  </si>
  <si>
    <t>75-79</t>
  </si>
  <si>
    <t>80-84</t>
  </si>
  <si>
    <t>85-89</t>
  </si>
  <si>
    <t>90-94</t>
  </si>
  <si>
    <t>95-99</t>
  </si>
  <si>
    <t>100+</t>
  </si>
  <si>
    <t>https://agenciadenoticias.ibge.gov.br/en/agencia-news/2184-news-agency/news/38187-2022-census-number-of-elderly-persons-in-the-brazilian-population-grew-57-4-in-12-years</t>
  </si>
  <si>
    <t>Calculated from the life tables</t>
  </si>
  <si>
    <t>LE_at_mean_age</t>
  </si>
  <si>
    <t>Mean_age</t>
  </si>
  <si>
    <t>Base_WTP</t>
  </si>
  <si>
    <t>n_boot_samps</t>
  </si>
  <si>
    <t>Simulations</t>
  </si>
  <si>
    <t>Demographics</t>
  </si>
  <si>
    <t>GDP_Per_Capita</t>
  </si>
  <si>
    <t>https://agenciadenoticias.ibge.gov.br/en/agencia-press-room/2185-news-agency/releases-en/42777-gdp-grows-3-4-in-2024-and-closes-the-year-at-r-11-7-trillion</t>
  </si>
  <si>
    <t>1 GDP per capita for non-rare diseases (https://www.ispor.org/docs/default-source/intl2024/posterv1comautores-1-1139315-pdf.pdf?sfvrsn=501c8632_0)</t>
  </si>
  <si>
    <t>Calculation: National Commission for Health Technology Incorporation (CONITEC)</t>
  </si>
  <si>
    <t>https://www.ispor.org/heor-resources/presentations-database/presentation/intl2024-3900/139315</t>
  </si>
  <si>
    <t>hosp_LOS_days</t>
  </si>
  <si>
    <t>prop_hosp</t>
  </si>
  <si>
    <t>pub_share_ip_admissions</t>
  </si>
  <si>
    <t>C_inpatient_stay_public</t>
  </si>
  <si>
    <t>C_inpatient_stay_private</t>
  </si>
  <si>
    <t>C_outpatient_visit</t>
  </si>
  <si>
    <t>Medical appointment cost (15 min)</t>
  </si>
  <si>
    <t>n_reported_cases_postacute</t>
  </si>
  <si>
    <t>n_reported_cases_acute</t>
  </si>
  <si>
    <t>n_reported_cases_chronic</t>
  </si>
  <si>
    <t>n_outpatient_visit_acute</t>
  </si>
  <si>
    <t>n_outpatient_visit_postacute</t>
  </si>
  <si>
    <t>n_outpatient_visit_chronic</t>
  </si>
  <si>
    <t>minor_moderate_share_acute</t>
  </si>
  <si>
    <t>arthritis_share_postacute</t>
  </si>
  <si>
    <t>mild_illness_share_chronic</t>
  </si>
  <si>
    <t>minor_moderate_pain_rx_days</t>
  </si>
  <si>
    <t>C_dipyrone</t>
  </si>
  <si>
    <t>C_acetaminophen</t>
  </si>
  <si>
    <t>severe_pain_rx_days</t>
  </si>
  <si>
    <t>C_tramadol</t>
  </si>
  <si>
    <t>C_codeine</t>
  </si>
  <si>
    <t>C_oxycodone</t>
  </si>
  <si>
    <t>C_prednisone</t>
  </si>
  <si>
    <t>C_ibuprofen</t>
  </si>
  <si>
    <t>C_amitriptyline</t>
  </si>
  <si>
    <t>C_gabapentin</t>
  </si>
  <si>
    <t>C_hydroxychloroquine</t>
  </si>
  <si>
    <t>C_methotrexate</t>
  </si>
  <si>
    <t>C_folic_acid</t>
  </si>
  <si>
    <t>Post-acute phase</t>
  </si>
  <si>
    <t>C_D_hc</t>
  </si>
  <si>
    <t>Productivity loss from premature mortality, human capital approach</t>
  </si>
  <si>
    <t>CPI, 2010</t>
  </si>
  <si>
    <t>CPI, 2017</t>
  </si>
  <si>
    <t>CPI, 2019</t>
  </si>
  <si>
    <t>cpi_2010</t>
  </si>
  <si>
    <t>cpi_2017</t>
  </si>
  <si>
    <t>cpi_2019</t>
  </si>
  <si>
    <t>CPI, 2024</t>
  </si>
  <si>
    <t>cpi_2016</t>
  </si>
  <si>
    <t>CPI, 2016</t>
  </si>
  <si>
    <t>C_hosp_per_stay</t>
  </si>
  <si>
    <t>C_indirect_inf</t>
  </si>
  <si>
    <t>C_indirect_chronic</t>
  </si>
  <si>
    <t>C_direct_post_acute</t>
  </si>
  <si>
    <t>C_direct_acute</t>
  </si>
  <si>
    <t>C_direct_chronic</t>
  </si>
  <si>
    <t>Indirect cost, infectious phase</t>
  </si>
  <si>
    <t>Indirect cost, chronic phase</t>
  </si>
  <si>
    <t>Abs_Days_chronic</t>
  </si>
  <si>
    <t>qol_S * qol_E_factor</t>
  </si>
  <si>
    <t>qol_S * qol_I_factor</t>
  </si>
  <si>
    <t>qol_S * qol_C_factor</t>
  </si>
  <si>
    <t>(C_inpatient_stay_private * (1 - pub_share_ip_admissions)) + (C_inpatient_stay_public * pub_share_ip_admissions)</t>
  </si>
  <si>
    <t>Work_Days_Lost - Abs_Days_Inf</t>
  </si>
  <si>
    <t>C_Gross_Inc_month * C_INSS_Rate</t>
  </si>
  <si>
    <t>min(C_Gross_Inc_month * C_Simp_Ded_Rate * 12, C_Simp_Ded_Cap_year)</t>
  </si>
  <si>
    <t>C_Gross_Inc_month * 12 - C_INSS_month * 12 - C_SimpDed_year</t>
  </si>
  <si>
    <t>C_TaxableInc_year * TaxRate</t>
  </si>
  <si>
    <t>C_Gross_Inc_month * 12 - C_INSS_month * 12 - C_Parcela_year</t>
  </si>
  <si>
    <t>C_NetInc_year / 365</t>
  </si>
  <si>
    <t>C_Abs_day * (Abs_Days_Inf * Abs_Freq_Inf) + C_Inf_Caregiving_day * (Inf_Caregiving_Days_Inf * Inf_Caregiving_Freq_Inf)</t>
  </si>
  <si>
    <t>Wastage_Rate</t>
  </si>
  <si>
    <t>C_IXCHIQ_Dose</t>
  </si>
  <si>
    <t>C_VIMKUNYA_Dose</t>
  </si>
  <si>
    <t>C_VIMKUNYA_Dose * (1 + Wastage_Rate) + C_Vaccine_Admin</t>
  </si>
  <si>
    <t>C_IXCHIQ_Dose * (1 + Wastage_Rate) + C_Vaccine_Admin</t>
  </si>
  <si>
    <t>C_V_VIMKUNYA_total</t>
  </si>
  <si>
    <t>C_V_IXCHIQ_total</t>
  </si>
  <si>
    <t>prop_acute</t>
  </si>
  <si>
    <t>prop_postacute</t>
  </si>
  <si>
    <t>prop_chronic</t>
  </si>
  <si>
    <t>Proportion of infected patients in acute phase</t>
  </si>
  <si>
    <t>Proportion of infected patients in postacute phase</t>
  </si>
  <si>
    <t>Proportion of infected patients in chronic phase</t>
  </si>
  <si>
    <t>n_reported_cases_acute / sum(c(n_reported_cases_acute, n_reported_cases_postacute, n_reported_cases_chronic))</t>
  </si>
  <si>
    <t>n_reported_cases_postacute / sum(c(n_reported_cases_acute, n_reported_cases_postacute, n_reported_cases_chronic))</t>
  </si>
  <si>
    <t>n_reported_cases_chronic / sum(c(n_reported_cases_acute, n_reported_cases_postacute, n_reported_cases_chronic))</t>
  </si>
  <si>
    <t>https://www.gov.br/receitafederal/pt-br/assuntos/meu-imposto-de-renda/tabelas/copy_of_2024</t>
  </si>
  <si>
    <t>https://agenciadenoticias.ibge.gov.br/en/agencia-press-room/2185-news-agency/releases-en/42766-ibge-releases-per-capita-household-earnings-2024-for-brazil-and-federation-units</t>
  </si>
  <si>
    <t>observation_date</t>
  </si>
  <si>
    <t>AEXBZUS</t>
  </si>
  <si>
    <t>FRED Graph Observations</t>
  </si>
  <si>
    <t>Federal Reserve Economic Data, Federal Reserve Bank of St. Louis</t>
  </si>
  <si>
    <t>Link: https://fred.stlouisfed.org</t>
  </si>
  <si>
    <t>Help: https://fredhelp.stlouisfed.org</t>
  </si>
  <si>
    <t>This data may be copyrighted. Please refer to the Terms of Use: https://fred.stlouisfed.org/legal#fred-terms-faq</t>
  </si>
  <si>
    <t>Brazilian Reals to U.S. Dollar Spot Exchange Rate, Brazilian Reals to One U.S. Dollar, Annual, Not Seasonally Adjusted</t>
  </si>
  <si>
    <t>Board of Governors of the Federal Reserve System (US), Brazilian Reals to U.S. Dollar Spot Exchange Rate [AEXBZUS], retrieved from FRED, Federal Reserve Bank of St. Louis; https://fred.stlouisfed.org/series/AEXBZUS, November 17, 2025.</t>
  </si>
  <si>
    <t>https://fred.stlouisfed.org/series/AEXBZUS</t>
  </si>
  <si>
    <t>CurrencyAdjustments</t>
  </si>
  <si>
    <t>CPIAdjustments</t>
  </si>
  <si>
    <t>DiscAdjustments</t>
  </si>
  <si>
    <t>age</t>
  </si>
  <si>
    <t>death_prob</t>
  </si>
  <si>
    <t>life_expectancy</t>
  </si>
  <si>
    <t>Inf</t>
  </si>
  <si>
    <t>ifelse(C_TaxableInc_year &lt;= 26963.20, 0, ifelse(C_TaxableInc_year &lt;= 33919.80, min(0.08 * C_TaxableInc_year, 2022.24), ifelse(C_TaxableInc_year &lt;= 45012.60, min(0.15 * C_TaxableInc_year, 4566.23), ifelse(C_TaxableInc_year &lt;= 55976.16, min(0.32 * C_TaxableInc_year, 7942.17), min(0.28 * C_TaxableInc_year, 10740.98)))))</t>
  </si>
  <si>
    <t>Lognormal</t>
  </si>
  <si>
    <t>Vaccine efficacy, IXCHIQ</t>
  </si>
  <si>
    <t>Equating seroresponse with protection</t>
  </si>
  <si>
    <t>Table 2</t>
  </si>
  <si>
    <t>seroresponse, Table 2</t>
  </si>
  <si>
    <t>Vaccine efficacy rate for placebo group at 180 days, IXCHIQ</t>
  </si>
  <si>
    <t>Vaccine efficacy rate for treatment group at 180 days, IXCHIQ</t>
  </si>
  <si>
    <t>18-64 years; 180 days after vaccination (Supplementary Table 3)</t>
  </si>
  <si>
    <t>Seroresponse_Treatment_IXCHIQ_180_days - Seroresponse_Placebo_IXCHIQ_180_days</t>
  </si>
  <si>
    <t>Vaccine efficacy at 180 days, IXCHIQ</t>
  </si>
  <si>
    <t>Annual discount rate</t>
  </si>
  <si>
    <t>Seroprotection</t>
  </si>
  <si>
    <t>IXCHIQ</t>
  </si>
  <si>
    <t>value</t>
  </si>
  <si>
    <t>Vaccine daily waning rate, IXCHIQ</t>
  </si>
  <si>
    <t>Calculated from McMahon, R., Toepfer, S., Sattler, N., et al. Antibody persistence and safety of a live-attenuated chikungunya virus vaccine up to 2 years after single-dose administration in adults in the USA: a single-arm, multicentre, phase 3b study. Lancet Infectious Diseases. 2024;24(12):1383–1392.</t>
  </si>
  <si>
    <t>VIMKUNYA</t>
  </si>
  <si>
    <t>Richardson JS, Anderson DM, Mendy J, Tindale LC, Muhammad S, Loreth T, Tredo SR, Warfield KL, Ramanathan R, Caso JT, Jenkins VA, Ajiboye P, Bedell L; EBSI-CV-317-004 Study Group. Chikungunya virus virus-like particle vaccine safety and immunogenicity in adolescents and adults in the USA: a phase 3, randomised, double-blind, placebo-controlled trial. Lancet. 2025 Apr 19;405(10487):1343-1352. doi: 10.1016/S0140-6736(25)00345-9. Epub 2025 Mar 27. PMID: 40158526.</t>
  </si>
  <si>
    <t>vaccine</t>
  </si>
  <si>
    <t>days</t>
  </si>
  <si>
    <t>source</t>
  </si>
  <si>
    <t>comments</t>
  </si>
  <si>
    <t>measure</t>
  </si>
  <si>
    <t>Seroresponse rate differences</t>
  </si>
  <si>
    <t>Health Information Platform of the Americas (PLISA). Data reported by the Ministries and Institutes of Health of the countries and territories of the Region: https://www.paho.org/en/arbo-portal/chikungunya-data-and-analysis/chikungunya-analysis-country</t>
  </si>
  <si>
    <t>Implied population</t>
  </si>
  <si>
    <t>Total cases</t>
  </si>
  <si>
    <t>total_inf_cases</t>
  </si>
  <si>
    <t>base_population</t>
  </si>
  <si>
    <t>Vaccine daily waning rate, VIMKUNYA</t>
  </si>
  <si>
    <t>Chi-square</t>
  </si>
  <si>
    <t>Rates are per 100,000 populations</t>
  </si>
  <si>
    <t>Incidence rate per unit time</t>
  </si>
  <si>
    <t>incidence_prob</t>
  </si>
  <si>
    <t>mu</t>
  </si>
  <si>
    <t>lambda_days</t>
  </si>
  <si>
    <t>gamma_days</t>
  </si>
  <si>
    <t>kappa_days</t>
  </si>
  <si>
    <t>phi_IXCHIQ_180_days</t>
  </si>
  <si>
    <t>phi_IXCHIQ</t>
  </si>
  <si>
    <t>phi_VIMKUNYA</t>
  </si>
  <si>
    <t>theta_IXCHIQ</t>
  </si>
  <si>
    <t>theta_VIMKUNYA</t>
  </si>
  <si>
    <t>Vaccine waning rate, VIMKUNYA</t>
  </si>
  <si>
    <t>Vaccine waning rate, IXCHIQ</t>
  </si>
  <si>
    <t>See Appendix</t>
  </si>
  <si>
    <t>psi_IXCHIQ_VIMKUNYA</t>
  </si>
  <si>
    <t>beta</t>
  </si>
  <si>
    <t>lambda</t>
  </si>
  <si>
    <t>kappa</t>
  </si>
  <si>
    <t>https://pmc.ncbi.nlm.nih.gov/articles/PMC12304215/pdf/41541_2025_Article_1194.pdf</t>
  </si>
  <si>
    <t>Utilities multiplier, Brazil  relative to USA</t>
  </si>
  <si>
    <t>qol_brasil_usa_multiplier</t>
  </si>
  <si>
    <t>refs 55-58</t>
  </si>
  <si>
    <t>qol_loss_severe_vae_usa</t>
  </si>
  <si>
    <t>qol_I_acute_usa</t>
  </si>
  <si>
    <t>qol_loss_serious_vae_usa</t>
  </si>
  <si>
    <t>Only two serious adverse events were considered related to VLA1553 treatment (one mild myalgia and one syndrome of inappropriate antidiuretic hormone secretion). Both participants recovered fully.</t>
  </si>
  <si>
    <t>Confidence intervals are two-sided exact Clopper–Pearson 95% confidence intervals.</t>
  </si>
  <si>
    <t>Greater or equal grade 3 (Table 3); Confidence intervals are two-sided exact Clopper–Pearson 95% confidence intervals.</t>
  </si>
  <si>
    <t>Vaccine efficacy rate at 183 days, VIMKUNYA</t>
  </si>
  <si>
    <t>Proportion of severe adverse events IXCHIQ</t>
  </si>
  <si>
    <t>Proportion of severe adverse events VIMKUNYA</t>
  </si>
  <si>
    <t>Proportion of serious adverse events IXCHIQ</t>
  </si>
  <si>
    <t>Proportion of serious adverse events VIMKUNYA</t>
  </si>
  <si>
    <t>qol_loss_severe_vse_IXCHIQ</t>
  </si>
  <si>
    <t>qol_loss_serious_vse_IXCHIQ</t>
  </si>
  <si>
    <t>qol_loss_vse_IXCHIQ</t>
  </si>
  <si>
    <t>Disutility from vaccine side effects, IXCHIQ</t>
  </si>
  <si>
    <t>Disutility from severe vaccine side effects, IXCHIQ</t>
  </si>
  <si>
    <t>Disutility from serious vaccine side effects, IXCHIQ</t>
  </si>
  <si>
    <t>Disutility from vaccine side effects, VIMKUNYA</t>
  </si>
  <si>
    <t>Disutility from serious vaccine side effects, VIMKUNYA</t>
  </si>
  <si>
    <t>Disutility from severe vaccine side effects, VIMKUNYA</t>
  </si>
  <si>
    <t>qol_loss_severe_vse_VIMKUNYA</t>
  </si>
  <si>
    <t>qol_loss_serious_vse_VIMKUNYA</t>
  </si>
  <si>
    <t>qol_loss_vse_VIMKUNYA</t>
  </si>
  <si>
    <t>prop_severe_vse_IXCHIQ</t>
  </si>
  <si>
    <t>prop_severe_vse_VIMKUNYA</t>
  </si>
  <si>
    <t>prop_serious_vse_IXCHIQ</t>
  </si>
  <si>
    <t>prop_serious_vse_VIMKUNYA</t>
  </si>
  <si>
    <t>qol_loss_severe_vse_IXCHIQ + qol_loss_serious_vse_IXCHIQ</t>
  </si>
  <si>
    <t>qol_loss_severe_vse_VIMKUNYA + qol_loss_serious_vse_VIMKUNYA</t>
  </si>
  <si>
    <t>Schneider, M. et al. Safety and immunogenicity of a single-shot liveattenuated chikungunya vaccine: a double-blind, multicentre, randomised, placebo-controlled, phase 3 trial. Lancet 401, 2138–2147 (2023).
Prosser, L. A. et al. Effects of adverse events on the projected population benefits and cost-effectiveness of using live attenuated influenza vaccine in children aged 6 months to 4 years. Arch. Pediatr. Adolesc. Med. 165, 112–118 (2011).</t>
  </si>
  <si>
    <t>qol_I / qol_I_acute_usa</t>
  </si>
  <si>
    <t xml:space="preserve"> prop_severe_vse_IXCHIQ * qol_brasil_usa_multiplier * qol_loss_severe_vae_usa</t>
  </si>
  <si>
    <t xml:space="preserve"> prop_serious_vse_IXCHIQ * qol_brasil_usa_multiplier * qol_loss_serious_vae_usa</t>
  </si>
  <si>
    <t>prop_severe_vse_VIMKUNYA * qol_brasil_usa_multiplier * qol_loss_severe_vae_usa</t>
  </si>
  <si>
    <t>prop_serious_vse_VIMKUNYA * qol_brasil_usa_multiplier * qol_loss_serious_vae_usa</t>
  </si>
  <si>
    <t>cycle_length_days</t>
  </si>
  <si>
    <t>Cycle length, days</t>
  </si>
  <si>
    <t>1 - exp(-(phi_IXCHIQ_180_days/180)*cycle_length_days)</t>
  </si>
  <si>
    <t>1 - exp(-( (total_inf_cases / base_population) / 365) * cycle_length_days)</t>
  </si>
  <si>
    <t>1 - exp(-(phi_VIMKUNYA_183_days/183)*cycle_length_days)</t>
  </si>
  <si>
    <t>1 - exp(-(psi_year/365)*cycle_length_days)</t>
  </si>
  <si>
    <t>1 - exp(-((1/gamma_days) * R0)*cycle_length_days)</t>
  </si>
  <si>
    <t>1 - exp(-(1/lambda_days)*cycle_length_days)</t>
  </si>
  <si>
    <t>1 - exp(-(1/kappa_days)*cycle_length_days)</t>
  </si>
  <si>
    <t>(C_Abs_day * (abs_days_chronic * Abs_Freq_Chronic) + C_Inf_Caregiving_day * (Inf_Caregiving_Days_Chronic * Inf_Caregiving_Freq_Chronic))</t>
  </si>
  <si>
    <t xml:space="preserve">Verstappen SMM, Boonen A, Verkleij H, et al. Productivity costs among patients with rheumatoid arthritis: the influence of methods and sources to value loss of productivity. Ann Rheum Dis 2005;64:1754–60. </t>
  </si>
  <si>
    <t xml:space="preserve">Lindsey NP, Staples JE, Fischer M. Chikungunya Virus Disease among Travelers-United States, 2014-2016. Am J Trop Med Hyg 2018;98:192–7. </t>
  </si>
  <si>
    <t>Mia MS, Begum RA, Er AC, et al. ASSESSING THE COST BURDEN OF DENGUE INFECTION TO HOUSEHOLDS IN SEREMBAN, MALAYSIA. Southeast Asian J Trop Med Public Health 2016;47:1167–76.</t>
  </si>
  <si>
    <t>Bastos MLA, Abreu F de, Silva Junior G da, et al. Inability to work due to Chikungunya virus infection: impact on public service during the first epidemic in the State of Ceará, northeastern Brazil. Braz J Infect Dis 2018; 22:248–9.
doi:10.1016/j.bjid.2018.05.002 and https://gh.bmj.com/content/9/12/e016648#T1</t>
  </si>
  <si>
    <t>Feldstein LR, Ellis EM, Rowhani-Rahbar A, et al. Estimating the cost of illness and burden of disease associated with the 2014-2015 chikungunya outbreak in the U.S. Virgin Islands. PLoS Negl Trop Dis 2019; 13.
doi:10.1371/journal.pntd.0007563</t>
  </si>
  <si>
    <t>C_Gross_Inc_month / 30</t>
  </si>
  <si>
    <t>https://pmc.ncbi.nlm.nih.gov/articles/PMC5999124/</t>
  </si>
  <si>
    <t xml:space="preserve">n_outpatient_visit_acute * C_outpatient_visit + mean(c(C_dipyrone, C_acetaminophen)) * minor_moderate_share_acute + mean(c(C_tramadol, C_codeine, C_oxycodone)) * (1 - minor_moderate_share_acute) </t>
  </si>
  <si>
    <t>n_outpatient_visit_postacute * C_outpatient_visit + arthritis_share_postacute * C_prednisone + (1 - arthritis_share_postacute) * mean(c(C_ibuprofen, C_amitriptyline, C_gabapentin))</t>
  </si>
  <si>
    <t>n_outpatient_visit_chronic * C_outpatient_visit + C_hydroxychloroquine * mild_illness_share_chronic + sum(c(C_methotrexate, C_folic_acid)) * (1 - mild_illness_share_chronic)</t>
  </si>
  <si>
    <t>(prop_postacute/(prop_postacute + prop_chronic)) * C_direct_post_acute + (prop_chronic/(prop_postacute + prop_chronic)) * C_direct_chronic + C_indirect_chronic * societal_flag</t>
  </si>
  <si>
    <t>C_hosp_per_stay * prop_hosp + C_direct_acute * (1 - prop_hosp) + C_indirect_inf * societal_flag</t>
  </si>
  <si>
    <t>pv_human_capital_weekly(age = Mean_age, retirement_age = 65, monthly_wage = C_Gross_Inc_month, remaining_life_expectancy = LE_at_mean_age, discount_rate = disc_rate, wage_growth = 0, employment_rate = 1, adjust_for_employment = TRUE, years_rounding = c("floor", "ceiling", "none")[3])</t>
  </si>
  <si>
    <t>cpi_2024</t>
  </si>
  <si>
    <t>Mean age of working age population, 15-64 years</t>
  </si>
  <si>
    <t>delta_hosp</t>
  </si>
  <si>
    <t>delta_pop</t>
  </si>
  <si>
    <t>Pedi et al. 2025</t>
  </si>
  <si>
    <t>Total column in Table 3: https://pmc.ncbi.nlm.nih.gov/articles/PMC12407205/pdf/25-0554.pdf</t>
  </si>
  <si>
    <t>delta_hosp_10years</t>
  </si>
  <si>
    <t>CHIKV case-fatality rate, hospitalized patients</t>
  </si>
  <si>
    <t>CHIKV deaths, general population, 2017</t>
  </si>
  <si>
    <t>Vidal et al. 2021</t>
  </si>
  <si>
    <t>https://onlinelibrary.wiley.com/doi/10.1111/tmi.13711</t>
  </si>
  <si>
    <t>deaths_CHIKV_pop</t>
  </si>
  <si>
    <t>CHIKV_pop</t>
  </si>
  <si>
    <t>CHIKV annual mortality rate, hospitalized patients</t>
  </si>
  <si>
    <t>CHIKV annual mortality rate, general population</t>
  </si>
  <si>
    <t>1 - exp(-delta_hosp_10years / (10*52))</t>
  </si>
  <si>
    <t>1 - exp(-(deaths_CHIKV_pop/CHIKV_pop)/52)</t>
  </si>
  <si>
    <t>Calculated from Richardson et al.</t>
  </si>
  <si>
    <t>Refs 37, 42</t>
  </si>
  <si>
    <t>Refs 37, 59</t>
  </si>
  <si>
    <t>&lt;&lt;-- Check ref</t>
  </si>
  <si>
    <t>CPI, 2018</t>
  </si>
  <si>
    <t>cpi_2018</t>
  </si>
  <si>
    <t>CHICUNGUNYA BRAZIL LEGAL PRICE</t>
  </si>
  <si>
    <t>Source: CMED (https://www.gov.br/anvisa/pt-br/assuntos/medicamentos/cmed/precos)</t>
  </si>
  <si>
    <t>ICMS % (tax)*</t>
  </si>
  <si>
    <t>PMVG (Max Gov Price, R$)</t>
  </si>
  <si>
    <t>PMC (Max Consumer Price, R$)</t>
  </si>
  <si>
    <t>PMVG (USD)</t>
  </si>
  <si>
    <t>PMC (USD)</t>
  </si>
  <si>
    <t>Public</t>
  </si>
  <si>
    <t>Private</t>
  </si>
  <si>
    <t>LB</t>
  </si>
  <si>
    <t>Base</t>
  </si>
  <si>
    <t>UB</t>
  </si>
  <si>
    <t xml:space="preserve">* Depending on the region (State of Brazil), taxes can reach 23%. </t>
  </si>
  <si>
    <t>US = 5,66 REAIS</t>
  </si>
  <si>
    <t>Term Meaning</t>
  </si>
  <si>
    <r>
      <t>PMVG Maximum Selling Price to the Government – </t>
    </r>
    <r>
      <rPr>
        <sz val="12"/>
        <color rgb="FF212121"/>
        <rFont val="Arial"/>
        <family val="2"/>
      </rPr>
      <t>​​</t>
    </r>
    <r>
      <rPr>
        <sz val="12"/>
        <color rgb="FF212121"/>
        <rFont val="Aptos"/>
      </rPr>
      <t>is the highest price at which a medicine can be sold to public bodies and entities. It is used as a reference in purchases by the SUS (Brazilian Public Health System), Ministry of Health, states and municipalities.</t>
    </r>
  </si>
  <si>
    <t>PMC Maximum Price to the Consumer – is the price ceiling that private pharmacies and hospitals can charge the final consumer. It varies according to the ICMS (Brazilian state sales tax) of each state.</t>
  </si>
  <si>
    <r>
      <t>The maximum price varies according to the taxes in each region. Taxes range from 0% to 23% and it has an impact on price</t>
    </r>
    <r>
      <rPr>
        <b/>
        <sz val="12"/>
        <color rgb="FF212121"/>
        <rFont val="Aptos"/>
      </rPr>
      <t>. This is not the final price that can be used for incorporation into the Brazilian public health system.</t>
    </r>
  </si>
  <si>
    <t>Using the price of the Qdenga vaccine as a proxy is interesting because it was the price incorporated into the public health system, which was well below that established by CMED.</t>
  </si>
  <si>
    <t xml:space="preserve">18% is usually choose as a reference for CONITEC calculation for ICER analysis </t>
  </si>
  <si>
    <t>https://fred.stlouisfed.org/series/BRACPIALLMINMEI</t>
  </si>
  <si>
    <t>Data Updated: 2025-05-15</t>
  </si>
  <si>
    <t>Consumer Price Indices (CPIs, HICPs), COICOP 1999: Consumer Price Index: Total for Brazil, Index 2015=100, Monthly, Not Seasonally Adjusted</t>
  </si>
  <si>
    <t>BRACPIALLMINMEI</t>
  </si>
  <si>
    <t>File Created: 2025-12-19 8:51 pm CST</t>
  </si>
  <si>
    <t>CPI, 2025</t>
  </si>
  <si>
    <t>C_VIMKUNYA_Dose_public</t>
  </si>
  <si>
    <t>C_VIMKUNYA_Dose_private</t>
  </si>
  <si>
    <t>C_IXCHIQ_Dose_public</t>
  </si>
  <si>
    <t>C_IXCHIQ_Dose_private</t>
  </si>
  <si>
    <t>CMED (https://www.gov.br/anvisa/pt-br/assuntos/medicamentos/cmed/precos)</t>
  </si>
  <si>
    <t>Based on average tax rate of 18%</t>
  </si>
  <si>
    <t>Weighted vaccine cost, IXCHIQ</t>
  </si>
  <si>
    <t>Weighted vaccine cost, VIMKUNYA</t>
  </si>
  <si>
    <t>C_VIMKUNYA_Dose_public * pub_share_ip_admissions + C_VIMKUNYA_Dose_private * (1 - pub_share_ip_admissions)</t>
  </si>
  <si>
    <t>Utility weight from accute disease, not hospitalized</t>
  </si>
  <si>
    <t xml:space="preserve"> USA population</t>
  </si>
  <si>
    <t>Disutilities from severe vaccine adverse events</t>
  </si>
  <si>
    <t>USA population</t>
  </si>
  <si>
    <t>Hospitalization following vaccination; USA population</t>
  </si>
  <si>
    <t>Disutilities from serious vaccine adverse events</t>
  </si>
  <si>
    <t>Chronic Disease (persistent polyarthritis) utility multiplier</t>
  </si>
  <si>
    <t>Exposed (latent) utility multiplier</t>
  </si>
  <si>
    <t>Infectious (acute CHIKV) utility multiplier</t>
  </si>
  <si>
    <t>Basic reproduction number</t>
  </si>
  <si>
    <t>VIMKUNYA dose price cap, public sector (18% average tax rate)</t>
  </si>
  <si>
    <t>VIMKUNYA dose price cap, private sector  (18% average tax rate)</t>
  </si>
  <si>
    <t>QDENGA ICER BY CONITEC - BRAZILIAN AGENCY</t>
  </si>
  <si>
    <t>Source: National Commission for the Incorporation of Technologies in the Unified Health System. (2023). Recommendation report No. 871: Tetravalent dengue vaccine (attenuated) for the prevention of infection caused by the dengue virus and its complications. Ministry of Health.</t>
  </si>
  <si>
    <t>PMVG without taxes</t>
  </si>
  <si>
    <t>PMVG 0% (R$)</t>
  </si>
  <si>
    <t>PMVG 18% (R$)</t>
  </si>
  <si>
    <t>Suggested price by Takeda for SUS (R$)</t>
  </si>
  <si>
    <t>Final price agreement (R$)</t>
  </si>
  <si>
    <t>Gap between final price and initial max price</t>
  </si>
  <si>
    <t>IXCHIQ dose price cap, public sector (18% average tax rate)</t>
  </si>
  <si>
    <t>IXCHIQ dose price cap, private sector  (18% average tax rate)</t>
  </si>
  <si>
    <t>VIMKUNYA_cost_multiplier</t>
  </si>
  <si>
    <t>Multiplier for the dose price cap for VIMKUNYA, relative to IXCHIQ</t>
  </si>
  <si>
    <t>Immunogenicity atenuation factor</t>
  </si>
  <si>
    <t xml:space="preserve">PNEUMO-13 VACCINE </t>
  </si>
  <si>
    <t>Suggested price by Pfizer for SUS (R$)</t>
  </si>
  <si>
    <t xml:space="preserve">Although the vaccine had already been incorporated in 2019 for high-risk groups, </t>
  </si>
  <si>
    <t>it was in this 2023 report (attempt to substitute PCV10 with PCV13 for all children) that the offered price became explicit and significantly below the market price, consolidating the argument for government negotiation.</t>
  </si>
  <si>
    <r>
      <t>Discount Aggressiveness:</t>
    </r>
    <r>
      <rPr>
        <sz val="12"/>
        <color rgb="FF000000"/>
        <rFont val="Aptos Narrow"/>
        <family val="2"/>
        <scheme val="minor"/>
      </rPr>
      <t> The Pfizzer  offered the vaccine for </t>
    </r>
    <r>
      <rPr>
        <b/>
        <sz val="12"/>
        <color rgb="FF000000"/>
        <rFont val="Aptos Narrow"/>
        <family val="2"/>
        <scheme val="minor"/>
      </rPr>
      <t>R$ 63.85</t>
    </r>
    <r>
      <rPr>
        <sz val="12"/>
        <color rgb="FF000000"/>
        <rFont val="Aptos Narrow"/>
        <family val="2"/>
        <scheme val="minor"/>
      </rPr>
      <t>, which represents a discount of about </t>
    </r>
    <r>
      <rPr>
        <b/>
        <sz val="12"/>
        <color rgb="FF000000"/>
        <rFont val="Aptos Narrow"/>
        <family val="2"/>
        <scheme val="minor"/>
      </rPr>
      <t>51%</t>
    </r>
    <r>
      <rPr>
        <sz val="12"/>
        <color rgb="FF000000"/>
        <rFont val="Aptos Narrow"/>
        <family val="2"/>
        <scheme val="minor"/>
      </rPr>
      <t>compared to the CMED ceiling price (R$ 131.92).</t>
    </r>
  </si>
  <si>
    <r>
      <t>Comparison with Current Prices:</t>
    </r>
    <r>
      <rPr>
        <sz val="12"/>
        <color rgb="FF000000"/>
        <rFont val="Aptos Narrow"/>
        <family val="2"/>
        <scheme val="minor"/>
      </rPr>
      <t> The offered value (R$ 63.85) was even lower than the price the government was already paying for the same vaccine for high-risk groups (CRIE), which was </t>
    </r>
    <r>
      <rPr>
        <b/>
        <sz val="12"/>
        <color rgb="FF000000"/>
        <rFont val="Aptos Narrow"/>
        <family val="2"/>
        <scheme val="minor"/>
      </rPr>
      <t>R$ 76.50</t>
    </r>
    <r>
      <rPr>
        <sz val="12"/>
        <color rgb="FF000000"/>
        <rFont val="Aptos Narrow"/>
        <family val="2"/>
        <scheme val="minor"/>
      </rPr>
      <t>.</t>
    </r>
  </si>
  <si>
    <t>Disclosures</t>
  </si>
  <si>
    <r>
      <t>Why was it not incorporated even with the discount?</t>
    </r>
    <r>
      <rPr>
        <sz val="12"/>
        <color rgb="FF000000"/>
        <rFont val="Aptos Narrow"/>
        <family val="2"/>
        <scheme val="minor"/>
      </rPr>
      <t> Despite the attractive price, Conitec recommended against incorporation based on three main pillars:</t>
    </r>
  </si>
  <si>
    <t>1.Hidden Logistics Costs: PCV13 is supplied in a pre-filled syringe (larger volume), while the current vaccine (PCV10) is a multidose vial. The change would generate an extra cost for logistics and storage (cold chain) estimated at more than R$ 16 million per year, which would "offset" part of the savings from the dose price.</t>
  </si>
  <si>
    <t>2. Industrial Policy: The current vaccine (PCV10) is produced by Fiocruz (national) via technology transfer, ensuring self-sufficiency for the country.</t>
  </si>
  <si>
    <t>3. Epidemiological Data: The Ministry of Health assessed that there was no epidemiological emergency justifying the switch, as severe cases remained stable.</t>
  </si>
  <si>
    <r>
      <rPr>
        <b/>
        <sz val="12"/>
        <color theme="1"/>
        <rFont val="Aptos Narrow"/>
        <scheme val="minor"/>
      </rPr>
      <t xml:space="preserve">Source: </t>
    </r>
    <r>
      <rPr>
        <sz val="12"/>
        <color theme="1"/>
        <rFont val="Aptos Narrow"/>
        <family val="2"/>
        <scheme val="minor"/>
      </rPr>
      <t xml:space="preserve">National Commission for the Incorporation of Technologies in the Unified Health System. (2023). </t>
    </r>
  </si>
  <si>
    <t>Recommendation report No. 819: 13-valent pneumococcal conjugate vaccine for immunization of children up to five years of age against invasive pneumococcal disease and pneumonia. Ministry of Health</t>
  </si>
  <si>
    <t>https://www.gov.br/conitec/pt-br/midias/relatorios/2023/20230710_relatorio_vacinapcv13_pneumo.pdf</t>
  </si>
  <si>
    <t>Vaccine</t>
  </si>
  <si>
    <t>QDENGA</t>
  </si>
  <si>
    <t>Pneumo13</t>
  </si>
  <si>
    <t>Price Discount</t>
  </si>
  <si>
    <t>Manufacturer</t>
  </si>
  <si>
    <t>Takeda</t>
  </si>
  <si>
    <t>Pfizer</t>
  </si>
  <si>
    <t>Manufacturer Price for SUS (R$)</t>
  </si>
  <si>
    <t>Based on QDENGA and Pneumo-13 pricing</t>
  </si>
  <si>
    <t>C_IXCHIQ_Dose_public * (1 - vaccine_price_discount) * VIMKUNYA_cost_multiplier</t>
  </si>
  <si>
    <t>C_IXCHIQ_Dose_public * (1 - vaccine_price_discount) * pub_share_ip_admissions + C_IXCHIQ_Dose_private * (1 - vaccine_price_discount)  * (1 - pub_share_ip_admissions)</t>
  </si>
  <si>
    <t>C_IXCHIQ_Dose_private * (1 - vaccine_price_discount) * VIMKUNYA_cost_multiplier</t>
  </si>
  <si>
    <t>Not implemented</t>
  </si>
  <si>
    <t>Planned for implementation</t>
  </si>
  <si>
    <t>Proportion of patients with CCA after 12 months of infection</t>
  </si>
  <si>
    <t>https://pmc.ncbi.nlm.nih.gov/articles/PMC10288966/
https://pmc.ncbi.nlm.nih.gov/articles/PMC12170793/
https://academic.oup.com/book/12265/chapter-abstract/317026498?redirectedFrom=fulltext</t>
  </si>
  <si>
    <t>gamma_d</t>
  </si>
  <si>
    <t>1 / gamma_days</t>
  </si>
  <si>
    <t>gamma_CCA_d</t>
  </si>
  <si>
    <t>(omega_year * gamma_d) / (1 - exp(-gamma_d * 365))</t>
  </si>
  <si>
    <t>gamma_rec_d</t>
  </si>
  <si>
    <t>gamma_d - gamma_CCA_d</t>
  </si>
  <si>
    <t>gamma_CCA</t>
  </si>
  <si>
    <t>gamma_rec</t>
  </si>
  <si>
    <t>1 - exp(-7 * gamma_CCA_d)</t>
  </si>
  <si>
    <t>1 - exp(-7 * gamma_rec_d)</t>
  </si>
  <si>
    <t>Daily total removal rate</t>
  </si>
  <si>
    <t>Daily removal rate into CCA</t>
  </si>
  <si>
    <t>Daily removal rate into Recovered</t>
  </si>
  <si>
    <t>Weekly removal rate into CCA</t>
  </si>
  <si>
    <t>Weekly removal rate into Recovered</t>
  </si>
  <si>
    <t>BRL to USD exchange rate, 2010</t>
  </si>
  <si>
    <t>brl_usd_fx_2010</t>
  </si>
  <si>
    <t>IXCHIQ dose cost, USA</t>
  </si>
  <si>
    <t>C_IXCHIQ_Dose_usa</t>
  </si>
  <si>
    <t>Triangular</t>
  </si>
  <si>
    <t>C_VIMKUNYA_Dose_usa</t>
  </si>
  <si>
    <t>VIMKUNYA dose cost, USA</t>
  </si>
  <si>
    <t>https://medicaid.ms.gov/wp-content/uploads/2025/06/Vaccines-Covered-Through-Pharmacy-Billing.pdf</t>
  </si>
  <si>
    <t>C_VIMKUNYA_Dose_usa / C_IXCHIQ_Dose_usa</t>
  </si>
  <si>
    <t>Overall; Figure 2</t>
  </si>
  <si>
    <t>theta_IXCHIQ_days</t>
  </si>
  <si>
    <t>theta_VIMKUNYA_days</t>
  </si>
  <si>
    <t>1 - exp(-(theta_IXCHIQ_days)*cycle_length_days)</t>
  </si>
  <si>
    <t>1 - exp(-(theta_VIMKUNYA_days)*cycle_length_days)</t>
  </si>
  <si>
    <t>Behavioural response factor</t>
  </si>
  <si>
    <t>rho_year</t>
  </si>
  <si>
    <t>pi_VIMKUNYA_vs_IXCHIQ</t>
  </si>
  <si>
    <t>VIMKUNYA preference weight, relative to IXCHIQ</t>
  </si>
  <si>
    <t>phi</t>
  </si>
  <si>
    <t>psi_stated</t>
  </si>
  <si>
    <t>Realization factor for vaccination</t>
  </si>
  <si>
    <t>Manaquin R, Desmoulin A, Luong Nguyen LB, et al. Acceptance of chikungunya vaccination: a rapid survey in Reunion island during an epidemic. Vaccine. 2025/10/03/ 2025;64:127720. doi:https://doi.org/10.1016/j.vaccine.2025.127720
40.	World Health Organization. Chikungunya - La Réunion and Mayotte. WHO. December 11, 2025. Updated May 12, 2025. Accessed December 11, 2025. https://www.who.int/emergencies/disease-outbreak-news/item/2025-DON567
41.	Curren EJ, Ellis EM, Hennessey MJ, Delorey MJ, Fischer M, Staples JE. Acceptability of a Chikungunya Virus Vaccine, United States Virgin Islands. Am J Trop Med Hyg. Feb 1 2023;108(2):363-365. doi:10.4269/ajtmh.22-0429
42.	Quenard F, Pecout F, Barry TA, et al. Acceptability of a chikungunya vaccine and dengue vaccine among travelers in Martinique (French West Indies), for the travel and for their home territory. IJID Reg. Dec 2025;17:100791. doi:10.1016/j.ijregi.2025.100791</t>
  </si>
  <si>
    <t>3-weeks vaccination rate</t>
  </si>
  <si>
    <t>seroprotection_VIMKUNYA_183_days</t>
  </si>
  <si>
    <t>seroresponse_placebo_IXCHIQ_180_days</t>
  </si>
  <si>
    <t>seroresponse_treatment_IXCHIQ_180_days</t>
  </si>
  <si>
    <t>zeta</t>
  </si>
  <si>
    <t>eta</t>
  </si>
  <si>
    <t>Ratio of actual price to vaccine price cap</t>
  </si>
  <si>
    <t>xi</t>
  </si>
  <si>
    <t>omicron</t>
  </si>
  <si>
    <t>IXCHQ preference weight</t>
  </si>
  <si>
    <t>GDP per capita</t>
  </si>
  <si>
    <t>https://www.cdc.gov/yellow-book/hcp/travel-associated-infections-diseases/chikungunya.html</t>
  </si>
  <si>
    <t>Overall, Table 2</t>
  </si>
  <si>
    <t>McMahon et al. Lancet ID. 2024</t>
  </si>
  <si>
    <t>Schneider et al. Lancet. 2023</t>
  </si>
  <si>
    <t xml:space="preserve">           BRASIL: Tábua Completa de Mortalidade - Ambos os Sexos – 2024</t>
  </si>
  <si>
    <t>Analytic time horizon, years</t>
  </si>
  <si>
    <t>time_horizon_years</t>
  </si>
  <si>
    <t>df_dw</t>
  </si>
  <si>
    <t>Devere dengue fever disability weight</t>
  </si>
  <si>
    <t>Global Burden of Disease Collaborative Network. Global Burden of Disease Study 2023 (GBD 2023) Disability Weights. Seattle, United States of America: Institute for Health Metrics and Evaluation (IHME), 2025.</t>
  </si>
  <si>
    <t>1 - df_dw</t>
  </si>
  <si>
    <t>Santos M, et al. 2021; Table 3</t>
  </si>
  <si>
    <t>sequela_name</t>
  </si>
  <si>
    <t>healthstate_name</t>
  </si>
  <si>
    <t>healthstate_description</t>
  </si>
  <si>
    <t>mean</t>
  </si>
  <si>
    <t>HIV/AIDS -  Drug-susceptible Tuberculosis without anemia</t>
  </si>
  <si>
    <t>Tuberculosis, HIV infected</t>
  </si>
  <si>
    <t>has a persistent cough and fever, shortness of breath, night sweats, weakness and fatigue and severe weight loss.</t>
  </si>
  <si>
    <t>HIV/AIDS -  Drug-susceptible Tuberculosis with mild anemia</t>
  </si>
  <si>
    <t>Tuberculosis, HIV infected and anemia, mild</t>
  </si>
  <si>
    <t>(combined DW)</t>
  </si>
  <si>
    <t>HIV/AIDS -  Drug-susceptible Tuberculosis with moderate anemia</t>
  </si>
  <si>
    <t>Tuberculosis, HIV infected and anemia, moderate</t>
  </si>
  <si>
    <t>HIV/AIDS -  Drug-susceptible Tuberculosis with severe anemia</t>
  </si>
  <si>
    <t>Tuberculosis, HIV infected and anemia, severe</t>
  </si>
  <si>
    <t>HIV/AIDS - Multidrug-resistant Tuberculosis without extensive drug resistance without anemia</t>
  </si>
  <si>
    <t>HIV/AIDS - Multidrug-resistant Tuberculosis without extensive drug resistance with mild anemia</t>
  </si>
  <si>
    <t>HIV/AIDS - Multidrug-resistant Tuberculosis without extensive drug resistance with moderate anemia</t>
  </si>
  <si>
    <t>HIV/AIDS - Multidrug-resistant Tuberculosis without extensive drug resistance with severe anemia</t>
  </si>
  <si>
    <t>HIV/AIDS - Extensively drug-resistant Tuberculosis without anemia</t>
  </si>
  <si>
    <t>HIV/AIDS - Extensively drug-resistant Tuberculosis with mild anemia</t>
  </si>
  <si>
    <t>HIV/AIDS - Extensively drug-resistant Tuberculosis with moderate anemia</t>
  </si>
  <si>
    <t>HIV/AIDS - Extensively drug-resistant Tuberculosis with severe anemia</t>
  </si>
  <si>
    <t>Symptomatic HIV without anemia</t>
  </si>
  <si>
    <t>HIV cases, symptomatic, pre-AIDS</t>
  </si>
  <si>
    <t>has weight loss, fatigue, and frequent infections.</t>
  </si>
  <si>
    <t>AIDS without anemia</t>
  </si>
  <si>
    <t>AIDS cases, not receiving ARV treatment</t>
  </si>
  <si>
    <t xml:space="preserve">has severe weight loss, weakness, fatigue, cough and fever, and frequent infections, skin rashes and diarrhea. </t>
  </si>
  <si>
    <t>Early HIV without anemia</t>
  </si>
  <si>
    <t>Generic uncomplicated disease: anxiety about diagnosis</t>
  </si>
  <si>
    <t>has a disease diagnosis that causes some worry but minimal interference with daily activities.</t>
  </si>
  <si>
    <t>Early HIV with mild anemia</t>
  </si>
  <si>
    <t>Anemia, mild; Generic uncomplicated disease anxiety</t>
  </si>
  <si>
    <t>Early HIV with moderate anemia</t>
  </si>
  <si>
    <t>Anemia, moderate; Generic uncomplicated disease anxiety</t>
  </si>
  <si>
    <t>Early HIV with severe anemia</t>
  </si>
  <si>
    <t>Anemia, severe; Generic uncomplicated disease anxiety</t>
  </si>
  <si>
    <t>Symptomatic HIV with mild anemia</t>
  </si>
  <si>
    <t>HIV cases, symptomatic, pre-AIDS and anemia, mild</t>
  </si>
  <si>
    <t>Symptomatic HIV with moderate anemia</t>
  </si>
  <si>
    <t>HIV cases, symptomatic, pre-AIDS and anemia, moderate</t>
  </si>
  <si>
    <t>Symptomatic HIV with severe anemia</t>
  </si>
  <si>
    <t>HIV cases, symptomatic, pre-AIDS and anemia, severe</t>
  </si>
  <si>
    <t>AIDS with mild anemia</t>
  </si>
  <si>
    <t>AIDS cases, not receiving ARV treatment and anemia, mild</t>
  </si>
  <si>
    <t>AIDS with moderate anemia</t>
  </si>
  <si>
    <t>AIDS cases, not receiving ARV treatment and anemia, moderate</t>
  </si>
  <si>
    <t>AIDS with severe anemia</t>
  </si>
  <si>
    <t>AIDS cases, not receiving ARV treatment and anemia, severe</t>
  </si>
  <si>
    <t>HIV/AIDS with antiretroviral treatment without anemia</t>
  </si>
  <si>
    <t>HIV/AIDS cases, receiving ARV treatment</t>
  </si>
  <si>
    <t>has occasional fevers and infections. The person takes daily medication that sometimes causes diarrhea.</t>
  </si>
  <si>
    <t>HIV/AIDS with antiretroviral treatment with mild anemia</t>
  </si>
  <si>
    <t>HIV/AIDS cases, receiving ARV treatment and anemia, mild</t>
  </si>
  <si>
    <t>HIV/AIDS with antiretroviral treatment with moderate anemia</t>
  </si>
  <si>
    <t>HIV/AIDS cases, receiving ARV treatment and anemia, moderate</t>
  </si>
  <si>
    <t>HIV/AIDS with antiretroviral treatment with severe anemia</t>
  </si>
  <si>
    <t>HIV/AIDS cases, receiving ARV treatment and anemia, severe</t>
  </si>
  <si>
    <t xml:space="preserve">Asymptomatic congenital syphilis </t>
  </si>
  <si>
    <t>Asymptomatic</t>
  </si>
  <si>
    <t>Early symptomatic congenital syphilis, infectious syndrome</t>
  </si>
  <si>
    <t xml:space="preserve">Infectious disease, acute episode, moderate </t>
  </si>
  <si>
    <t xml:space="preserve">has a fever and aches, and feels weak, which causes some difficulty with daily activities. </t>
  </si>
  <si>
    <t>Late symptomatic congenital syphilis, neurosyphilis</t>
  </si>
  <si>
    <t>Motor plus cognitive impairments, moderate</t>
  </si>
  <si>
    <t>has some difficulty in moving around, holding objects, dressing and sitting upright, but can walk without help. The person has low intelligence and is slow in learning to speak and to do simple tasks.</t>
  </si>
  <si>
    <t>Early symptomatic congenital syphilis, slight disfigurement</t>
  </si>
  <si>
    <t>Disfigurement, level 1</t>
  </si>
  <si>
    <t>has a slight, visible physical deformity that others notice, which causes some worry and discomfort.</t>
  </si>
  <si>
    <t>Late symptomatic congenital syphilis, slight disfigurement</t>
  </si>
  <si>
    <t>Late symptomatic congenital syphilis, unilateral hearing loss</t>
  </si>
  <si>
    <t>Hearing loss, unilateral</t>
  </si>
  <si>
    <t>can hear well with one ear but has hearing loss in the other ear, resulting in some trouble following a conversation in a noisy environment</t>
  </si>
  <si>
    <t>Asymptomatic early syphilis infection</t>
  </si>
  <si>
    <t>Mild early syphilis infection</t>
  </si>
  <si>
    <t>Infectious disease, acute episode, mild</t>
  </si>
  <si>
    <t>has a low fever and mild discomfort , but no difficulty with daily activities.</t>
  </si>
  <si>
    <t>Asymptomatic adult tertiary syphilis</t>
  </si>
  <si>
    <t>Cardiovascular complications due to adult tertiary syphilis</t>
  </si>
  <si>
    <t>Severe disfigurement due to adult tertiary syphilis</t>
  </si>
  <si>
    <t>Disfigurement, level 3</t>
  </si>
  <si>
    <t>has an obvious physical deformity that makes others uncomfortable, which causes the person to avoid social contact, feel worried, sleep poorly, and think about suicide.</t>
  </si>
  <si>
    <t>Neurological problems due to adult tertiary syphilis</t>
  </si>
  <si>
    <t>Neurological problems and cardiovascular complications due to adult tertiary syphilis</t>
  </si>
  <si>
    <t>Moderate motor plus cognitive impairments and moderate infectious disease, acute episode</t>
  </si>
  <si>
    <t>Severe disfigurement and cardiovascular complications due to adult tertiary syphilis</t>
  </si>
  <si>
    <t>Level 3 disfigurement and moderate infectious disease, acute episode</t>
  </si>
  <si>
    <t>Severe disfigurement and neurological problems due to adult tertiary syphilis</t>
  </si>
  <si>
    <t>Level 3 disfigurement and moderate motor plus cognitive impairments</t>
  </si>
  <si>
    <t>Severe disfigurement, neurological problems, and cardiovascular complications due to adult tertiary syphilis</t>
  </si>
  <si>
    <t>Level 3 disfigurement, moderate motor plus cognitive impairments, and moderate infectious disease, acute episode</t>
  </si>
  <si>
    <t>Asymptomatic chlamydial infection</t>
  </si>
  <si>
    <t>Mild chlamydial infection</t>
  </si>
  <si>
    <t>Epididymo-orchitis due to chlamydial infection</t>
  </si>
  <si>
    <t>Epididymo-orchitis</t>
  </si>
  <si>
    <t xml:space="preserve">has swelling and tenderness in the testicles and pain during urination. </t>
  </si>
  <si>
    <t>Primary infertility due to chlamydial infection</t>
  </si>
  <si>
    <t>Infertility, primary</t>
  </si>
  <si>
    <t>wants to have a child and has a fertile partner, but the couple cannot conceive.</t>
  </si>
  <si>
    <t>Secondary infertility due to chlamydial infection</t>
  </si>
  <si>
    <t>Infertility, secondary</t>
  </si>
  <si>
    <t xml:space="preserve">has at least one child, and wants to have more children. The person has a fertile partner, but the couple cannot conceive. </t>
  </si>
  <si>
    <t>Moderate pelvic inflammatory diseases due to chlamydial infection</t>
  </si>
  <si>
    <t>Abdominopelvic problem, moderate</t>
  </si>
  <si>
    <t xml:space="preserve">has pain in the belly and feels nauseous. The person has difficulties with daily activities. </t>
  </si>
  <si>
    <t>Severe pelvic inflammatory diseases due to chlamydial infection</t>
  </si>
  <si>
    <t>Abdominopelvic problem, severe</t>
  </si>
  <si>
    <t>has severe pain in the belly and feels nauseous. The person is anxious and unable to carry out daily activities.</t>
  </si>
  <si>
    <t>Asymptomatic gonococcal infection</t>
  </si>
  <si>
    <t>Mild gonococcal infection</t>
  </si>
  <si>
    <t>Epididymo-orchitis due to gonococcal infection</t>
  </si>
  <si>
    <t>Primary infertility due to gonococcal infection</t>
  </si>
  <si>
    <t>Secondary infertility due to gonococcal infection</t>
  </si>
  <si>
    <t>Moderate pelvic inflammatory diseases due to gonococcal infection</t>
  </si>
  <si>
    <t>Severe pelvic inflammatory diseases due to gonococcal infection</t>
  </si>
  <si>
    <t>Asymptomatic trichomoniasis infection</t>
  </si>
  <si>
    <t>Acute trichomoniasis infection</t>
  </si>
  <si>
    <t>Asymptomatic herpes simplex virus-2 infection</t>
  </si>
  <si>
    <t>Recurrent symptomatic episode of genital herpes</t>
  </si>
  <si>
    <t>Initial symptomatic episode of genital herpes</t>
  </si>
  <si>
    <t>Primary infertility due to other sexually transmitted diseases</t>
  </si>
  <si>
    <t>Secondary infertility due to other sexually transmitted diseases</t>
  </si>
  <si>
    <t>Moderate pelvic inflammatory diseases due to other sexually transmitted diseases</t>
  </si>
  <si>
    <t>Severe pelvic inflammatory diseases due to other sexually transmitted diseases</t>
  </si>
  <si>
    <t>Other sexually transmitted diseases residual</t>
  </si>
  <si>
    <t>Post-COMO calculation for residuals (YLL/YLD ratio, other methods)</t>
  </si>
  <si>
    <t>Latent tuberculosis infection</t>
  </si>
  <si>
    <t>Drug-susceptible tuberculosis</t>
  </si>
  <si>
    <t>Tuberculosis, not HIV infected</t>
  </si>
  <si>
    <t>has a persistent cough and fever, is short of breath, feels weak, and has lost a lot of weight.</t>
  </si>
  <si>
    <t xml:space="preserve">Multidrug-resistant tuberculosis without extensive drug resistance </t>
  </si>
  <si>
    <t>Extensively drug-resistant tuberculosis</t>
  </si>
  <si>
    <t>Guillain-BarrÃ© syndrome due to lower respiratory infections</t>
  </si>
  <si>
    <t>Spinal cord lesion below neck level (treated)</t>
  </si>
  <si>
    <t>is paralyzed from the waist down, cannot feel or move the legs and has difficulties with urine and bowel control. The person uses a wheelchair to move around.</t>
  </si>
  <si>
    <t>Moderate lower respiratory infections</t>
  </si>
  <si>
    <t>Severe lower respiratory infections</t>
  </si>
  <si>
    <t>Infectious disease, acute episode, severe</t>
  </si>
  <si>
    <t>has a high fever and pain, and feels very weak, which causes great difficulty with daily activities.</t>
  </si>
  <si>
    <t>Guillain-BarrÃ© syndrome due to upper respiratory infections</t>
  </si>
  <si>
    <t>Mild upper respiratory infections</t>
  </si>
  <si>
    <t>Moderate upper respiratory infections</t>
  </si>
  <si>
    <t>Acute otitis media</t>
  </si>
  <si>
    <t>Ear pain</t>
  </si>
  <si>
    <t>has an ear-ache that causes some difficulty with daily activities.</t>
  </si>
  <si>
    <t>Severe infectious complications due to chronic otitis media</t>
  </si>
  <si>
    <t>Mild hearing loss due to chronic otitis media</t>
  </si>
  <si>
    <t>Hearing loss, mild</t>
  </si>
  <si>
    <t>has great difficulty hearing and understanding another person talking in a noisy place (for example, on an urban street).</t>
  </si>
  <si>
    <t>Moderate hearing loss due to chronic otitis media</t>
  </si>
  <si>
    <t>Hearing loss, moderate</t>
  </si>
  <si>
    <t>is unable to hear and understand another person talking in a noisy place (for example, on an urban street), and has difficulty hearing another person talking even in a quiet place or on the phone.</t>
  </si>
  <si>
    <t>Mild hearing loss with ringing due to chronic otitis media</t>
  </si>
  <si>
    <t>Hearing loss, mild, with ringing</t>
  </si>
  <si>
    <t>has great difficulty hearing and understanding another person talking in a noisy place (for example, on an urban street), and sometimes has annoying ringing in the ears.</t>
  </si>
  <si>
    <t>Moderate hearing loss with ringing due to chronic otitis media</t>
  </si>
  <si>
    <t>Hearing loss, moderate, with ringing</t>
  </si>
  <si>
    <t>is unable to hear and understand another person talking in a noisy place (for example, on an urban street), and has difficulty hearing another person talking even in a quiet place or on the phone, and has annoying ringing in the ears for more than 5 minutes at a time, almost everyday.</t>
  </si>
  <si>
    <t>Vertigo with mild hearing loss due to chronic otitis media</t>
  </si>
  <si>
    <t>Vertigo with mild hearing loss</t>
  </si>
  <si>
    <t>Vertigo with moderate hearing loss due to chronic otitis media</t>
  </si>
  <si>
    <t>Vertigo with moderate hearing loss</t>
  </si>
  <si>
    <t>Vertigo with mild hearing loss and ringing due to chronic otitis media</t>
  </si>
  <si>
    <t>Vertigo with mild hearing loss and ringing</t>
  </si>
  <si>
    <t>Vertigo with moderate hearing loss and ringing due to chronic otitis media</t>
  </si>
  <si>
    <t>Vertigo with moderate hearing loss and ringing</t>
  </si>
  <si>
    <t>Guillain-BarrÃ© syndrome due to diarrheal diseases</t>
  </si>
  <si>
    <t>Mild diarrheal diseases</t>
  </si>
  <si>
    <t>Diarrhea, mild</t>
  </si>
  <si>
    <t>has diarrhea three or more times a day with occasional discomfort in the belly.</t>
  </si>
  <si>
    <t>Moderate diarrheal diseases</t>
  </si>
  <si>
    <t>Diarrhea, moderate</t>
  </si>
  <si>
    <t>has diarrhea three or more times a day, with painful cramps in the belly and feeling thirsty</t>
  </si>
  <si>
    <t>Severe diarrheal diseases</t>
  </si>
  <si>
    <t>Diarrhea, severe</t>
  </si>
  <si>
    <t xml:space="preserve">has diarrhea three or more times a day with severe belly cramps. The person is very thirsty and feels nauseous and tired. </t>
  </si>
  <si>
    <t>Gastrointestinal bleeding due to typhoid</t>
  </si>
  <si>
    <t>Gastric bleeding</t>
  </si>
  <si>
    <t>vomits blood and feels nauseous.</t>
  </si>
  <si>
    <t>Intestinal perforation due to typhoid</t>
  </si>
  <si>
    <t>Acute typhoid infection</t>
  </si>
  <si>
    <t>Severe typhoid fever</t>
  </si>
  <si>
    <t>Intestinal perforation due to paratyphoid</t>
  </si>
  <si>
    <t>Acute paratyphoid infection</t>
  </si>
  <si>
    <t>Moderate paratyphoid fever</t>
  </si>
  <si>
    <t>Severe paratyphoid fever</t>
  </si>
  <si>
    <t>Severe acute iNTS</t>
  </si>
  <si>
    <t>Other intestinal infectious diseases</t>
  </si>
  <si>
    <t>Mild malaria</t>
  </si>
  <si>
    <t>Mild malaria with mild anemia</t>
  </si>
  <si>
    <t>Infectious disease, acute episode, mild, with mild anemia</t>
  </si>
  <si>
    <t>Mild malaria with moderate anemia</t>
  </si>
  <si>
    <t>Infectious disease, acute episode, mild, with moderate anemia</t>
  </si>
  <si>
    <t>Mild malaria with severe anemia</t>
  </si>
  <si>
    <t>Infectious disease, acute episode, mild, with severe anemia</t>
  </si>
  <si>
    <t>Moderate malaria</t>
  </si>
  <si>
    <t>Moderate malaria with mild anemia</t>
  </si>
  <si>
    <t>Infectious disease, acute episode, moderate, with mild anemia</t>
  </si>
  <si>
    <t>Moderate malaria with moderate anemia</t>
  </si>
  <si>
    <t>Infectious disease, acute episode, moderate, with moderate anemia</t>
  </si>
  <si>
    <t>Moderate malaria with severe anemia</t>
  </si>
  <si>
    <t>Infectious disease, acute episode, moderate, with severe anemia</t>
  </si>
  <si>
    <t>Severe malaria</t>
  </si>
  <si>
    <t>Severe malaria with mild anemia</t>
  </si>
  <si>
    <t>Infectious disease, acute episode, severe, with mild anemia</t>
  </si>
  <si>
    <t>Severe malaria with moderate anemia</t>
  </si>
  <si>
    <t>Infectious disease, acute episode, severe, with moderate anemia</t>
  </si>
  <si>
    <t>Severe malaria with severe anemia</t>
  </si>
  <si>
    <t>Infectious disease, acute episode, severe, with severe anemia</t>
  </si>
  <si>
    <t>Asymptomatic malaria parasitemia (PfPR)</t>
  </si>
  <si>
    <t>Mild anemia due to malaria parasitemia (PfPR)</t>
  </si>
  <si>
    <t>Anemia, mild</t>
  </si>
  <si>
    <t>feels slightly tired and weak at times, but this does not interfere with normal daily activities.</t>
  </si>
  <si>
    <t>Moderate anemia due to malaria parasitemia (PfPR)</t>
  </si>
  <si>
    <t>Anemia, moderate</t>
  </si>
  <si>
    <t>feels moderate fatigue, weakness, and shortness of breath after exercise, making daily activities more difficult.</t>
  </si>
  <si>
    <t>Severe anemia due to malaria parasitemia (PfPR)</t>
  </si>
  <si>
    <t>Anemia, severe</t>
  </si>
  <si>
    <t>feels very weak, tired and short of breath, and has problems with activities that require physical effort or deep concentration.</t>
  </si>
  <si>
    <t>Asymptomatic malaria vivax (PvPR)</t>
  </si>
  <si>
    <t>Mild anemia due to malaria vivax (PvPR)</t>
  </si>
  <si>
    <t>Moderate anemia due to malaria vivax (PvPR)</t>
  </si>
  <si>
    <t>Severe anemia due to malaria vivax (PvPR)</t>
  </si>
  <si>
    <t>Moderate motor impairment due to malaria</t>
  </si>
  <si>
    <t>Motor impairment, moderate</t>
  </si>
  <si>
    <t>has some difficulty in moving around, and difficulty in lifting and holding objects, dressing and sitting upright, but is able to walk without help.</t>
  </si>
  <si>
    <t>Moderate motor impairment with blindness due to malaria</t>
  </si>
  <si>
    <t>Moderate motor impairment with blindness</t>
  </si>
  <si>
    <t>Moderate motor impairment with epilepsy due to malaria</t>
  </si>
  <si>
    <t>Moderate motor impairment with epilepsy</t>
  </si>
  <si>
    <t>Moderate motor impairment with blindness and epilepsy due to malaria</t>
  </si>
  <si>
    <t>Moderate motor impairment with blindness and epilepsy</t>
  </si>
  <si>
    <t>Severe motor impairment due to malaria</t>
  </si>
  <si>
    <t>Motor impairment, severe</t>
  </si>
  <si>
    <t xml:space="preserve">is unable to move around without help, and is not able to lift or hold objects, get dressed or sit upright. </t>
  </si>
  <si>
    <t xml:space="preserve">Severe motor impairment with blindness due to malaria </t>
  </si>
  <si>
    <t>Severe motor impairment with blindness</t>
  </si>
  <si>
    <t>Severe motor impairment with epilepsy due to malaria</t>
  </si>
  <si>
    <t>Severe motor impairment with epilepsy</t>
  </si>
  <si>
    <t>Moderate motor plus cognitive impairment with blindness due to malaria</t>
  </si>
  <si>
    <t>Moderate motor plus cognitive impairment with blindness</t>
  </si>
  <si>
    <t>Moderate motor plus cognitive impairment with epilepsy due to malaria</t>
  </si>
  <si>
    <t>Moderate motor plus cognitive impairment with epilepsy</t>
  </si>
  <si>
    <t>Moderate motor plus cognitive impairment with blindness and epilepsy due to malaria</t>
  </si>
  <si>
    <t>Moderate motor plus cognitive impairment with blindness and epilepsy</t>
  </si>
  <si>
    <t>Severe motor impairment with blindness and epilepsy due to malaria</t>
  </si>
  <si>
    <t>Severe motor impairment with blindness and epilepsy</t>
  </si>
  <si>
    <t>Severe motor plus cognitive impairment with blindness due to malaria</t>
  </si>
  <si>
    <t>Severe motor plus cognitive impairment with blindness</t>
  </si>
  <si>
    <t>Severe motor plus cognitive impairment with epilepsy due to malaria</t>
  </si>
  <si>
    <t>Severe motor plus cognitive impairment with epilepsy</t>
  </si>
  <si>
    <t>Severe motor plus cognitive impairment with blindness and epilepsy due to malaria</t>
  </si>
  <si>
    <t>Severe motor plus cognitive impairment with blindness and epilepsy</t>
  </si>
  <si>
    <t>Acute Chagas disease</t>
  </si>
  <si>
    <t>Asymptomatic Chagas disease</t>
  </si>
  <si>
    <t>Atrial fibrillation and flutter due to Chagas disease</t>
  </si>
  <si>
    <t>Cardiac conduction disorders and cardiac dysrhythmias</t>
  </si>
  <si>
    <t xml:space="preserve">has periods of rapid and irregular heartbeats and occasional fainting. </t>
  </si>
  <si>
    <t>Mild heart failure due to Chagas disease</t>
  </si>
  <si>
    <t>Heart failure, mild</t>
  </si>
  <si>
    <t>is short of breath and easily tires with moderate physical activity, such as walking uphill or more than a quarter-mile on level ground. The person feels comfortable at rest or during activities requiring less effort.</t>
  </si>
  <si>
    <t>Moderate heart failure due to Chagas disease</t>
  </si>
  <si>
    <t>Heart failure, moderate</t>
  </si>
  <si>
    <t>is short of breath and easily tires with minimal physical activity, such as walking only a short distance. The person feels comfortable at rest but avoids moderate activity.</t>
  </si>
  <si>
    <t>Severe heart failure due to Chagas disease</t>
  </si>
  <si>
    <t>Heart failure, severe</t>
  </si>
  <si>
    <t xml:space="preserve">is short of breath and feels tired when at rest. The person avoids any physical activity, for fear of worsening the breathing problems. </t>
  </si>
  <si>
    <t>Mild chronic digestive disease due to Chagas disease</t>
  </si>
  <si>
    <t>Abdominopelvic problem, mild</t>
  </si>
  <si>
    <t>has some pain in the belly that causes nausea but does not interfere with daily activities.</t>
  </si>
  <si>
    <t>Moderate chronic digestive disease due to Chagas disease</t>
  </si>
  <si>
    <t>Controlled, medically managed heart failure due to Chagas disease</t>
  </si>
  <si>
    <t>Generic uncomplicated disease: worry and daily medication</t>
  </si>
  <si>
    <t>has a chronic disease that requires medication every day and causes some worry but minimal interference with daily activities.</t>
  </si>
  <si>
    <t>Moderate visceral leishmaniasis</t>
  </si>
  <si>
    <t>Severe visceral leishmaniasis</t>
  </si>
  <si>
    <t>Cutaneous and mucocutaneous leishmaniasis</t>
  </si>
  <si>
    <t>Disfigurement, level 2</t>
  </si>
  <si>
    <t>has a visible physical deformity that causes others to stare and comment. As a result, the person is worried and has trouble sleeping and concentrating.</t>
  </si>
  <si>
    <t>Skin disfigurement due to Trypanosoma brucei gambiense</t>
  </si>
  <si>
    <t>Disfigurement, level 1 with itch/pain</t>
  </si>
  <si>
    <t>has a slight, visible physical deformity that is sometimes sore or itchy. Others notice the deformity, which causes some worry and discomfort.</t>
  </si>
  <si>
    <t>Sleeping sickness due to Trypanosoma brucei gambiense</t>
  </si>
  <si>
    <t>Motor plus cognitive impairments, severe</t>
  </si>
  <si>
    <t>cannot move around without help, and cannot lift or hold objects, get dressed or sit upright. The person also has very low intelligence, speaks few words, and needs constant supervision and help with all daily activities.</t>
  </si>
  <si>
    <t>Sleeping sickness due to Trypanosoma brucei rhodesiense</t>
  </si>
  <si>
    <t>Skin disfigurement due to Trypanosoma brucei rhodesiense</t>
  </si>
  <si>
    <t>Mild schistosomiasis without anemia</t>
  </si>
  <si>
    <t>Mild anemia due to schistosomiasis</t>
  </si>
  <si>
    <t>Moderate anemia due to schistosomiasis</t>
  </si>
  <si>
    <t>Severe anemia due to schistosomiasis</t>
  </si>
  <si>
    <t>Mild diarrhea due to schistosomiasis</t>
  </si>
  <si>
    <t>Hematemesis due to schistosomiasis</t>
  </si>
  <si>
    <t>Hepatomegaly due to schistosomiasis</t>
  </si>
  <si>
    <t>Dysuria due to schistosomiasis</t>
  </si>
  <si>
    <t>Bladder pathology due to schistosomiasis</t>
  </si>
  <si>
    <t>Hydronephrosis due to schistosomiasis</t>
  </si>
  <si>
    <t>Ascites due to schistosomiasis</t>
  </si>
  <si>
    <t>Neurocysticercosis with epilepsy</t>
  </si>
  <si>
    <t>Epilepsy</t>
  </si>
  <si>
    <t>Chronic respiratory disease due to cystic echinococcosis</t>
  </si>
  <si>
    <t>COPD and other chronic respiratory problems, mild</t>
  </si>
  <si>
    <t>has cough and shortness of breath after heavy physical activity, but is able to walk long distances and climb stairs.</t>
  </si>
  <si>
    <t>Abdominal problems due to cystic echinococcosis</t>
  </si>
  <si>
    <t>Epilepsy due to echinococcosis</t>
  </si>
  <si>
    <t>Prevalence of detectable microfiliaria due to lymphatic filariasis</t>
  </si>
  <si>
    <t>Acute adenolymphangitis due to lymphatic filariasis</t>
  </si>
  <si>
    <t>Hydrocele due to lymphatic filariasis</t>
  </si>
  <si>
    <t>Lymphedema due to lymphatic filariasis</t>
  </si>
  <si>
    <t>Lymphatic filariasis, symptomatic</t>
  </si>
  <si>
    <t>has swollen legs with hard and thick skin, which causes difficulty in moving around.</t>
  </si>
  <si>
    <t>Asymptomatic onchocerciasis</t>
  </si>
  <si>
    <t>Mild skin disease without itch due to onchocerciasis</t>
  </si>
  <si>
    <t>Severe skin disease without itch due to onchocerciasis</t>
  </si>
  <si>
    <t>Mild skin disease due to onchocerciasis</t>
  </si>
  <si>
    <t>Moderate skin disease due to onchocerciasis</t>
  </si>
  <si>
    <t>Disfigurement, level 2, with itch/pain</t>
  </si>
  <si>
    <t>has a visible physical deformity that is sore and itchy. Other people stare and comment, which causes the person to worry. The person has trouble sleeping and concentrating.</t>
  </si>
  <si>
    <t>Severe skin disease due to onchocerciasis</t>
  </si>
  <si>
    <t>Moderate vision impairment due to onchocerciasis</t>
  </si>
  <si>
    <t>Distance vision, moderate impairment</t>
  </si>
  <si>
    <t>has vision problems that make it difficult to recognize faces or objects across a room.</t>
  </si>
  <si>
    <t>Severe vision impairment due to onchocerciasis</t>
  </si>
  <si>
    <t>Distance vision, severe impairment</t>
  </si>
  <si>
    <t>has severe vision loss, which causes difficulty in daily activities, some emotional impact (for example worry), and some difficulty going outside the home without assistance.</t>
  </si>
  <si>
    <t>Blindness due to onchocerciasis</t>
  </si>
  <si>
    <t>Distance vision blindness</t>
  </si>
  <si>
    <t xml:space="preserve">is completely blind, which causes great difficulty in some daily activities, worry and anxiety, and great difficulty going outside the home without assistance. </t>
  </si>
  <si>
    <t>Moderate vision impairment due to trachoma</t>
  </si>
  <si>
    <t>Severe vision impairment due to trachoma</t>
  </si>
  <si>
    <t>Blindness due to trachoma</t>
  </si>
  <si>
    <t>Post-dengue chronic fatigue syndrome</t>
  </si>
  <si>
    <t>Infectious disease, post-acute consequences (fatigue, emotional lability, insomnia)</t>
  </si>
  <si>
    <t>is always tired and easily upset. The person feels pain all over the body and is depressed.</t>
  </si>
  <si>
    <t>Moderate dengue</t>
  </si>
  <si>
    <t>Severe dengue</t>
  </si>
  <si>
    <t>Asymptomatic yellow fever</t>
  </si>
  <si>
    <t>Moderate yellow fever</t>
  </si>
  <si>
    <t>Severe yellow fever</t>
  </si>
  <si>
    <t>Rabies</t>
  </si>
  <si>
    <t>Asymptomatic ascariasis</t>
  </si>
  <si>
    <t>Heavy infestation of ascariasis</t>
  </si>
  <si>
    <t>Intestinal nematode infections, symptomatic</t>
  </si>
  <si>
    <t>has cramping pain and a bloated feeling in the belly.</t>
  </si>
  <si>
    <t>Mild abdominopelvic problems due to ascariasis</t>
  </si>
  <si>
    <t>Severe wasting due to ascariasis</t>
  </si>
  <si>
    <t>Severe wasting</t>
  </si>
  <si>
    <t xml:space="preserve">is extremely skinny and has no energy. </t>
  </si>
  <si>
    <t>Asymptomatic trichuriasis</t>
  </si>
  <si>
    <t>Heavy infestation of trichuriasis</t>
  </si>
  <si>
    <t>Mild abdominopelvic problems due to trichuriasis</t>
  </si>
  <si>
    <t>Severe wasting due to trichuriasis</t>
  </si>
  <si>
    <t>Asymptomatic hookworm</t>
  </si>
  <si>
    <t>Mild anemia due to hookworm disease</t>
  </si>
  <si>
    <t>Moderate anemia due to hookworm disease</t>
  </si>
  <si>
    <t>Severe anemia due to hookworm disease</t>
  </si>
  <si>
    <t>Heavy infestation of hookworm</t>
  </si>
  <si>
    <t>Mild abdominopelvic problems due to hookworm disease</t>
  </si>
  <si>
    <t>Severe wasting due to hookworm disease</t>
  </si>
  <si>
    <t>Asymptomatic clonorchiasis</t>
  </si>
  <si>
    <t>Asymptomatic fascioliasis</t>
  </si>
  <si>
    <t>Asymptomatic intestinal fluke infection</t>
  </si>
  <si>
    <t>Asymptomatic opisthorchiasis</t>
  </si>
  <si>
    <t>Asymptomatic paragonimiasis</t>
  </si>
  <si>
    <t>Mild paragonimiasis due to food-borne trematodiases</t>
  </si>
  <si>
    <t>Moderate paragonimiasis due to food-borne trematodiases</t>
  </si>
  <si>
    <t>COPD and other chronic respiratory problems, moderate</t>
  </si>
  <si>
    <t>has cough, wheezing and shortness of breath, even after light physical activity. The person feels tired and can walk only short distances or climb only a few stairs.</t>
  </si>
  <si>
    <t>Severe paragonimiasis due to food-borne trematodiases</t>
  </si>
  <si>
    <t>COPD and other chronic respiratory problems, severe</t>
  </si>
  <si>
    <t>has cough, wheezing and shortness of breath all the time. The person has great difficulty walking even short distances or climbing any stairs, feels tired when at rest, and is anxious.</t>
  </si>
  <si>
    <t>Heavy clonorchiasis due to food-borne trematodiases</t>
  </si>
  <si>
    <t>Heavy fascioliasis due to food-borne trematodiases</t>
  </si>
  <si>
    <t>Heavy intestinal fluke infection due to food-borne trematodiases</t>
  </si>
  <si>
    <t>Heavy opisthorchiasis due to food-borne trematodiases</t>
  </si>
  <si>
    <t>Cerebral paragonimiasis</t>
  </si>
  <si>
    <t>Disfigurement level 1 due to leprosy</t>
  </si>
  <si>
    <t>Disfigurement level 2 due to leprosy</t>
  </si>
  <si>
    <t>Ebola cases</t>
  </si>
  <si>
    <t>Post-Ebola chronic fatigue syndrome</t>
  </si>
  <si>
    <t>Asymptomatic Zika infection</t>
  </si>
  <si>
    <t>Acute Zika infection</t>
  </si>
  <si>
    <t>Congenital Zika syndrome</t>
  </si>
  <si>
    <t>Guillainâ€“BarrÃ© syndrome due to Zika infection</t>
  </si>
  <si>
    <t>Mild pain due to Guinea worm emergence</t>
  </si>
  <si>
    <t>Moderate pain and limited mobility due to guinea worm</t>
  </si>
  <si>
    <t>Musculoskeletal problems, lower limbs, moderate</t>
  </si>
  <si>
    <t>has moderate pain in the leg, which makes the person limp, and causes some difficulty walking, standing, lifting and carrying heavy things, getting up and down and sleeping.</t>
  </si>
  <si>
    <t>Acute infection due to other neglected tropical diseases</t>
  </si>
  <si>
    <t>Mild anemia due to other neglected tropical diseases</t>
  </si>
  <si>
    <t>Moderate anemia due to other neglected tropical diseases</t>
  </si>
  <si>
    <t>Severe anemia due to other neglected tropical diseases</t>
  </si>
  <si>
    <t>Acute meningitis</t>
  </si>
  <si>
    <t>Acute viral meningitis</t>
  </si>
  <si>
    <t>Mild behavioral problems due to meningitis</t>
  </si>
  <si>
    <t>Attention deficit hyperactivity disorder</t>
  </si>
  <si>
    <t xml:space="preserve">is hyperactive and has difficulty concentrating, remembering things, and completing tasks. </t>
  </si>
  <si>
    <t>Borderline intellectual disability due to meningitis</t>
  </si>
  <si>
    <t>Borderline intellectual functioning</t>
  </si>
  <si>
    <t>is slow in learning at school. As an adult, the person has some difficulty doing complex or unfamiliar tasks but otherwise functions independently.</t>
  </si>
  <si>
    <t>Mild intellectual disability due to meningitis</t>
  </si>
  <si>
    <t>Intellectual disability / mental retardation, mild</t>
  </si>
  <si>
    <t>has low intelligence and is slow in learning at school. As an adult, the person can live independently, but often needs help to raise children and can only work at simple supervised jobs.</t>
  </si>
  <si>
    <t>Mild hearing loss due to meningitis</t>
  </si>
  <si>
    <t>Moderate hearing loss due to meningitis</t>
  </si>
  <si>
    <t>Severe hearing loss due to meningitis</t>
  </si>
  <si>
    <t>Hearing loss, severe</t>
  </si>
  <si>
    <t>is unable to hear and understand another person talking, even in a quiet place, and unable to take part in a phone conversation. Difficulties with communicating and relating to others cause emotional impact at times (for example worry or depression).</t>
  </si>
  <si>
    <t>Profound hearing loss due to meningitis</t>
  </si>
  <si>
    <t>Hearing loss, profound</t>
  </si>
  <si>
    <t>is unable to hear and understand another person talking, even in a quiet place, is unable to take part in a phone conversation, and has great difficulty hearing anything in any other situation. Difficulties with communicating and relating to othersoften cause worry, depression, and loneliness.</t>
  </si>
  <si>
    <t>Complete hearing loss due to meningitis</t>
  </si>
  <si>
    <t>Hearing loss, complete</t>
  </si>
  <si>
    <t>cannot hear at all in any situation, including even the loudest sounds, and cannot communicate verbally or use a phone. Difficulties with communicating and relating to others often cause worry, depression or loneliness.</t>
  </si>
  <si>
    <t>Mild hearing loss with ringing due to meningitis</t>
  </si>
  <si>
    <t>Moderate hearing loss with ringing due to meningitis</t>
  </si>
  <si>
    <t>Severe hearing loss with ringing due to meningitis</t>
  </si>
  <si>
    <t>Hearing loss, severe, with ringing</t>
  </si>
  <si>
    <t>is unable to hear and understand another person talking, even in a quiet place, and unable to take part in a phone conversation, and has annoying ringing in the ears for more than 5 minutes at a time, almost everyday. Difficulties with communicating and relating to others cause emotional impact at times (for example worry or depression).</t>
  </si>
  <si>
    <t>Profound hearing loss with ringing due to meningitis</t>
  </si>
  <si>
    <t>Hearing loss, profound, with ringing</t>
  </si>
  <si>
    <t>is unable to hear and understand another person talking, even in a quiet place, is unable to take part in a phone conversation, has great difficulty hearing anything in any other situation, and has annoying ringing in the ears for more than 5 minutes at a time, several times a day. Difficulties with communicating and relating to others often cause worry, depression, or loneliness.</t>
  </si>
  <si>
    <t>Complete hearing loss with ringing due to meningitis</t>
  </si>
  <si>
    <t>Hearing loss, complete, with ringing</t>
  </si>
  <si>
    <t>cannot hear at all in any situation, including even the loudest sounds, and cannot communicate verbally or use a phone, and has very annoying ringing in the ears for more than half of the day. Difficulties with communicating and relating to others often cause worry, depression or loneliness.</t>
  </si>
  <si>
    <t>Moderate vision impairment due to meningitis</t>
  </si>
  <si>
    <t>Severe vision impairment due to meningitis</t>
  </si>
  <si>
    <t>Blindness due to meningitis</t>
  </si>
  <si>
    <t>Mild motor impairment due to long term due to meningitis</t>
  </si>
  <si>
    <t>Motor impairment, mild</t>
  </si>
  <si>
    <t>has some difficulty in moving around but is able to walk without help.</t>
  </si>
  <si>
    <t>Moderate motor impairment due to meningitis</t>
  </si>
  <si>
    <t>Severe motor impairment due to meningitis</t>
  </si>
  <si>
    <t>Mild motor plus cognitive impairments due to meningitis</t>
  </si>
  <si>
    <t>Motor plus cognitive impairments, mild</t>
  </si>
  <si>
    <t>has some difficulty in moving around but is able to walk without help. The person is slow in learning at school. As an adult, the person has some difficulty doing complex or unfamiliar tasks but otherwise functions independently.</t>
  </si>
  <si>
    <t>Moderate motor plus cognitive impairments due to meningitis</t>
  </si>
  <si>
    <t>Severe motor plus cognitive impairments due to meningitis</t>
  </si>
  <si>
    <t>Moderately severe hearing loss due to meningitis</t>
  </si>
  <si>
    <t>Hearing loss, moderately severe</t>
  </si>
  <si>
    <t>(custom DW from hearing loss impairment envelope)</t>
  </si>
  <si>
    <t>Moderately severe hearing loss with ringing due to meningitis</t>
  </si>
  <si>
    <t>Hearing loss, moderately severe, with ringing</t>
  </si>
  <si>
    <t>Monocular distance vision loss due to meningitis</t>
  </si>
  <si>
    <t>Distance vision, monocular</t>
  </si>
  <si>
    <t>is blind in one eye and has difficulty judging distances</t>
  </si>
  <si>
    <t>Epilepsy due to meningitis</t>
  </si>
  <si>
    <t>Acute encephalitis</t>
  </si>
  <si>
    <t>Mild behavioral problems due to encephalitis</t>
  </si>
  <si>
    <t>Borderline intellectual disability due to encephalitis</t>
  </si>
  <si>
    <t>Mild intellectual disability due to encephalitis</t>
  </si>
  <si>
    <t>Moderate vision impairment due to encephalitis</t>
  </si>
  <si>
    <t>Severe vision impairment due to encephalitis</t>
  </si>
  <si>
    <t>Blindness due to encephalitis</t>
  </si>
  <si>
    <t>Mild motor impairment due to long term due to encephalitis</t>
  </si>
  <si>
    <t>Moderate motor impairment due to encephalitis</t>
  </si>
  <si>
    <t>Severe motor impairment due to encephalitis</t>
  </si>
  <si>
    <t>Mild motor plus cognitive impairments due to encephalitis</t>
  </si>
  <si>
    <t>Moderate motor plus cognitive impairments due to encephalitis</t>
  </si>
  <si>
    <t>Severe motor plus cognitive impairments due to encephalitis</t>
  </si>
  <si>
    <t>Monocular distance vision loss due to encephalitis</t>
  </si>
  <si>
    <t>Epilepsy due to encephalitis</t>
  </si>
  <si>
    <t>Moderate diphtheria</t>
  </si>
  <si>
    <t>Severe diphtheria</t>
  </si>
  <si>
    <t>Whooping cough</t>
  </si>
  <si>
    <t>Severe tetanus</t>
  </si>
  <si>
    <t>Mild motor impairment due to neonatal tetanus</t>
  </si>
  <si>
    <t>Moderate motor impairment due to neonatal tetanus</t>
  </si>
  <si>
    <t>Severe motor impairment due to neonatal tetanus</t>
  </si>
  <si>
    <t>Mild motor plus cognitive impairments due to neonatal tetanus</t>
  </si>
  <si>
    <t>Moderate motor impairment with blindness due to neonatal tetanus</t>
  </si>
  <si>
    <t>Moderate motor impairment with epilepsy due to neonatal tetanus</t>
  </si>
  <si>
    <t>Moderate motor impairment with blindness and epilepsy due to neonatal tetanus</t>
  </si>
  <si>
    <t>Moderate motor plus cognitive impairment with blindness due to neonatal tetanus</t>
  </si>
  <si>
    <t>Moderate motor plus cognitive impairment with epilepsy due to neonatal tetanus</t>
  </si>
  <si>
    <t>Moderate motor plus cognitive impairment with blindness and epilepsy due to neonatal tetanus</t>
  </si>
  <si>
    <t xml:space="preserve">Severe motor impairment with blindness due to neonatal tetanus </t>
  </si>
  <si>
    <t>Severe motor impairment with epilepsy due to neonatal tetanus</t>
  </si>
  <si>
    <t>Severe motor impairment with blindness and epilepsy due to neonatal tetanus</t>
  </si>
  <si>
    <t>Severe motor plus cognitive impairment with blindness due to neonatal tetanus</t>
  </si>
  <si>
    <t>Severe motor plus cognitive impairment with epilepsy due to neonatal tetanus</t>
  </si>
  <si>
    <t>Severe motor plus cognitive impairment with blindness and epilepsy due to neonatal tetanus</t>
  </si>
  <si>
    <t>Moderate measles</t>
  </si>
  <si>
    <t>Severe measles</t>
  </si>
  <si>
    <t>Chickenpox</t>
  </si>
  <si>
    <t>Herpes zoster</t>
  </si>
  <si>
    <t>has a blistering skin rash that causes pain, with some burning and itching.</t>
  </si>
  <si>
    <t>Asymptomatic acute hepatitis A</t>
  </si>
  <si>
    <t>Moderate acute hepatitis A</t>
  </si>
  <si>
    <t>Severe acute hepatitis A</t>
  </si>
  <si>
    <t>Asymptomatic acute hepatitis B</t>
  </si>
  <si>
    <t>Moderate acute hepatitis B</t>
  </si>
  <si>
    <t>Severe acute hepatitis B</t>
  </si>
  <si>
    <t>Asymptomatic acute hepatitis C</t>
  </si>
  <si>
    <t>Moderate acute hepatitis C</t>
  </si>
  <si>
    <t>Severe acute hepatitis C</t>
  </si>
  <si>
    <t>Asymptomatic acute hepatitis E</t>
  </si>
  <si>
    <t>Moderate acute hepatitis E</t>
  </si>
  <si>
    <t>Severe acute hepatitis E</t>
  </si>
  <si>
    <t>Guillain-BarrÃ© syndrome due to other infectious diseases</t>
  </si>
  <si>
    <t>Mild anemia due to other infectious diseases</t>
  </si>
  <si>
    <t>Moderate anemia due to other infectious diseases</t>
  </si>
  <si>
    <t>Severe anemia due to other infectious diseases</t>
  </si>
  <si>
    <t>Other infectious diseases</t>
  </si>
  <si>
    <t>Mild anemia due to maternal hemorrhage</t>
  </si>
  <si>
    <t>Moderate anemia due to maternal hemorrhage</t>
  </si>
  <si>
    <t>Severe anemia due to maternal hemorrhage</t>
  </si>
  <si>
    <t>Maternal hemorrhage (&lt; 1L blood lost)</t>
  </si>
  <si>
    <t>Maternal hemorrhage (&gt; 1L blood lost)</t>
  </si>
  <si>
    <t>Infertility due to puerperal sepsis</t>
  </si>
  <si>
    <t>Other maternal infections</t>
  </si>
  <si>
    <t>Puerperal sepsis without anemia</t>
  </si>
  <si>
    <t>Long term sequelae of severe pre-eclampsia</t>
  </si>
  <si>
    <t>Tension-type headaches, mild motor plus cognitive impairment</t>
  </si>
  <si>
    <t>Long term sequelae of eclampsia</t>
  </si>
  <si>
    <t>Other hypertensive disorders of pregnancy</t>
  </si>
  <si>
    <t>Severe pre-eclampsia</t>
  </si>
  <si>
    <t>Moderate abdominal pain, tension-type headaches, mild motor plus cognitive impairment</t>
  </si>
  <si>
    <t>Eclampsia</t>
  </si>
  <si>
    <t>Moderate abdominal pain and severe epilepsy</t>
  </si>
  <si>
    <t>Obstructed labor, acute event</t>
  </si>
  <si>
    <t>Rectovaginal fistula</t>
  </si>
  <si>
    <t xml:space="preserve">has an abnormal opening between her vagina and rectum causing flatulence and feces to escape through the vagina. The person gets infections in her vagina, and has pain when urinating. </t>
  </si>
  <si>
    <t>Vesicovaginal fistula</t>
  </si>
  <si>
    <t>has an abnormal opening between the bladder and the vagina, which makes her unable to control urinating. The woman is anxious and depressed.</t>
  </si>
  <si>
    <t>Maternal abortive outcome</t>
  </si>
  <si>
    <t>Ectopic Pregnancy</t>
  </si>
  <si>
    <t>Other maternal disorders</t>
  </si>
  <si>
    <t>Mild motor impairment due to neonatal preterm birth complications &lt;28wks</t>
  </si>
  <si>
    <t>Mild motor impairment due to neonatal preterm birth complications 28-32wks</t>
  </si>
  <si>
    <t>Mild motor impairment due to neonatal preterm birth complications 32-36wks</t>
  </si>
  <si>
    <t>Moderate motor impairment due to neonatal preterm birth complications 28-32wks</t>
  </si>
  <si>
    <t>Moderate motor impairment due to neonatal preterm birth complications &lt;28wks</t>
  </si>
  <si>
    <t>Moderate motor impairment due to neonatal preterm birth complications 32-36wks</t>
  </si>
  <si>
    <t>Severe motor impairment due to neonatal preterm birth complications &lt;28wks</t>
  </si>
  <si>
    <t>Severe motor impairment due to neonatal preterm birth complications 32-36wks</t>
  </si>
  <si>
    <t>Severe motor impairment due to neonatal preterm birth complications 28-32wks</t>
  </si>
  <si>
    <t>Mild motor plus cognitive impairments due to neonatal preterm birth complications &lt;28wks</t>
  </si>
  <si>
    <t>Mild motor plus cognitive impairments due to neonatal preterm birth complications 28-32wks</t>
  </si>
  <si>
    <t>Mild motor plus cognitive impairments due to neonatal preterm birth complications 32-36wks</t>
  </si>
  <si>
    <t>Moderate motor impairment with blindness due to neonatal preterm birth complications &lt;28wks</t>
  </si>
  <si>
    <t>Moderate motor impairment with blindness due to neonatal preterm birth complications 28-32wks</t>
  </si>
  <si>
    <t>Moderate motor impairment with blindness due to neonatal preterm birth complications 32-36wks</t>
  </si>
  <si>
    <t>Moderate motor impairment with epilepsy due to neonatal preterm birth complications 32-36wks</t>
  </si>
  <si>
    <t>Moderate motor impairment with epilepsy due to neonatal preterm birth complications 28-32wks</t>
  </si>
  <si>
    <t>Moderate motor impairment with epilepsy due to neonatal preterm birth complications &lt;28wks</t>
  </si>
  <si>
    <t>Moderate motor impairment with blindness and epilepsy due to neonatal preterm birth complications 32-36wks</t>
  </si>
  <si>
    <t>Moderate motor impairment with blindness and epilepsy due to neonatal preterm birth complications 28-32wks</t>
  </si>
  <si>
    <t>Moderate motor impairment with blindness and epilepsy due to neonatal preterm birth complications &lt;28wks</t>
  </si>
  <si>
    <t>Moderate motor plus cognitive impairment with blindness due to neonatal preterm birth complications 28-32wks</t>
  </si>
  <si>
    <t>Moderate motor plus cognitive impairment with blindness due to neonatal preterm birth complications &lt;28wks</t>
  </si>
  <si>
    <t>Moderate motor plus cognitive impairment with blindness due to neonatal preterm birth complications 32-36wks</t>
  </si>
  <si>
    <t>Moderate motor plus cognitive impairment with epilepsy due to neonatal preterm birth complications 32-36wks</t>
  </si>
  <si>
    <t>Moderate motor plus cognitive impairment with epilepsy due to neonatal preterm birth complications &lt;28wks</t>
  </si>
  <si>
    <t>Moderate motor plus cognitive impairment with epilepsy due to neonatal preterm birth complications 28-32wks</t>
  </si>
  <si>
    <t>Moderate motor plus cognitive impairment with blindness and epilepsy due to neonatal preterm birth complications 32-36wks</t>
  </si>
  <si>
    <t>Moderate motor plus cognitive impairment with blindness and epilepsy due to neonatal preterm birth complications &lt;28wks</t>
  </si>
  <si>
    <t>Moderate motor plus cognitive impairment with blindness and epilepsy due to neonatal preterm birth complications 28-32wks</t>
  </si>
  <si>
    <t xml:space="preserve">Severe motor impairment with blindness due to neonatal preterm birth complications 28-32wks </t>
  </si>
  <si>
    <t xml:space="preserve">Severe motor impairment with blindness due to neonatal preterm birth complications &lt;28wks </t>
  </si>
  <si>
    <t xml:space="preserve">Severe motor impairment with blindness due to neonatal preterm birth complications 32-36wks </t>
  </si>
  <si>
    <t>Severe motor impairment with epilepsy due to neonatal preterm birth complications 32-36wks</t>
  </si>
  <si>
    <t>Severe motor impairment with epilepsy due to neonatal preterm birth complications &lt;28wks</t>
  </si>
  <si>
    <t>Severe motor impairment with epilepsy due to neonatal preterm birth complications 28-32wks</t>
  </si>
  <si>
    <t>Severe motor impairment with blindness and epilepsy due to neonatal preterm birth complications &lt;28wks</t>
  </si>
  <si>
    <t>Severe motor impairment with blindness and epilepsy due to neonatal preterm birth complications 28-32wks</t>
  </si>
  <si>
    <t>Severe motor impairment with blindness and epilepsy due to neonatal preterm birth complications 32-36wks</t>
  </si>
  <si>
    <t>Severe motor plus cognitive impairment with blindness due to neonatal preterm birth complications 28-32wks</t>
  </si>
  <si>
    <t>Severe motor plus cognitive impairment with blindness due to neonatal preterm birth complications 32-36wks</t>
  </si>
  <si>
    <t>Severe motor plus cognitive impairment with blindness due to neonatal preterm birth complications &lt;28wks</t>
  </si>
  <si>
    <t>Severe motor plus cognitive impairment with epilepsy due to neonatal preterm birth complications &lt;28wks</t>
  </si>
  <si>
    <t>Severe motor plus cognitive impairment with epilepsy due to neonatal preterm birth complications 32-36wks</t>
  </si>
  <si>
    <t>Severe motor plus cognitive impairment with epilepsy due to neonatal preterm birth complications 28-32wks</t>
  </si>
  <si>
    <t>Severe motor plus cognitive impairment with blindness and epilepsy due to neonatal preterm birth complications 28-32wks</t>
  </si>
  <si>
    <t>Severe motor plus cognitive impairment with blindness and epilepsy due to neonatal preterm birth complications &lt;28wks</t>
  </si>
  <si>
    <t>Severe motor plus cognitive impairment with blindness and epilepsy due to neonatal preterm birth complications 32-36wks</t>
  </si>
  <si>
    <t>Mild vision impairment due to retinopathy of prematurity</t>
  </si>
  <si>
    <t>Distance vision, mild impairment</t>
  </si>
  <si>
    <t>has some difficulty with distance vision, for example reading signs, but no other problems with eyesight.</t>
  </si>
  <si>
    <t>Moderate vision impairment due to retinopathy of prematurity</t>
  </si>
  <si>
    <t>Severe vision impairment due to retinopathy of prematurity</t>
  </si>
  <si>
    <t>Blindness due to retinopathy of prematurity</t>
  </si>
  <si>
    <t>Asymptomatic retinopathy of prematurity</t>
  </si>
  <si>
    <t>Asymptomatic neonatal preterm birth &lt;28 weeks</t>
  </si>
  <si>
    <t>Asymptomatic neonatal preterm birth 28-&lt;32 wks</t>
  </si>
  <si>
    <t>Asymptomatic neonatal preterm birth 32-&lt;37wks</t>
  </si>
  <si>
    <t>Mild motor impairment due to neonatal encephalopathy due to birth asphyxia and trauma</t>
  </si>
  <si>
    <t>Moderate motor impairment due to neonatal encephalopathy due to birth asphyxia and trauma</t>
  </si>
  <si>
    <t>Severe motor impairment due to neonatal encephalopathy due to birth asphyxia and trauma</t>
  </si>
  <si>
    <t>Mild motor plus cognitive impairments due to neonatal encephalopathy due to birth asphyxia and trauma</t>
  </si>
  <si>
    <t>Moderate motor impairment with blindness due to neonatal encephalopathy due to birth asphyxia and trauma</t>
  </si>
  <si>
    <t>Moderate motor impairment with epilepsy due to neonatal encephalopathy due to birth asphyxia and trauma</t>
  </si>
  <si>
    <t>Moderate motor impairment with blindness and epilepsy due to neonatal encephalopathy due to birth asphyxia and trauma</t>
  </si>
  <si>
    <t>Moderate motor plus cognitive impairment with blindness due to neonatal encephalopathy due to birth asphyxia and trauma</t>
  </si>
  <si>
    <t>Moderate motor plus cognitive impairment with epilepsy due to neonatal encephalopathy due to birth asphyxia and trauma</t>
  </si>
  <si>
    <t>Moderate motor plus cognitive impairment with blindness and epilepsy due to neonatal encephalopathy due to birth asphyxia and trauma</t>
  </si>
  <si>
    <t xml:space="preserve">Severe motor impairment with blindness due to neonatal encephalopathy due to birth asphyxia and trauma </t>
  </si>
  <si>
    <t>Severe motor impairment with epilepsy due to neonatal encephalopathy due to birth asphyxia and trauma</t>
  </si>
  <si>
    <t>Severe motor impairment with blindness and epilepsy due to neonatal encephalopathy due to birth asphyxia and trauma</t>
  </si>
  <si>
    <t>Severe motor plus cognitive impairment with blindness due to neonatal encephalopathy due to birth asphyxia and trauma</t>
  </si>
  <si>
    <t>Severe motor plus cognitive impairment with epilepsy due to neonatal encephalopathy due to birth asphyxia and trauma</t>
  </si>
  <si>
    <t>Severe motor plus cognitive impairment with blindness and epilepsy due to neonatal encephalopathy due to birth asphyxia and trauma</t>
  </si>
  <si>
    <t xml:space="preserve">Asymptomatic neonatal encephalopathy due to birth asphyxia and trauma </t>
  </si>
  <si>
    <t>Mild motor impairment due to neonatal sepsis and other neonatal infections</t>
  </si>
  <si>
    <t>Moderate motor impairment due to neonatal sepsis and other neonatal infections</t>
  </si>
  <si>
    <t>Severe motor impairment due to neonatal sepsis and other neonatal infections</t>
  </si>
  <si>
    <t>Mild motor plus cognitive impairments due to neonatal sepsis and other neonatal infections</t>
  </si>
  <si>
    <t>Moderate motor impairment with blindness due to neonatal sepsis and other neonatal infections</t>
  </si>
  <si>
    <t>Moderate motor impairment with epilepsy due to neonatal sepsis and other neonatal infections</t>
  </si>
  <si>
    <t>Moderate motor impairment with blindness and epilepsy due to neonatal sepsis and other neonatal infections</t>
  </si>
  <si>
    <t>Moderate motor plus cognitive impairment with blindness due to neonatal sepsis and other neonatal infections</t>
  </si>
  <si>
    <t>Moderate motor plus cognitive impairment with epilepsy due to neonatal sepsis and other neonatal infections</t>
  </si>
  <si>
    <t>Moderate motor plus cognitive impairment with blindness and epilepsy due to neonatal sepsis and other neonatal infections</t>
  </si>
  <si>
    <t>Severe motor impairment with blindness due to neonatal sepsis and other neonatal infections</t>
  </si>
  <si>
    <t>Severe motor impairment with epilepsy due to neonatal sepsis and other neonatal infections</t>
  </si>
  <si>
    <t>Severe motor impairment with blindness and epilepsy due to neonatal sepsis and other neonatal infections</t>
  </si>
  <si>
    <t>Severe motor plus cognitive impairment with blindness due to neonatal sepsis and other neonatal infections</t>
  </si>
  <si>
    <t>Severe motor plus cognitive impairment with epilepsy due to neonatal sepsis and other neonatal infections</t>
  </si>
  <si>
    <t>Severe motor plus cognitive impairment with blindness and epilepsy due to neonatal sepsis and other neonatal infections</t>
  </si>
  <si>
    <t>Asymptomatic neonatal sepsis and other neonatal infections</t>
  </si>
  <si>
    <t>Extreme hyperbilirubinemia due to hemolytic disease and other neonatal jaundice, without kernicterus</t>
  </si>
  <si>
    <t>Moderate motor impairment due to hemolytic disease and other neonatal jaundice</t>
  </si>
  <si>
    <t>Severe motor impairment severe due to hemolytic disease and other neonatal jaundice</t>
  </si>
  <si>
    <t>Moderate motor impairment with blindness due to hemolytic disease and other neonatal jaundice</t>
  </si>
  <si>
    <t>Moderate motor impairment with epilepsy due to hemolytic disease and other neonatal jaundice</t>
  </si>
  <si>
    <t>Moderate motor impairment with blindness and epilepsy due to hemolytic disease and other neonatal jaundice</t>
  </si>
  <si>
    <t>Moderate motor plus cognitive impairment with blindness due to hemolytic disease and other neonatal jaundice</t>
  </si>
  <si>
    <t>Moderate motor plus cognitive impairment with epilepsy due to hemolytic disease and other neonatal jaundice</t>
  </si>
  <si>
    <t>Moderate motor plus cognitive impairment with blindness and epilepsy due to hemolytic disease and other neonatal jaundice</t>
  </si>
  <si>
    <t xml:space="preserve">Severe motor impairment with blindness due to hemolytic disease and other neonatal jaundice </t>
  </si>
  <si>
    <t>Severe motor impairment with epilepsy due to hemolytic disease and other neonatal jaundice</t>
  </si>
  <si>
    <t>Severe motor impairment with blindness and epilepsy due to hemolytic disease and other neonatal jaundice</t>
  </si>
  <si>
    <t>Severe motor plus cognitive impairment with blindness due to hemolytic disease and other neonatal jaundice</t>
  </si>
  <si>
    <t>Severe motor plus cognitive impairment with epilepsy due to hemolytic disease and other neonatal jaundice</t>
  </si>
  <si>
    <t>Severe motor plus cognitive impairment with blindness and epilepsy due to hemolytic disease and other neonatal jaundice</t>
  </si>
  <si>
    <t>Other neonatal disorders</t>
  </si>
  <si>
    <t>Moderate wasting with edema</t>
  </si>
  <si>
    <t>Kwashiorkor</t>
  </si>
  <si>
    <t xml:space="preserve">is very tired and irritable and has diarrhea. </t>
  </si>
  <si>
    <t>Severe wasting without edema</t>
  </si>
  <si>
    <t>Moderate wasting without edema</t>
  </si>
  <si>
    <t>Severe wasting with edema</t>
  </si>
  <si>
    <t>Kwashiorkor and severe wasting</t>
  </si>
  <si>
    <t>Visible goiter without symptoms</t>
  </si>
  <si>
    <t>Visible goiter with profound intellectual disability due to iodine deficiency</t>
  </si>
  <si>
    <t>Intellectual disability / mental retardation, profound and Iodine-deficiency goiter</t>
  </si>
  <si>
    <t>Visible goiter with severe intellectual disability due to iodine deficiency</t>
  </si>
  <si>
    <t>Intellectual disability / mental retardation, severe and Iodine-deficiency goiter</t>
  </si>
  <si>
    <t>Vitamin A deficiency, asymptomatic</t>
  </si>
  <si>
    <t>Vitamin A deficiency, with moderate vision impairment</t>
  </si>
  <si>
    <t xml:space="preserve">Vitamin A deficiency, with severe vision impairment </t>
  </si>
  <si>
    <t>Vitamin A deficiency, with blindness</t>
  </si>
  <si>
    <t>Vitamin A deficiency, with mild anemia</t>
  </si>
  <si>
    <t>Vitamin A deficiency, with moderate anemia</t>
  </si>
  <si>
    <t>Vitamin A deficiency, with severe anemia</t>
  </si>
  <si>
    <t>Mild iron-deficiency anemia</t>
  </si>
  <si>
    <t>Moderate iron-deficiency anemia</t>
  </si>
  <si>
    <t>Severe iron-deficiency anemia</t>
  </si>
  <si>
    <t>Other nutritional deficiencies</t>
  </si>
  <si>
    <t>Diagnosis and primary therapy phase of mouth cancer</t>
  </si>
  <si>
    <t xml:space="preserve">Cancer, diagnosis and primary therapy </t>
  </si>
  <si>
    <t>has pain, nausea, fatigue, weight loss and high anxiety.</t>
  </si>
  <si>
    <t>Metastatic phase of mouth cancer</t>
  </si>
  <si>
    <t>Cancer, metastatic</t>
  </si>
  <si>
    <t>has severe pain, extreme fatigue, weight loss and high anxiety.</t>
  </si>
  <si>
    <t>Terminal phase of mouth cancer</t>
  </si>
  <si>
    <t>Terminal phase, with medication (for cancers, end-stage kidney/liver disease)</t>
  </si>
  <si>
    <t>has lost a lot of weight and regularly uses strong medication to avoid constant pain. The person has no appetite, feels nauseous, and needs to spend most of the day in bed.</t>
  </si>
  <si>
    <t>Controlled phase of mouth cancer</t>
  </si>
  <si>
    <t>Diagnosis and primary therapy phase of nasopharynx cancer</t>
  </si>
  <si>
    <t>Metastatic phase of nasopharynx cancer</t>
  </si>
  <si>
    <t>Terminal phase of nasopharynx cancer</t>
  </si>
  <si>
    <t>Controlled phase of nasopharynx cancer</t>
  </si>
  <si>
    <t>Diagnosis and primary therapy phase of other pharynx cancer</t>
  </si>
  <si>
    <t>Metastatic phase of other pharynx cancer</t>
  </si>
  <si>
    <t>Terminal phase of other pharynx cancer</t>
  </si>
  <si>
    <t>Controlled phase of other pharynx cancer</t>
  </si>
  <si>
    <t>Diagnosis and primary therapy phase of esophageal cancer</t>
  </si>
  <si>
    <t>Metastatic phase of esophageal cancer</t>
  </si>
  <si>
    <t>Terminal phase of esophageal cancer</t>
  </si>
  <si>
    <t>Controlled phase of esophageal cancer</t>
  </si>
  <si>
    <t>Diagnosis and primary therapy phase of stomach cancer</t>
  </si>
  <si>
    <t>Metastatic phase of stomach cancer</t>
  </si>
  <si>
    <t>Terminal phase of stomach cancer</t>
  </si>
  <si>
    <t>Controlled phase of stomach cancer</t>
  </si>
  <si>
    <t>Diagnosis and primary therapy phase of colon and rectum cancers</t>
  </si>
  <si>
    <t>Metastatic phase of colon and rectum cancers</t>
  </si>
  <si>
    <t>Stoma from colon and rectum cancers, beyond 10 years</t>
  </si>
  <si>
    <t>Stoma</t>
  </si>
  <si>
    <t xml:space="preserve">has a pouch attached to an opening in the belly to collect and empty stools. </t>
  </si>
  <si>
    <t>Terminal phase of colon and rectum cancers</t>
  </si>
  <si>
    <t>Controlled phase of colon and rectum cancers, without stoma</t>
  </si>
  <si>
    <t>Controlled phase of colon and rectum cancers, with stoma</t>
  </si>
  <si>
    <t>Stoma and generic medication</t>
  </si>
  <si>
    <t>Diagnosis and primary therapy phase of liver cancer due to hepatitis B</t>
  </si>
  <si>
    <t>Metastatic phase of liver cancer due to hepatitis B</t>
  </si>
  <si>
    <t>Terminal phase of liver cancer due to hepatitis B</t>
  </si>
  <si>
    <t>Controlled phase of liver cancer due to hepatitis B</t>
  </si>
  <si>
    <t>Diagnosis and primary therapy phase of liver cancer due to hepatitis C</t>
  </si>
  <si>
    <t>Metastatic phase of liver cancer due to hepatitis C</t>
  </si>
  <si>
    <t>Terminal phase of liver cancer due to hepatitis C</t>
  </si>
  <si>
    <t>Controlled phase of liver cancer due to hepatitis C</t>
  </si>
  <si>
    <t>Diagnosis and primary therapy phase of liver cancer due to alcohol use</t>
  </si>
  <si>
    <t>Metastatic phase of liver cancer due to alcohol use</t>
  </si>
  <si>
    <t>Terminal phase of liver cancer due to alcohol use</t>
  </si>
  <si>
    <t>Controlled phase of liver cancer due to alcohol use</t>
  </si>
  <si>
    <t>Diagnosis and primary therapy phase of liver cancer due to NASH</t>
  </si>
  <si>
    <t>Metastatic phase of liver cancer due to NASH</t>
  </si>
  <si>
    <t>Terminal phase of liver cancer due to NASH</t>
  </si>
  <si>
    <t>Terminal phase, without medication (for cancers, end-stage kidney/liver disease)</t>
  </si>
  <si>
    <t>has lost a lot of weight and has constant pain. The person has no appetite, feels nauseous, and needs to spend most of the day in bed.</t>
  </si>
  <si>
    <t>Controlled phase of liver cancer due to NASH</t>
  </si>
  <si>
    <t>Diagnosis and primary therapy phase of hepatoblastoma</t>
  </si>
  <si>
    <t>Metastatic phase of hepatoblastoma</t>
  </si>
  <si>
    <t>Terminal phase of hepatoblastoma</t>
  </si>
  <si>
    <t>Controlled phase of hepatoblastoma</t>
  </si>
  <si>
    <t>Diagnosis and primary therapy phase of liver cancer due to other causes</t>
  </si>
  <si>
    <t>Metastatic phase of liver cancer due to other causes</t>
  </si>
  <si>
    <t>Terminal phase of liver cancer due to other causes</t>
  </si>
  <si>
    <t>Controlled phase of liver cancer due to other causes</t>
  </si>
  <si>
    <t>Diagnosis and primary therapy phase of gallbladder and biliary tract cancer</t>
  </si>
  <si>
    <t>Metastatic phase of gallbladder and biliary tract cancer</t>
  </si>
  <si>
    <t>Terminal phase of gallbladder and biliary tract cancer</t>
  </si>
  <si>
    <t>Controlled phase of gallbladder and biliary tract cancer</t>
  </si>
  <si>
    <t>Diagnosis and primary therapy phase of pancreatic cancer</t>
  </si>
  <si>
    <t>Metastatic phase of pancreatic cancer</t>
  </si>
  <si>
    <t>Terminal phase of pancreatic cancer</t>
  </si>
  <si>
    <t>Controlled phase of pancreatic cancer</t>
  </si>
  <si>
    <t>Diagnosis and primary therapy phase of larynx cancer</t>
  </si>
  <si>
    <t>Metastatic phase of larynx cancer</t>
  </si>
  <si>
    <t>Terminal phase of larynx cancer</t>
  </si>
  <si>
    <t>Laryngectomy from larynx cancer, beyond 10 years</t>
  </si>
  <si>
    <t>Speech problems</t>
  </si>
  <si>
    <t xml:space="preserve">has difficulty speaking, and others find it difficult to understand. </t>
  </si>
  <si>
    <t>Controlled phase of larynx cancer, without laryngectomy</t>
  </si>
  <si>
    <t>Controlled phase of larynx cancer, with laryngectomy</t>
  </si>
  <si>
    <t>Speech problems and generic medication</t>
  </si>
  <si>
    <t>Diagnosis and primary therapy phase of lung, bronchus, and trachea cancer</t>
  </si>
  <si>
    <t>Metastatic phase of lung, bronchus, and trachea cancer</t>
  </si>
  <si>
    <t>Terminal phase of lung, bronchus, and trachea cancer</t>
  </si>
  <si>
    <t>Controlled phase of lung, bronchus, and trachea cancer</t>
  </si>
  <si>
    <t>Diagnosis and primary therapy phase of malignant skin melanoma</t>
  </si>
  <si>
    <t>Metastatic phase of malignant skin melanoma</t>
  </si>
  <si>
    <t>Terminal phase of malignant skin melanoma</t>
  </si>
  <si>
    <t>Controlled phase of malignant skin melanoma</t>
  </si>
  <si>
    <t>Mild disfigurement due to squamous cell carcinoma</t>
  </si>
  <si>
    <t>Moderate disfigurement due to squamous cell carcinoma</t>
  </si>
  <si>
    <t>Severe disfigurement due to squamous cell carcinoma</t>
  </si>
  <si>
    <t>Disfigurement, level 3, with itch/pain</t>
  </si>
  <si>
    <t>has an obvious physical deformity that is very painful and itchy. The physical deformity makes others uncomfortable, which causes the person to avoid social contact, feel worried, sleep poorly, and think about suicide.</t>
  </si>
  <si>
    <t>Disfigurement due to basal cell carcinoma</t>
  </si>
  <si>
    <t>Basal cell carcinoma without disfigurement</t>
  </si>
  <si>
    <t>Diagnosis and primary therapy phase of soft tissue and other extraosseous sarcomas</t>
  </si>
  <si>
    <t>Metastatic phase of soft tissue and other extraosseous sarcomas</t>
  </si>
  <si>
    <t>Terminal phase of soft tissue and other extraosseous sarcomas</t>
  </si>
  <si>
    <t>Controlled phase of soft tissue and other extraosseous sarcomas</t>
  </si>
  <si>
    <t>Diagnosis and primary therapy phase of malignant bone tumors</t>
  </si>
  <si>
    <t>Metastatic phase of malignant bone tumors</t>
  </si>
  <si>
    <t>Terminal phase of malignant bone tumors</t>
  </si>
  <si>
    <t>Controlled phase of malignant bone tumors</t>
  </si>
  <si>
    <t>Diagnosis and primary therapy phase of breast cancer</t>
  </si>
  <si>
    <t>Metastatic phase of breast cancer</t>
  </si>
  <si>
    <t>Mastectomy from breast cancer, beyond 10 years</t>
  </si>
  <si>
    <t>Mastectomy</t>
  </si>
  <si>
    <t xml:space="preserve">had one of her breasts removed and sometimes has pain or swelling in the arms. </t>
  </si>
  <si>
    <t>Terminal phase of breast cancer</t>
  </si>
  <si>
    <t>Controlled phase of breast cancer, without mastectomy</t>
  </si>
  <si>
    <t>Controlled phase of breast cancer, with mastectomy</t>
  </si>
  <si>
    <t>Mastectomy and generic medication</t>
  </si>
  <si>
    <t>Diagnosis and primary therapy phase of cervical cancer</t>
  </si>
  <si>
    <t>Metastatic phase of cervical cancer</t>
  </si>
  <si>
    <t>Terminal phase of cervical cancer</t>
  </si>
  <si>
    <t>Controlled phase of cervical cancer</t>
  </si>
  <si>
    <t>Diagnosis and primary therapy phase of uterine cancer</t>
  </si>
  <si>
    <t>Metastatic phase of uterine cancer</t>
  </si>
  <si>
    <t>Terminal phase of uterine cancer</t>
  </si>
  <si>
    <t>Controlled phase of uterine cancer</t>
  </si>
  <si>
    <t>Diagnosis and primary therapy phase of ovarian cancer</t>
  </si>
  <si>
    <t>Metastatic phase of ovarian cancer</t>
  </si>
  <si>
    <t>Terminal phase of ovarian cancer</t>
  </si>
  <si>
    <t>Controlled phase of ovarian cancer</t>
  </si>
  <si>
    <t>Diagnosis and primary therapy phase of prostate cancer</t>
  </si>
  <si>
    <t>Metastatic phase of prostate cancer</t>
  </si>
  <si>
    <t>Terminal phase of prostate cancer</t>
  </si>
  <si>
    <t>Controlled phase of prostate cancer, without impotence or incontinence</t>
  </si>
  <si>
    <t>Controlled phase of prostate cancer, with impotence</t>
  </si>
  <si>
    <t>Impotence and generic medication</t>
  </si>
  <si>
    <t>Controlled phase of prostate cancer, with incontinence</t>
  </si>
  <si>
    <t>Incontinence and generic medication</t>
  </si>
  <si>
    <t>Incontinence from prostate cancer, beyond 10 years</t>
  </si>
  <si>
    <t>Urinary incontinence</t>
  </si>
  <si>
    <t>cannot control urinating.</t>
  </si>
  <si>
    <t>Impotence from prostate cancer, beyond 10 years</t>
  </si>
  <si>
    <t>Impotence</t>
  </si>
  <si>
    <t>has difficulty in obtaining or maintaining an erection.</t>
  </si>
  <si>
    <t>Diagnosis and primary therapy phase of testicular cancer</t>
  </si>
  <si>
    <t>Metastatic phase of testicular cancer</t>
  </si>
  <si>
    <t>Terminal phase of testicular cancer</t>
  </si>
  <si>
    <t>Controlled phase of testicular cancer</t>
  </si>
  <si>
    <t>Diagnosis and primary therapy phase of kidney cancer</t>
  </si>
  <si>
    <t>Metastatic phase of kidney cancer</t>
  </si>
  <si>
    <t>Terminal phase of kidney cancer</t>
  </si>
  <si>
    <t>Controlled phase of kidney cancer</t>
  </si>
  <si>
    <t>Diagnosis and primary therapy phase of bladder cancer</t>
  </si>
  <si>
    <t>Metastatic phase of bladder cancer</t>
  </si>
  <si>
    <t>Terminal phase of bladder cancer</t>
  </si>
  <si>
    <t>Incontinence from bladder cancer, beyond 10 years</t>
  </si>
  <si>
    <t>Controlled phase of bladder cancer, without incontinence</t>
  </si>
  <si>
    <t>Controlled phase of bladder cancer, with incontinence</t>
  </si>
  <si>
    <t>Diagnosis and primary therapy phase of brain and central nervous system cancers</t>
  </si>
  <si>
    <t>Metastatic phase of brain and central nervous system cancers</t>
  </si>
  <si>
    <t>Terminal phase of brain and central nervous system cancers</t>
  </si>
  <si>
    <t>Controlled phase of brain and central nervous system cancers</t>
  </si>
  <si>
    <t>Diagnosis and primary therapy phase of retinoblastoma</t>
  </si>
  <si>
    <t>Metastatic phase of retinoblastoma</t>
  </si>
  <si>
    <t>Terminal phase of retinoblastoma</t>
  </si>
  <si>
    <t>Controlled phase of retinoblastoma</t>
  </si>
  <si>
    <t>Diagnosis and primary therapy phase of other eye cancers</t>
  </si>
  <si>
    <t>Metastatic phase of other eye cancers</t>
  </si>
  <si>
    <t>Terminal phase of other eye cancers</t>
  </si>
  <si>
    <t>Controlled phase of other eye cancers</t>
  </si>
  <si>
    <t>Diagnosis and primary therapy phase of neuroblastoma and other peripheral nervous cell tumors</t>
  </si>
  <si>
    <t>Metastatic phase of neuroblastoma and other peripheral nervous cell tumors</t>
  </si>
  <si>
    <t>Terminal phase of neuroblastoma and other peripheral nervous cell tumors</t>
  </si>
  <si>
    <t>Controlled phase of neuroblastoma and other peripheral nervous cell tumors</t>
  </si>
  <si>
    <t>Diagnosis and primary therapy phase of thyroid cancer</t>
  </si>
  <si>
    <t>Metastatic phase of thyroid cancer</t>
  </si>
  <si>
    <t>Terminal phase of thyroid cancer</t>
  </si>
  <si>
    <t>Controlled phase of thyroid cancer</t>
  </si>
  <si>
    <t>Diagnosis and primary therapy phase of mesothelioma</t>
  </si>
  <si>
    <t>Metastatic phase of mesothelioma</t>
  </si>
  <si>
    <t>Terminal phase of mesothelioma</t>
  </si>
  <si>
    <t>Controlled phase of mesothelioma</t>
  </si>
  <si>
    <t>Diagnosis and primary therapy phase of Hodgkin disease</t>
  </si>
  <si>
    <t>Metastatic phase of Hodgkin disease</t>
  </si>
  <si>
    <t>Terminal phase of Hodgkin disease</t>
  </si>
  <si>
    <t>Controlled phase of Hodgkin disease</t>
  </si>
  <si>
    <t>Diagnosis and primary therapy phase of Burkitt lymphoma</t>
  </si>
  <si>
    <t>Metastatic phase of Burkitt lymphoma</t>
  </si>
  <si>
    <t>Terminal phase of Burkitt lymphoma</t>
  </si>
  <si>
    <t>Controlled phase of Burkitt lymphoma</t>
  </si>
  <si>
    <t>Diagnosis and primary therapy phase of other non-Hodgkin lymphoma</t>
  </si>
  <si>
    <t>Metastatic phase of other non-Hodgkin lymphoma</t>
  </si>
  <si>
    <t>Terminal phase of other non-Hodgkin lymphoma</t>
  </si>
  <si>
    <t>Controlled phase of other non-Hodgkin lymphoma</t>
  </si>
  <si>
    <t>Diagnosis and primary therapy phase of multiple myeloma</t>
  </si>
  <si>
    <t>Metastatic phase of multiple myeloma</t>
  </si>
  <si>
    <t>Terminal phase of multiple myeloma</t>
  </si>
  <si>
    <t>Controlled phase of multiple myeloma</t>
  </si>
  <si>
    <t>Diagnosis and primary therapy phase of acute lymphoid leukemia</t>
  </si>
  <si>
    <t>Metastatic phase of acute lymphoid leukemia</t>
  </si>
  <si>
    <t>Terminal phase of acute lymphoid leukemia</t>
  </si>
  <si>
    <t>Controlled phase of acute lymphoid leukemia</t>
  </si>
  <si>
    <t>Diagnosis and primary therapy phase of chronic lymphoid leukemia</t>
  </si>
  <si>
    <t>Metastatic phase of chronic lymphoid leukemia</t>
  </si>
  <si>
    <t>Terminal phase of chronic lymphoid leukemia</t>
  </si>
  <si>
    <t>Controlled phase of chronic lymphoid leukemia</t>
  </si>
  <si>
    <t>Diagnosis and primary therapy phase of acute myeloid leukemia</t>
  </si>
  <si>
    <t>Metastatic phase of acute myeloid leukemia</t>
  </si>
  <si>
    <t>Terminal phase of acute myeloid leukemia</t>
  </si>
  <si>
    <t>Controlled phase of acute myeloid leukemia</t>
  </si>
  <si>
    <t>Diagnosis and primary therapy phase of chronic myeloid leukemia</t>
  </si>
  <si>
    <t>Metastatic phase of chronic myeloid leukemia</t>
  </si>
  <si>
    <t>Terminal phase of chronic myeloid leukemia</t>
  </si>
  <si>
    <t>Controlled phase of chronic myeloid leukemia</t>
  </si>
  <si>
    <t>Diagnosis and primary therapy phase of other leukemia</t>
  </si>
  <si>
    <t>Metastatic phase of other leukemia</t>
  </si>
  <si>
    <t>Terminal phase of other leukemia</t>
  </si>
  <si>
    <t>Controlled phase of other leukemia</t>
  </si>
  <si>
    <t>Diagnosis and primary therapy phase of other malignant neoplasms</t>
  </si>
  <si>
    <t>Metastatic phase of other malignant neoplasms</t>
  </si>
  <si>
    <t>Terminal phase of other malignant neoplasms</t>
  </si>
  <si>
    <t>Controlled phase of other malignant neoplasms</t>
  </si>
  <si>
    <t>Myelodysplastic, myeloproliferative, and other hematopoietic neoplasms</t>
  </si>
  <si>
    <t>Benign and in situ intestinal neoplasms</t>
  </si>
  <si>
    <t>Benign and in situ cervical and uterine neoplasms</t>
  </si>
  <si>
    <t>Other benign and in situ neoplasms</t>
  </si>
  <si>
    <t xml:space="preserve">Rheumatic heart disease, without heart failure </t>
  </si>
  <si>
    <t>Mild heart failure due to rheumatic heart disease</t>
  </si>
  <si>
    <t>Moderate heart failure due to rheumatic heart disease</t>
  </si>
  <si>
    <t>Severe heart failure due to rheumatic heart disease</t>
  </si>
  <si>
    <t>Controlled, medically managed heart failure due to rheumatic heart disease</t>
  </si>
  <si>
    <t>Asymptomatic ischemic heart disease following myocardial infarction</t>
  </si>
  <si>
    <t>Mild ischemic heart disease</t>
  </si>
  <si>
    <t>Angina pectoris, mild</t>
  </si>
  <si>
    <t>has chest pain that occurs with strenuous physical activity, such as running or lifting heavy objects. After a brief rest, the pain goes away.</t>
  </si>
  <si>
    <t>Moderate ischemic heart disease</t>
  </si>
  <si>
    <t>Angina pectoris, moderate</t>
  </si>
  <si>
    <t>has chest pain that occurs with moderate physical activity, such as walking uphill or more than half a kilometer (around a quarter-mile) on level ground. After a brief rest, the pain goes away.</t>
  </si>
  <si>
    <t>Severe ischemic heart disease</t>
  </si>
  <si>
    <t>Angina pectoris, severe</t>
  </si>
  <si>
    <t>has chest pain that occurs with minimal physical activity, such as walking only a short distance. After a brief rest, the pain goes away. The person avoids most physical activities because of the pain.</t>
  </si>
  <si>
    <t>Asymptomatic ischemic heart disease</t>
  </si>
  <si>
    <t>Mild heart failure due to ischemic heart disease</t>
  </si>
  <si>
    <t>Moderate heart failure due to ischemic heart disease</t>
  </si>
  <si>
    <t>Severe heart failure due to ischemic heart disease</t>
  </si>
  <si>
    <t>Controlled, medically managed heart failure due ischemic heart disease</t>
  </si>
  <si>
    <t>Acute myocardial infarction first 2 days</t>
  </si>
  <si>
    <t>Acute myocardial infarction, days 1-2</t>
  </si>
  <si>
    <t>has severe chest pain that becomes worse with any physical activity,. The person feels nauseous, short of breath, and very anxious.</t>
  </si>
  <si>
    <t>Acute myocardial infarction 3 to 28 days</t>
  </si>
  <si>
    <t>Acute myocardial infarction, days 3-28</t>
  </si>
  <si>
    <t>gets short of breath after heavy physical activity, and tires easily, but has no problems when at rest. The person has to take medication every day and has some anxiety.</t>
  </si>
  <si>
    <t>Acute ischemic stroke severity level 1</t>
  </si>
  <si>
    <t>Stroke, long-term consequences, mild</t>
  </si>
  <si>
    <t>has some difficulty in moving around and some weakness in one hand, but is able to walk without help.</t>
  </si>
  <si>
    <t>Acute ischemic stroke severity level 2, without heart failure</t>
  </si>
  <si>
    <t>Stroke, long-term consequences, moderate</t>
  </si>
  <si>
    <t>has some difficulty in moving around, and in using the hands for lifting and holding things, dressing and grooming.</t>
  </si>
  <si>
    <t>Acute ischemic stroke severity level 2, with asymptomatic heart failure</t>
  </si>
  <si>
    <t>Stroke, long-term consequences, moderate and Generic uncomplicated disease: worry and daily medication</t>
  </si>
  <si>
    <t>Acute ischemic stroke severity level 2, with mild heart failure</t>
  </si>
  <si>
    <t>Stroke, long-term consequences, moderate; Heart failure, mild</t>
  </si>
  <si>
    <t>Acute ischemic stroke severity level 2, with moderate heart failure</t>
  </si>
  <si>
    <t>Stroke, long-term consequences, moderate; Heart failure, moderate</t>
  </si>
  <si>
    <t>Acute ischemic stroke severity level 2, with severe heart failure</t>
  </si>
  <si>
    <t>Stroke, long-term consequences, moderate; Heart failure, severe</t>
  </si>
  <si>
    <t>Acute ischemic stroke severity level 3, without heart failure</t>
  </si>
  <si>
    <t>Stroke, long-term consequences, moderate plus cognition problems</t>
  </si>
  <si>
    <t>has some difficulty in moving around, in using the hands for lifting and holding things, dressing and grooming, and in speaking. The person is often forgetful and confused.</t>
  </si>
  <si>
    <t>Acute ischemic stroke severity level 3, with asymptomatic heart failure</t>
  </si>
  <si>
    <t>Stroke, long-term consequences, moderate plus cognition problems and Generic uncomplicated disease: worry and daily medication</t>
  </si>
  <si>
    <t>Acute ischemic stroke severity level 3, with mild heart failure</t>
  </si>
  <si>
    <t>Stroke, long-term consequences, moderate plus cognition problems; Heart failure, mild</t>
  </si>
  <si>
    <t>Acute ischemic stroke severity level 3, with moderate heart failure</t>
  </si>
  <si>
    <t>Stroke, long-term consequences, moderate plus cognition problems; Heart failure, moderate</t>
  </si>
  <si>
    <t>Acute ischemic stroke severity level 3, with severe heart failure</t>
  </si>
  <si>
    <t>Stroke, long-term consequences, moderate plus cognition problems; Heart failure, severe</t>
  </si>
  <si>
    <t>Acute ischemic stroke severity level 4, without heart failure</t>
  </si>
  <si>
    <t>Stroke, long-term consequences, severe</t>
  </si>
  <si>
    <t>is confined to bed or a wheelchair, has difficulty speaking and depends on others for feeding, toileting and dressing.</t>
  </si>
  <si>
    <t>Acute ischemic stroke severity level 4, with asymptomatic heart failure</t>
  </si>
  <si>
    <t>Stroke, long-term consequences, severe and Generic uncomplicated disease: worry and daily medication</t>
  </si>
  <si>
    <t>Acute ischemic stroke severity level 4, with mild heart failure</t>
  </si>
  <si>
    <t>Stroke, long-term consequences, severe; Heart failure, mild</t>
  </si>
  <si>
    <t>Acute ischemic stroke severity level 4, with moderate heart failure</t>
  </si>
  <si>
    <t>Stroke, long-term consequences, severe; Heart failure, moderate</t>
  </si>
  <si>
    <t>Acute ischemic stroke severity level 4, with severe heart failure</t>
  </si>
  <si>
    <t>Stroke, long-term consequences, severe; Heart failure, severe</t>
  </si>
  <si>
    <t>Acute ischemic stroke severity level 5, without heart failure</t>
  </si>
  <si>
    <t>Stroke, long-term consequences, severe plus cognition problems</t>
  </si>
  <si>
    <t>is confined to bed or a wheelchair, depends on others for feeding, toileting and dressing, and has difficulty speaking, thinking clearly and remembering things.</t>
  </si>
  <si>
    <t>Acute ischemic stroke severity level 5, with asymptomatic heart failure</t>
  </si>
  <si>
    <t>Stroke, long-term consequences, severe plus cognition problems and Generic uncomplicated disease: worry and daily medication</t>
  </si>
  <si>
    <t>Acute ischemic stroke severity level 5, with mild heart failure</t>
  </si>
  <si>
    <t>Stroke, long-term consequences, severe plus cognition problems; Heart failure, mild</t>
  </si>
  <si>
    <t>Acute ischemic stroke severity level 5, with moderate heart failure</t>
  </si>
  <si>
    <t>Stroke, long-term consequences, severe plus cognition problems; Heart failure, moderate</t>
  </si>
  <si>
    <t>Acute ischemic stroke severity level 5, with severe heart failure</t>
  </si>
  <si>
    <t>Stroke, long-term consequences, severe plus cognition problems; Heart failure, severe</t>
  </si>
  <si>
    <t>Asymptomatic chronic ischemic stroke</t>
  </si>
  <si>
    <t>Chronic ischemic stroke severity level 1</t>
  </si>
  <si>
    <t>Acute intracerebral hemorrhage severity level 1</t>
  </si>
  <si>
    <t>Acute intracerebral hemorrhage severity level 2, without heart failure</t>
  </si>
  <si>
    <t>Acute intracerebral hemorrhage severity level 2, with asymptomatic heart failure</t>
  </si>
  <si>
    <t>Acute intracerebral hemorrhage severity level 2, with mild heart failure</t>
  </si>
  <si>
    <t>Acute intracerebral hemorrhage severity level 2, with moderate heart failure</t>
  </si>
  <si>
    <t>Acute intracerebral hemorrhage severity level 2, with severe heart failure</t>
  </si>
  <si>
    <t>Acute intracerebral hemorrhage severity level 3, without heart failure</t>
  </si>
  <si>
    <t>Acute intracerebral hemorrhage severity level 3, with asymptomatic heart failure</t>
  </si>
  <si>
    <t>Acute intracerebral hemorrhage severity level 3, with mild heart failure</t>
  </si>
  <si>
    <t>Acute intracerebral hemorrhage severity level 3, with moderate heart failure</t>
  </si>
  <si>
    <t>Acute intracerebral hemorrhage severity level 3, with severe heart failure</t>
  </si>
  <si>
    <t>Acute intracerebral hemorrhage severity level 4, without heart failure</t>
  </si>
  <si>
    <t>Acute intracerebral hemorrhage severity level 4, with asymptomatic heart failure</t>
  </si>
  <si>
    <t>Acute intracerebral hemorrhage severity level 4, with mild heart failure</t>
  </si>
  <si>
    <t>Acute intracerebral hemorrhage severity level 4, with moderate heart failure</t>
  </si>
  <si>
    <t>Acute intracerebral hemorrhage severity level 4, with severe heart failure</t>
  </si>
  <si>
    <t>Acute intracerebral hemorrhage severity level 5, without heart failure</t>
  </si>
  <si>
    <t>Acute intracerebral hemorrhage severity level 5, with asymptomatic heart failure</t>
  </si>
  <si>
    <t>Acute intracerebral hemorrhage severity level 5, with mild heart failure</t>
  </si>
  <si>
    <t>Acute intracerebral hemorrhage severity level 5, with moderate heart failure</t>
  </si>
  <si>
    <t>Acute intracerebral hemorrhage severity level 5, with severe heart failure</t>
  </si>
  <si>
    <t>Asymptomatic chronic intracerebral hemorrhage</t>
  </si>
  <si>
    <t>Chronic intracerebral hemorrhage severity level 1</t>
  </si>
  <si>
    <t>Acute subarachnoid hemorrhage severity level 1</t>
  </si>
  <si>
    <t>Acute subarachnoid hemorrhage severity level 2, without heart failure</t>
  </si>
  <si>
    <t>Acute subarachnoid hemorrhage severity level 2, with asymptomatic heart failure</t>
  </si>
  <si>
    <t>Acute subarachnoid hemorrhage severity level 2, with mild heart failure</t>
  </si>
  <si>
    <t>Acute subarachnoid hemorrhage severity level 2, with moderate heart failure</t>
  </si>
  <si>
    <t>Acute subarachnoid hemorrhage severity level 2, with severe heart failure</t>
  </si>
  <si>
    <t>Acute subarachnoid hemorrhage severity level 3, without heart failure</t>
  </si>
  <si>
    <t>Acute subarachnoid hemorrhage severity level 3, with asymptomatic heart failure</t>
  </si>
  <si>
    <t>Acute subarachnoid hemorrhage severity level 3, with mild heart failure</t>
  </si>
  <si>
    <t>Acute subarachnoid hemorrhage severity level 3, with moderate heart failure</t>
  </si>
  <si>
    <t>Acute subarachnoid hemorrhage severity level 3, with severe heart failure</t>
  </si>
  <si>
    <t>Acute subarachnoid hemorrhage severity level 4, without heart failure</t>
  </si>
  <si>
    <t>Acute subarachnoid hemorrhage severity level 4, with asymptomatic heart failure</t>
  </si>
  <si>
    <t>Acute subarachnoid hemorrhage severity level 4, with mild heart failure</t>
  </si>
  <si>
    <t>Acute subarachnoid hemorrhage severity level 4, with moderate heart failure</t>
  </si>
  <si>
    <t>Acute subarachnoid hemorrhage severity level 4, with severe heart failure</t>
  </si>
  <si>
    <t>Acute subarachnoid hemorrhage severity level 5, without heart failure</t>
  </si>
  <si>
    <t>Acute subarachnoid hemorrhage severity level 5, with asymptomatic heart failure</t>
  </si>
  <si>
    <t>Acute subarachnoid hemorrhage severity level 5, with mild heart failure</t>
  </si>
  <si>
    <t>Acute subarachnoid hemorrhage severity level 5, with moderate heart failure</t>
  </si>
  <si>
    <t>Acute subarachnoid hemorrhage severity level 5, with severe heart failure</t>
  </si>
  <si>
    <t>Asymptomatic chronic subarachnoid hemorrhage</t>
  </si>
  <si>
    <t>Chronic subarachnoid hemorrhage severity level 1</t>
  </si>
  <si>
    <t>Mild heart failure due to hypertensive heart disease</t>
  </si>
  <si>
    <t>Moderate heart failure due to hypertensive heart disease</t>
  </si>
  <si>
    <t>Severe heart failure due to hypertensive heart disease</t>
  </si>
  <si>
    <t>Controlled, medically managed heart failure due to hypertensive heart disease</t>
  </si>
  <si>
    <t>Mild heart failure due to calcific aortic valve disease</t>
  </si>
  <si>
    <t>Moderate heart failure due to calcific aortic valve disease</t>
  </si>
  <si>
    <t>Severe heart failure due to calcific aortic valve disease</t>
  </si>
  <si>
    <t>Controlled, medically managed heart failure due to calcific aortic valve disease</t>
  </si>
  <si>
    <t>Calcific aortic valve disease after valve intervention</t>
  </si>
  <si>
    <t>Asymptomatic calcific aortic valve disease</t>
  </si>
  <si>
    <t>Mild heart failure due to degenerative mitral valve disease</t>
  </si>
  <si>
    <t>Moderate heart failure due to degenerative mitral valve disease</t>
  </si>
  <si>
    <t>Severe heart failure due to degenerative mitral valve disease</t>
  </si>
  <si>
    <t>Controlled, medically managed heart failure due to degenerative mitral valve disease</t>
  </si>
  <si>
    <t>Degenerative mitral valve disease after valve intervention</t>
  </si>
  <si>
    <t>Asymptomatic degenerative mitral valve disease</t>
  </si>
  <si>
    <t>Mild heart failure due to other non-rheumatic valve disease</t>
  </si>
  <si>
    <t>Moderate heart failure due to other non-rheumatic valve disease</t>
  </si>
  <si>
    <t>Severe heart failure due to other non-rheumatic valve disease</t>
  </si>
  <si>
    <t>Controlled, medically managed heart failure due to other non-rheumatic valve disease</t>
  </si>
  <si>
    <t>Acute myocarditis</t>
  </si>
  <si>
    <t>Mild heart failure due to myocarditis</t>
  </si>
  <si>
    <t>Moderate heart failure due to myocarditis</t>
  </si>
  <si>
    <t>Severe heart failure due to myocarditis</t>
  </si>
  <si>
    <t>Controlled, medically managed heart failure due to myocarditis</t>
  </si>
  <si>
    <t>Mild heart failure due to alcoholic cardiomyopathy</t>
  </si>
  <si>
    <t>Moderate heart failure due to alcoholic cardiomyopathy</t>
  </si>
  <si>
    <t>Severe heart failure due to alcoholic cardiomyopathy</t>
  </si>
  <si>
    <t>Controlled, medically managed heart failure due to alcoholic cardiomyopathy</t>
  </si>
  <si>
    <t>Mild heart failure due to other cardiomyopathy</t>
  </si>
  <si>
    <t>Moderate heart failure due to other cardiomyopathy</t>
  </si>
  <si>
    <t>Severe heart failure due to other cardiomyopathy</t>
  </si>
  <si>
    <t>Controlled, medically managed heart failure due to other cardiomyopathy</t>
  </si>
  <si>
    <t>Pulmonary arterial hypertension with no heart failure</t>
  </si>
  <si>
    <t>Mild heart failure due to Pulmonary Arterial Hypertension</t>
  </si>
  <si>
    <t>Moderate heart failure due to Pulmonary Arterial Hypertension</t>
  </si>
  <si>
    <t>Severe heart failure due to Pulmonary Arterial Hypertension</t>
  </si>
  <si>
    <t>Controlled, medically managed heart failure due to Pulmonary Arterial Hypertension</t>
  </si>
  <si>
    <t>Symptomatic atrial fibrillation with asymptomatic heart failure</t>
  </si>
  <si>
    <t>Symptomatic atrial fibrilation with mild heart failure</t>
  </si>
  <si>
    <t>Symptomatic atrial fibrilation with moderate heart failure</t>
  </si>
  <si>
    <t>Symptomatic atrial fibrillation with severe heart failure</t>
  </si>
  <si>
    <t>Symptomatic atrial fibrillation with no heart failure</t>
  </si>
  <si>
    <t>Asymptomatic atrial fibrillation and flutter</t>
  </si>
  <si>
    <t>Symptomatic claudication due to peripheral arterial disease</t>
  </si>
  <si>
    <t>Claudication</t>
  </si>
  <si>
    <t>has cramping pains in the legs after walking a medium distance. The pain goes away after a short rest.</t>
  </si>
  <si>
    <t>Asymptomatic peripheral arterial disease</t>
  </si>
  <si>
    <t>Moderate endocarditis</t>
  </si>
  <si>
    <t>Severe endocarditis</t>
  </si>
  <si>
    <t>Mild heart failure due to endocarditis</t>
  </si>
  <si>
    <t>Moderate heart failure due to endocarditis</t>
  </si>
  <si>
    <t>Severe heart failure due to endocarditis</t>
  </si>
  <si>
    <t>Controlled, medically managed heart failure due to endocarditis</t>
  </si>
  <si>
    <t>Mild heart failure due to other cardiovascular diseases</t>
  </si>
  <si>
    <t>Moderate heart failure due to other cardiovascular diseases</t>
  </si>
  <si>
    <t>Severe heart failure due to other cardiovascular diseases</t>
  </si>
  <si>
    <t>Controlled, medically managed heart failure due to other cardiovascular disease</t>
  </si>
  <si>
    <t>Mild other cardiovascular diseases</t>
  </si>
  <si>
    <t>Moderate other cardiovascular diseases</t>
  </si>
  <si>
    <t>Severe other cardiovascular diseases</t>
  </si>
  <si>
    <t>Asymptomatic other cardiovascular diseases</t>
  </si>
  <si>
    <t>Mild heart failure due to severe chronic obstructive pulmonary disease</t>
  </si>
  <si>
    <t>Severe COPD and other chronic respiratory, with mild heart failure</t>
  </si>
  <si>
    <t>Moderate heart failure due to severe chronic obstructive pulmonary disease</t>
  </si>
  <si>
    <t>Severe COPD and other chronic respiratory, with moderate heart failure</t>
  </si>
  <si>
    <t>Severe heart failure due to severe chronic obstructive pulmonary disease</t>
  </si>
  <si>
    <t>Severe COPD and other chronic respiratory, with severe heart failure</t>
  </si>
  <si>
    <t>Controlled, medically managed heart failure due to severe chronic obstructive pulmonary disease</t>
  </si>
  <si>
    <t>COPD and other chronic respiratory problems, severe and generic uncomplicated disease: worry and daily medication</t>
  </si>
  <si>
    <t>Mild chronic obstructive pulmonary disease</t>
  </si>
  <si>
    <t>Moderate chronic obstructive pulmonary disease</t>
  </si>
  <si>
    <t>Severe chronic obstructive pulmonary disease without heart failure</t>
  </si>
  <si>
    <t>Asymptomatic chronic obstructive pulmonary disease</t>
  </si>
  <si>
    <t>Mild heart failure due to severe silicosis</t>
  </si>
  <si>
    <t>Moderate heart failure due to severe silicosis</t>
  </si>
  <si>
    <t>Severe heart failure due to severe silicosis</t>
  </si>
  <si>
    <t>Controlled, medically managed heart failure due to severe silicosis</t>
  </si>
  <si>
    <t>Mild silicosis</t>
  </si>
  <si>
    <t>Moderate silicosis</t>
  </si>
  <si>
    <t>Severe silicosis without heart failure</t>
  </si>
  <si>
    <t>Asymptomatic silicosis</t>
  </si>
  <si>
    <t>Mild asbestosis</t>
  </si>
  <si>
    <t>Moderate asbestosis</t>
  </si>
  <si>
    <t>Severe asbestosis without heart failure</t>
  </si>
  <si>
    <t>Asymptomatic asbestosis</t>
  </si>
  <si>
    <t>Mild heart failure due to severe asbestosis</t>
  </si>
  <si>
    <t>Moderate heart failure due to severe asbestosis</t>
  </si>
  <si>
    <t>Severe heart failure due to severe asbestosis</t>
  </si>
  <si>
    <t>Controlled, medically managed heart failure due to severe asbestosis</t>
  </si>
  <si>
    <t>Mild coal workers pneumoconiosis</t>
  </si>
  <si>
    <t>Moderate coal workers pneumoconiosis</t>
  </si>
  <si>
    <t>Severe coal workers pneumoconiosis without heart failure</t>
  </si>
  <si>
    <t>Asymptomatic coal workers pneumoconiosis</t>
  </si>
  <si>
    <t>Mild heart failure due to severe coal workers pneumoconiosis</t>
  </si>
  <si>
    <t>Moderate heart failure due to severe coal workers pneumoconiosis</t>
  </si>
  <si>
    <t>Severe heart failure due to severe coal workers pneumoconiosis</t>
  </si>
  <si>
    <t>Controlled, medically managed heart failure due to severe coal workers pneumoconiosis</t>
  </si>
  <si>
    <t>Mild heart failure due to severe other pneumoconiosis</t>
  </si>
  <si>
    <t>Moderate heart failure due to severe other pneumoconiosis</t>
  </si>
  <si>
    <t>Severe heart failure due to severe other pneumoconiosis</t>
  </si>
  <si>
    <t>Controlled, medically managed heart failure due to severe other pneumoconiosis</t>
  </si>
  <si>
    <t>Mild other pneumoconiosis</t>
  </si>
  <si>
    <t>Moderate other pneumoconiosis</t>
  </si>
  <si>
    <t>Severe other pneumoconiosis without heart failure</t>
  </si>
  <si>
    <t>Asymptomatic other pneumoconiosis</t>
  </si>
  <si>
    <t>Asymptomatic asthma</t>
  </si>
  <si>
    <t>Controlled asthma</t>
  </si>
  <si>
    <t>Asthma, controlled</t>
  </si>
  <si>
    <t xml:space="preserve">has wheezing and cough once a month, which does not cause difficulty with daily activities. </t>
  </si>
  <si>
    <t>Partially controlled asthma</t>
  </si>
  <si>
    <t>Asthma, partially controlled</t>
  </si>
  <si>
    <t>has wheezing and cough once a week, which causes some difficulty with daily activities.</t>
  </si>
  <si>
    <t>Uncontrolled asthma</t>
  </si>
  <si>
    <t>Asthma, uncontrolled</t>
  </si>
  <si>
    <t>has wheezing, cough and shortness of breath more than twice a week, which causes difficulty with daily activities and sometimes wakes the person at night.</t>
  </si>
  <si>
    <t>Mild heart failure due to severe interstitial lung disease and pulmonary sarcoidosis</t>
  </si>
  <si>
    <t>Moderate heart failure due to severe interstitial lung disease and pulmonary sarcoidosis</t>
  </si>
  <si>
    <t>Severe heart failure due to severe interstitial lung disease and pulmonary sarcoidosis</t>
  </si>
  <si>
    <t>Controlled, medically managed heart failure due to severe interstitial lung disease and pulmonary sarcoidosis</t>
  </si>
  <si>
    <t>Mild interstitial lung disease and pulmonary sarcoidosis</t>
  </si>
  <si>
    <t>Moderate interstitial lung disease and pulmonary sarcoidosis</t>
  </si>
  <si>
    <t>Severe interstitial lung disease and pulmonary sarcoidosis without heart failure</t>
  </si>
  <si>
    <t>Asymptomatic interstitial lung disease and pulmonary sarcoidosis</t>
  </si>
  <si>
    <t>Other chronic respiratory diseases</t>
  </si>
  <si>
    <t>Cirrhosis and other chronic liver diseases due to hepatitis B, decompensated, with controlled, medically managed heart failure</t>
  </si>
  <si>
    <t>Decompensated cirrhosis of the liver, Generic uncomplicated disease: worry and daily medication</t>
  </si>
  <si>
    <t>Cirrhosis and other chronic liver diseases due to hepatitis B, decompensated, with mild heart failure</t>
  </si>
  <si>
    <t>Decompensated cirrhosis of the liver; Heart failure, mild</t>
  </si>
  <si>
    <t>Cirrhosis and other chronic liver diseases due to hepatitis B, decompensated, with moderate heart failure</t>
  </si>
  <si>
    <t>Decompensated cirrhosis of the liver; Heart failure, moderate</t>
  </si>
  <si>
    <t>Cirrhosis and other chronic liver diseases due to hepatitis B, decompensated, with severe heart failure</t>
  </si>
  <si>
    <t>Decompensated cirrhosis of the liver; Heart failure, severe</t>
  </si>
  <si>
    <t>Cirrhosis and other chronic liver diseases due to hepatitis B, decompensated, without anemia or heart failure</t>
  </si>
  <si>
    <t xml:space="preserve">Decompensated cirrhosis of the liver </t>
  </si>
  <si>
    <t>has a swollen belly and swollen legs. The person feels weakness, fatigue and loss of appetite.</t>
  </si>
  <si>
    <t>Cirrhosis and other chronic liver diseases due to hepatitis B, decompensated, with mild anemia</t>
  </si>
  <si>
    <t>Decompensated cirrhosis of the liver and mild anemia</t>
  </si>
  <si>
    <t>Cirrhosis and other chronic liver diseases due to hepatitis B, decompensated, with moderate anemia</t>
  </si>
  <si>
    <t>Decompensated cirrhosis of the liver and moderate anemia</t>
  </si>
  <si>
    <t>Cirrhosis and other chronic liver diseases due to hepatitis B, decompensated, with severe anemia</t>
  </si>
  <si>
    <t>Decompensated cirrhosis of the liver and severe anemia</t>
  </si>
  <si>
    <t>Cirrhosis and other chronic liver diseases due to hepatitis B, compensated</t>
  </si>
  <si>
    <t>Chronic hepatitis B without cirrhosis</t>
  </si>
  <si>
    <t>Cirrhosis and other chronic liver diseases due to hepatitis C, decompensated, with controlled, medically managed heart failure</t>
  </si>
  <si>
    <t>Cirrhosis and other chronic liver diseases due to hepatitis C, decompensated, with mild heart failure</t>
  </si>
  <si>
    <t>Cirrhosis and other chronic liver diseases due to hepatitis C, decompensated, with moderate heart failure</t>
  </si>
  <si>
    <t>Cirrhosis and other chronic liver diseases due to hepatitis C, decompensated, with severe heart failure</t>
  </si>
  <si>
    <t>Cirrhosis and other chronic liver diseases due to hepatitis c, decompensated, without anemia or heart failure</t>
  </si>
  <si>
    <t>Cirrhosis and other chronic liver diseases due to hepatitis C, decompensated, with mild anemia</t>
  </si>
  <si>
    <t>Cirrhosis and other chronic liver diseases due to hepatitis C, decompensated, with moderate anemia</t>
  </si>
  <si>
    <t>Cirrhosis and other chronic liver diseases due to hepatitis C, decompensated, with severe anemia</t>
  </si>
  <si>
    <t>Cirrhosis and other chronic liver diseases due to hepatitis C, compensated</t>
  </si>
  <si>
    <t>Chronic hepatitis C without cirrhosis</t>
  </si>
  <si>
    <t>Cirrhosis and other chronic liver diseases due to alcohol, decompensated, with controlled, medically managed heart failure</t>
  </si>
  <si>
    <t>Cirrhosis and other chronic liver diseases due to alcohol, decompensated, with mild heart failure</t>
  </si>
  <si>
    <t>Cirrhosis and other chronic liver diseases due to alcohol, decompensated, with moderate heart failure</t>
  </si>
  <si>
    <t>Cirrhosis and other chronic liver diseases due to alcohol, decompensated, with severe heart failure</t>
  </si>
  <si>
    <t>Cirrhosis and other chronic liver diseases due to alcohol, decompensated, without anemia or heart failure</t>
  </si>
  <si>
    <t>Cirrhosis and other chronic liver diseases due to alcohol, decompensated, with mild anemia</t>
  </si>
  <si>
    <t>Cirrhosis and other chronic liver diseases due to alcohol, decompensated, with moderate anemia</t>
  </si>
  <si>
    <t>Cirrhosis and other chronic liver diseases due to alcohol, decompensated, with severe anemia</t>
  </si>
  <si>
    <t>Cirrhosis and other chronic liver diseases due to alcohol, compensated</t>
  </si>
  <si>
    <t>Non-alcoholic fatty liver disease (NAFLD) / Non-alcoholic steatohepatitis (NASH)</t>
  </si>
  <si>
    <t>Cirrhosis and other chronic liver diseases due to NASH, decompensated, with controlled, medically managed heart failure</t>
  </si>
  <si>
    <t>Cirrhosis and other chronic liver diseases due to NASH, decompensated, with mild heart failure</t>
  </si>
  <si>
    <t>Cirrhosis and other chronic liver diseases due to NASH, decompensated, with moderate heart failure</t>
  </si>
  <si>
    <t>Cirrhosis and other chronic liver diseases due to NASH, decompensated, with severe heart failure</t>
  </si>
  <si>
    <t>Cirrhosis and other chronic liver diseases due to NASH, decompensated, without anemia or heart failure</t>
  </si>
  <si>
    <t>Cirrhosis and other chronic liver diseases due to NASH, decompensated, with mild anemia</t>
  </si>
  <si>
    <t>Cirrhosis and other chronic liver diseases due to NASH, decompensated, with moderate anemia</t>
  </si>
  <si>
    <t>Cirrhosis and other chronic liver diseases due to NASH, decompensated, with severe anemia</t>
  </si>
  <si>
    <t>Cirrhosis and other chronic liver diseases due to NASH, compensated</t>
  </si>
  <si>
    <t>Cirrhosis and other chronic liver diseases due to other cause, decompensated, with mild heart failure</t>
  </si>
  <si>
    <t>Cirrhosis and other chronic liver diseases due to other cause, decompensated, with controlled, medically managed heart failure</t>
  </si>
  <si>
    <t>Cirrhosis and other chronic liver diseases due to other cause, decompensated, with moderate heart failure</t>
  </si>
  <si>
    <t>Cirrhosis and other chronic liver diseases due to other cause, decompensated, with severe heart failure</t>
  </si>
  <si>
    <t>Cirrhosis and other chronic liver diseases due to other causes, decompensated, without anemia or heart failure</t>
  </si>
  <si>
    <t>Cirrhosis and other chronic liver diseases due to other, decompensated, with mild anemia</t>
  </si>
  <si>
    <t>Cirrhosis and other chronic liver diseases due to other, decompensated, with moderate anemia</t>
  </si>
  <si>
    <t>Cirrhosis and other chronic liver diseases due to other, decompensated, with severe anemia</t>
  </si>
  <si>
    <t>Cirrhosis and other chronic liver diseases due to other cause, compensated (asymptomatic)</t>
  </si>
  <si>
    <t>Severe, acute, uncomplicated PUD with no anemia</t>
  </si>
  <si>
    <t>Severe, acute, uncomplicated PUD with mild anemia</t>
  </si>
  <si>
    <t>Abdominopelvic problem, severe and mild anemia</t>
  </si>
  <si>
    <t>Severe, acute, uncomplicated PUD with moderate anemia</t>
  </si>
  <si>
    <t>Abdominopelvic problem, severe and moderate anemia</t>
  </si>
  <si>
    <t>Severe, acute, uncomplicated PUD with severe anemia</t>
  </si>
  <si>
    <t>Abdominopelvic problem, severe and severe anemia</t>
  </si>
  <si>
    <t>Complicated PUD with no anemia</t>
  </si>
  <si>
    <t>Mildly symptomatic PUD with no anemia</t>
  </si>
  <si>
    <t>Moderately symptomatic PUD with no anemia</t>
  </si>
  <si>
    <t>Asymptomatic PUD with mild anemia</t>
  </si>
  <si>
    <t>Asymptomatic PUD with moderate anemia</t>
  </si>
  <si>
    <t>Asymptomatic PUD with severe anemia</t>
  </si>
  <si>
    <t>Asymptomatic PUD with no anemia</t>
  </si>
  <si>
    <t>Mildly symptomatic PUD with mild anemia</t>
  </si>
  <si>
    <t>Mild abdominal pain with mild anemia</t>
  </si>
  <si>
    <t>Mildly symptomatic PUD with moderate anemia</t>
  </si>
  <si>
    <t>Mild abdominal pain with moderate anemia</t>
  </si>
  <si>
    <t>Mildly symptomatic PUD with severe anemia</t>
  </si>
  <si>
    <t>Mild abdominal pain with severe anemia</t>
  </si>
  <si>
    <t>Moderately symptomatic PUD with severe anemia</t>
  </si>
  <si>
    <t>Moderately symptomatic PUD with mild anemia</t>
  </si>
  <si>
    <t>Moderate abdominal pain with mild anemia</t>
  </si>
  <si>
    <t>Moderately symptomatic PUD with moderate anemia</t>
  </si>
  <si>
    <t>Moderate abdominal pain with moderate anemia</t>
  </si>
  <si>
    <t>Complicated PUD with mild anemia</t>
  </si>
  <si>
    <t>Gastric bleeding and anemia, mild</t>
  </si>
  <si>
    <t>Complicated PUD with moderate anemia</t>
  </si>
  <si>
    <t>Gastric bleeding and anemia, moderate</t>
  </si>
  <si>
    <t>Complicated PUD with severe anemia</t>
  </si>
  <si>
    <t>Gastric bleeding and anemia, severe</t>
  </si>
  <si>
    <t>Severe, acute, uncomplicated gastritis/duodenitis with no anemia</t>
  </si>
  <si>
    <t>Severe, acute, uncomplicated gastritis/duodenitis with mild anemia</t>
  </si>
  <si>
    <t>Severe, acute, uncomplicated gastritis/duodenitis with moderate anemia</t>
  </si>
  <si>
    <t>Severe, acute, uncomplicated gastritis/duodenitis with severe anemia</t>
  </si>
  <si>
    <t>Complicated gastritis/duodenitis with no anemia</t>
  </si>
  <si>
    <t>Mildly symptomatic gastritis/duodenitis with no anemia</t>
  </si>
  <si>
    <t>Moderately symptomatic gastritis/duodenitis with no anemia</t>
  </si>
  <si>
    <t>Asymptomatic gastritis/duodenitis with mild anemia</t>
  </si>
  <si>
    <t>Asymptomatic gastritis/duodenitis with moderate anemia</t>
  </si>
  <si>
    <t>Asymptomatic gastritis/duodenitis with severe anemia</t>
  </si>
  <si>
    <t>Asymptomatic gastritis/duodenitis with no anemia</t>
  </si>
  <si>
    <t>Mildy symptomatic gastritis/duodenitis with mild anemia</t>
  </si>
  <si>
    <t>Mildly symptomatic gastritis/duodenitis with moderate anemia</t>
  </si>
  <si>
    <t>Mildy symptomatic gastritis/duodenitis with severe anemia</t>
  </si>
  <si>
    <t>Moderately symptomatic gastritis/duodenitis with mild anemia</t>
  </si>
  <si>
    <t>Moderately symptomatic gastritis/duodenitis with moderate anemia</t>
  </si>
  <si>
    <t>Moderately symptomatic gastritis/duodenitis with severe anemia</t>
  </si>
  <si>
    <t>Moderate abdominal pain with severe anemia</t>
  </si>
  <si>
    <t>Complicated gastritis/duodenitis with mild anemia</t>
  </si>
  <si>
    <t>Complicated gastritis/duodenitis with moderate anemia</t>
  </si>
  <si>
    <t>Complicated gastritis/duodenitis with severe anemia</t>
  </si>
  <si>
    <t>Mild to moderate GERD, symptomatic days</t>
  </si>
  <si>
    <t>Mild to moderate GERD, asymptomatic days</t>
  </si>
  <si>
    <t>Severe GERD, asymptomatic days</t>
  </si>
  <si>
    <t>Severe GERD, symptomatic days</t>
  </si>
  <si>
    <t>Often has a burning sensation in the back of the chest after eating</t>
  </si>
  <si>
    <t>Standard</t>
  </si>
  <si>
    <t>Appendicitis</t>
  </si>
  <si>
    <t>Paralytic ileus and intestinal obstruction</t>
  </si>
  <si>
    <t>Mild symptomatic inguinal, femoral and abdominal hernia</t>
  </si>
  <si>
    <t>Moderate symptomatic inguinal, femoral and abdominal hernia</t>
  </si>
  <si>
    <t>Severe symptomatic inguinal, femoral and abdominal hernia</t>
  </si>
  <si>
    <t>Asymptomatic symptomatic inguinal, femoral and abdominal hernia</t>
  </si>
  <si>
    <t>Asymptomatic ulcerative colitis</t>
  </si>
  <si>
    <t>Ulcerative colitis with mild anemia</t>
  </si>
  <si>
    <t>Crohn disease or ulcerative colitis, mild anemia</t>
  </si>
  <si>
    <t>Ulcerative colitis with moderate anemia</t>
  </si>
  <si>
    <t>Crohn disease or ulcerative colitis, moderate anemia</t>
  </si>
  <si>
    <t>Ulcerative colitis with severe anemia</t>
  </si>
  <si>
    <t>Crohn disease or ulcerative colitis, severe anemia</t>
  </si>
  <si>
    <t>Ulcerative colitis, symptomatic, without anemia</t>
  </si>
  <si>
    <t>Crohn disease or ulcerative colitis</t>
  </si>
  <si>
    <t>has cramping abdominal pain, has diarrhea several times a day, and feels very tired for two months every year. When the person does not have symptoms, there is anxiety about them returning.</t>
  </si>
  <si>
    <t>Asymptomatic Crohn's disease</t>
  </si>
  <si>
    <t>Crohn's disease with mild anemia</t>
  </si>
  <si>
    <t>Crohn's disease with moderate anemia</t>
  </si>
  <si>
    <t>Crohn's disease with severe anemia</t>
  </si>
  <si>
    <t>Crohn's disease, symptomatic, without anemia</t>
  </si>
  <si>
    <t>Vascular intestinal disorders</t>
  </si>
  <si>
    <t>Mild symptomatic episodes gallbladder and biliary diseases</t>
  </si>
  <si>
    <t xml:space="preserve">Moderate symptomatic episodes gallbladder and biliary diseases </t>
  </si>
  <si>
    <t>Severe symptomatic episodes gallbladder and biliary diseases</t>
  </si>
  <si>
    <t>Asymptomatic gallbladder and biliary diseases</t>
  </si>
  <si>
    <t>Acute pancreatitis</t>
  </si>
  <si>
    <t>Infectious disease, acute episode, severe and abdominopelvic problem, severe</t>
  </si>
  <si>
    <t>Mild chronic pancreatitis</t>
  </si>
  <si>
    <t>Moderate chronic pancreatitis</t>
  </si>
  <si>
    <t>Severe chronic pancreatitis</t>
  </si>
  <si>
    <t>Asymptomatic chronic pancreatitis</t>
  </si>
  <si>
    <t>Other digestive diseases</t>
  </si>
  <si>
    <t>Mild Alzheimer's disease and other dementias</t>
  </si>
  <si>
    <t>Dementia, mild</t>
  </si>
  <si>
    <t>has some trouble remembering recent events, and finds it hard to concentrate and make decisions and plans.</t>
  </si>
  <si>
    <t>Moderate Alzheimer's disease and other dementias</t>
  </si>
  <si>
    <t>Dementia, moderate</t>
  </si>
  <si>
    <t>has memory problems and confusion, feels disoriented, at times hears voices that are not real, and needs help with some daily activities.</t>
  </si>
  <si>
    <t>Severe Alzheimer's disease and other dementias</t>
  </si>
  <si>
    <t>Dementia, severe</t>
  </si>
  <si>
    <t>has complete memory loss; no longer recognizes close family members; and requires help with all daily activities.</t>
  </si>
  <si>
    <t>Mild Parkinson's disease</t>
  </si>
  <si>
    <t>Parkinson disease, mild</t>
  </si>
  <si>
    <t xml:space="preserve">has mild tremors and moves a little slowly, but is able to walk and do daily activities without assistance. </t>
  </si>
  <si>
    <t>Moderate Parkinson's disease</t>
  </si>
  <si>
    <t>Parkinson disease, moderate</t>
  </si>
  <si>
    <t>has moderate tremors and moves slowly, which causes some difficulty in walking and daily activities. The person has some trouble swallowing, talking, sleeping, and remembering things.</t>
  </si>
  <si>
    <t>Severe Parkinson's disease</t>
  </si>
  <si>
    <t>Parkinson disease, severe</t>
  </si>
  <si>
    <t xml:space="preserve">has severe tremors and moves very slowly, which causes great difficulty in walking and daily activities. The person falls easily and has a lot of difficulty talking, swallowing, sleeping, and remembering things. </t>
  </si>
  <si>
    <t>Idiopathic, seizure-free, treated epilepsy</t>
  </si>
  <si>
    <t>Idiopathic, severe epilepsy</t>
  </si>
  <si>
    <t>Epilepsy, seizures &gt;= once a month</t>
  </si>
  <si>
    <t>has sudden seizures one or more times each month, with violent muscle contractions and stiffness, loss of consciousness, and loss of urine or bowel control. Between seizures the person has memory loss and difficulty concentrating.</t>
  </si>
  <si>
    <t>Idiopathic, less severe epilepsy</t>
  </si>
  <si>
    <t>Epilepsy, seizures 1-11 per year</t>
  </si>
  <si>
    <t>has sudden seizures two to five times a year, with violent muscle contractions and stiffness, loss of consciousness, and loss of urine or bowel control.</t>
  </si>
  <si>
    <t>Mild multiple sclerosis</t>
  </si>
  <si>
    <t>Multiple sclerosis, mild</t>
  </si>
  <si>
    <t>has mild loss of feeling in one hand, is a little unsteady while walking, has slight loss of vision in one eye, and often needs to urinate urgently.</t>
  </si>
  <si>
    <t>Moderate multiple sclerosis</t>
  </si>
  <si>
    <t>Multiple sclerosis, moderate</t>
  </si>
  <si>
    <t>needs help walking, has difficulty with writing and arm coordination, has loss of vision in one eye and cannot control urinating.</t>
  </si>
  <si>
    <t>Severe multiple sclerosis</t>
  </si>
  <si>
    <t>Multiple sclerosis, severe</t>
  </si>
  <si>
    <t>has slurred speech and difficulty swallowing. The person has weak arms and hands, very limited and stiff leg movement, has loss of vision in both eyes and cannot control urinating.</t>
  </si>
  <si>
    <t>Asymptomatic multiple sclerosis</t>
  </si>
  <si>
    <t>Mild respiratory problems due to motor neuron disease</t>
  </si>
  <si>
    <t>Moderate respiratory problems due to motor neuron disease</t>
  </si>
  <si>
    <t>Severe respiratory problems due to motor neuron disease</t>
  </si>
  <si>
    <t>Diagnosis of motor neuron disease</t>
  </si>
  <si>
    <t>Speech problems due to motor neuron disease</t>
  </si>
  <si>
    <t>Mild motor impairment due to motor neuron disease</t>
  </si>
  <si>
    <t>Moderate motor impairment due to motor neuron disease</t>
  </si>
  <si>
    <t>Severe motor impairment due to motor neuron disease</t>
  </si>
  <si>
    <t>Mild motor impairment, mild respiratory problems, and speech problems due to motor neuron disease</t>
  </si>
  <si>
    <t>Mild motor impairment with mild respiratory problems and speech problems</t>
  </si>
  <si>
    <t>(combined dw)</t>
  </si>
  <si>
    <t>Mild motor impairment, moderate respiratory problems, and speech problems due to motor neuron disease</t>
  </si>
  <si>
    <t>Mild motor impairment with moderate respiratory problems and speech problems</t>
  </si>
  <si>
    <t>Mild motor impairment, severe respiratory problems and speech problems due to motor neuron disease</t>
  </si>
  <si>
    <t>Mild motor impairment with severe respiratory problems and speech problems</t>
  </si>
  <si>
    <t>Moderate motor impairment, mild respiratory problems, and speech problems due to motor neuron disease</t>
  </si>
  <si>
    <t>Moderate motor impairment with mild respiratory problems and speech problems</t>
  </si>
  <si>
    <t>Moderate motor impairment, moderate respiratory problems, and speech problems due to motor neuron disease</t>
  </si>
  <si>
    <t>Moderate motor impairment with moderate respiratory problems and speech problems</t>
  </si>
  <si>
    <t>Moderate motor impairment, severe respiratory problems, and speech problems due to motor neuron disease</t>
  </si>
  <si>
    <t>Moderate motor impairment with severe respiratory problems and speech problems</t>
  </si>
  <si>
    <t>Severe motor impairment, mild respiratory problems, and speech problems due to motor neuron disease</t>
  </si>
  <si>
    <t>Severe motor impairment with mild respiratory problems and speech problems</t>
  </si>
  <si>
    <t>Severe motor impairment, moderate respiratory problems, and speech problems due to motor neuron disease</t>
  </si>
  <si>
    <t>Severe motor impairment with moderate respiratory problems and speech problems</t>
  </si>
  <si>
    <t>Severe motor impairment, severe respiratory problems, and speech problems due to motor neuron disease</t>
  </si>
  <si>
    <t>Severe motor impairment with severe respiratory problems and speech problems</t>
  </si>
  <si>
    <t>Mild motor impairment and mild respiratory problems due to motor neuron disease</t>
  </si>
  <si>
    <t>Mild motor impairment and mild respiratory problems</t>
  </si>
  <si>
    <t>Mild motor impairment and moderate respiratory problems due to motor neuron disease</t>
  </si>
  <si>
    <t>Mild motor impairment and moderate respiratory problems</t>
  </si>
  <si>
    <t>Mild motor impairment and severe respiratory problems due to motor neuron disease</t>
  </si>
  <si>
    <t>Mild motor impairment and severe respiratory problems</t>
  </si>
  <si>
    <t>Moderate motor impairment and mild respiratory problems due to motor neuron disease</t>
  </si>
  <si>
    <t>Moderate motor impairment and mild respiratory problems</t>
  </si>
  <si>
    <t>Moderate motor impairment and moderate respiratory problems due to motor neuron disease</t>
  </si>
  <si>
    <t>Moderate motor impairment and moderate respiratory problems</t>
  </si>
  <si>
    <t>Moderate motor impairment and severe respiratory problems due to motor neuron disease</t>
  </si>
  <si>
    <t>Moderate motor impairment and severe respiratory problems</t>
  </si>
  <si>
    <t>Severe motor impairment and mild respiratory problems due to motor neuron disease</t>
  </si>
  <si>
    <t>Severe motor impairment and mild respiratory problems</t>
  </si>
  <si>
    <t>Severe motor impairment and moderate respiratory problems due to motor neuron disease</t>
  </si>
  <si>
    <t>Severe motor impairment and moderate respiratory problems</t>
  </si>
  <si>
    <t>Severe motor impairment and severe respiratory problems due to motor neuron disease</t>
  </si>
  <si>
    <t>Severe motor impairment and severe respiratory problems</t>
  </si>
  <si>
    <t>Mild motor impairment and speech problems due to motor neuron disease</t>
  </si>
  <si>
    <t>Mild motor impairment and speech problems</t>
  </si>
  <si>
    <t>Moderate motor impairment and speech problems due to motor neuron disease</t>
  </si>
  <si>
    <t>Moderate motor impairment and speech problems</t>
  </si>
  <si>
    <t>Severe motor impairment and speech problems due to motor neuron disease</t>
  </si>
  <si>
    <t>Severe motor impairment and speech problems</t>
  </si>
  <si>
    <t>Mild respiratory problems and speech problems due to motor neuron disease</t>
  </si>
  <si>
    <t>Mild respiratory and speech problems</t>
  </si>
  <si>
    <t>Moderate respiratory problems and speech problems due to motor neuron disease</t>
  </si>
  <si>
    <t>Moderate respiratory and speech problems</t>
  </si>
  <si>
    <t>Severe respiratory problems and speech problems due to motor neuron disease</t>
  </si>
  <si>
    <t>Severe respiratory and speech problems</t>
  </si>
  <si>
    <t>Symptomatic medication overuse headache due to migraine</t>
  </si>
  <si>
    <t>Headache, medication overuse</t>
  </si>
  <si>
    <t>has daily headaches, felt as dull pain and often lasting all day, with poor sleep, nausea and fatigue. The person takes medicine for the headaches, which provides little relief but is needed to avoid having worse symptoms.</t>
  </si>
  <si>
    <t>Asymptomatic medication overuse headache due to migraine</t>
  </si>
  <si>
    <t>Symptomatic probable migraine</t>
  </si>
  <si>
    <t>Headache, migraine</t>
  </si>
  <si>
    <t>has severe, throbbing head pain and nausea that cause great difficulty in daily activities and sometimes confine the person to bed. Moving around, light, and noise make it worse.</t>
  </si>
  <si>
    <t>Symptomatic definite migraine</t>
  </si>
  <si>
    <t>Asymptomatic probable migraine</t>
  </si>
  <si>
    <t>Asymptomatic definite migraine</t>
  </si>
  <si>
    <t>Symptomatic medication overuse headache due to tension-type headache</t>
  </si>
  <si>
    <t>Asymptomatic medication overuse headache due to tension-type headache</t>
  </si>
  <si>
    <t>Symptomatic probable tension-type headache</t>
  </si>
  <si>
    <t>Headache, tension-type</t>
  </si>
  <si>
    <t xml:space="preserve">has a moderate headache that also affects the neck, which causes difficulty in daily activities. </t>
  </si>
  <si>
    <t>Symptomatic definite tension-type headache</t>
  </si>
  <si>
    <t>Asymptomatic probable tension-type headache</t>
  </si>
  <si>
    <t>Asymptomatic definite tension-type headache</t>
  </si>
  <si>
    <t>Guillain-BarrÃ© syndrome due to other neurological disorders</t>
  </si>
  <si>
    <t>Other neurological disorders</t>
  </si>
  <si>
    <t>Schizophrenia acute state</t>
  </si>
  <si>
    <t>Schizophrenia, acute state</t>
  </si>
  <si>
    <t>hears and sees things that are not real and is afraid, confused, and sometimes violent. The person has great difficulty with communication and daily activities, and sometimes wants to harm or kill himself (or herself).</t>
  </si>
  <si>
    <t>Schizophrenia residual state</t>
  </si>
  <si>
    <t>Schizophrenia, residual state</t>
  </si>
  <si>
    <t>hears and sees things that are not real and has trouble communicating. The person can be forgetful, has difficulty with daily activities, and thinks about hurting himself (or herself).</t>
  </si>
  <si>
    <t>Mild major depressive disorder</t>
  </si>
  <si>
    <t>Major depressive disorder, mild episode</t>
  </si>
  <si>
    <t>feels persistent sadness and has lost interest in usual activities. The person sometimes sleeps badly, feels tired, or has trouble concentrating but still manages to function in daily life with extra effort.</t>
  </si>
  <si>
    <t>Moderate major depressive disorder</t>
  </si>
  <si>
    <t>Major depressive disorder, moderate episode</t>
  </si>
  <si>
    <t>has constant sadness and has lost interest in usual activities. The person has some difficulty in daily life, sleeps badly, has trouble concentrating, and sometimes thinks about harming himself (or herself).</t>
  </si>
  <si>
    <t>Severe major depressive disorder</t>
  </si>
  <si>
    <t>Major depressive disorder, severe episode</t>
  </si>
  <si>
    <t>has overwhelming, constant sadness and cannot function in daily life. The person sometimes loses touch with reality and wants to harm or kill himself (or herself).</t>
  </si>
  <si>
    <t>Major depressive disorder, currently without symptoms</t>
  </si>
  <si>
    <t>Symptomatic dysthymia</t>
  </si>
  <si>
    <t>Dysthymia, currently without symptoms</t>
  </si>
  <si>
    <t>Bipolar disorder depressive state</t>
  </si>
  <si>
    <t>Bipolar disorder manic state</t>
  </si>
  <si>
    <t xml:space="preserve">Bipolar disorder, manic episode </t>
  </si>
  <si>
    <t xml:space="preserve">is hyperactive, hears and believes things that are not real, and engages in impulsive and aggressive behavior that endanger the person and others. </t>
  </si>
  <si>
    <t>Bipolar disorder residual state</t>
  </si>
  <si>
    <t xml:space="preserve">Bipolar disorder, residual state </t>
  </si>
  <si>
    <t xml:space="preserve">has mild mood swings, irritability and some difficulty with daily activities. </t>
  </si>
  <si>
    <t>Mild anxiety disorders</t>
  </si>
  <si>
    <t>Anxiety disorders, mild</t>
  </si>
  <si>
    <t>feels mildly anxious and worried, which makes it slightly difficult to concentrate, remember things, and sleep. The person tires easily but is able to perform daily activities.</t>
  </si>
  <si>
    <t>Moderate anxiety disorders</t>
  </si>
  <si>
    <t>Anxiety disorders, moderate</t>
  </si>
  <si>
    <t>feels anxious and worried, which makes it difficult to concentrate, remember things, and sleep. The person tires easily and finds it difficult to perform daily activities.</t>
  </si>
  <si>
    <t>Severe anxiety disorders</t>
  </si>
  <si>
    <t>Anxiety disorders, severe</t>
  </si>
  <si>
    <t xml:space="preserve">constantly feels very anxious and worried, which makes it difficult to concentrate, remember things and sleep. The person has lost pleasure in life and thinks about suicide. </t>
  </si>
  <si>
    <t>Anxiety disorders, currently without symptoms</t>
  </si>
  <si>
    <t>Anorexia nervosa</t>
  </si>
  <si>
    <t>feels an overwhelming need to starve and exercises excessively to lose weight. The person is very thin, weak and anxious.</t>
  </si>
  <si>
    <t>Bulimia nervosa</t>
  </si>
  <si>
    <t xml:space="preserve">Bulimia nervosa </t>
  </si>
  <si>
    <t>has uncontrolled overeating followed by guilt, starving, and vomiting to lose weight.</t>
  </si>
  <si>
    <t>Autism spectrum disorders without intellectual disability</t>
  </si>
  <si>
    <t>Autism spectrum disorder without intellectual disability</t>
  </si>
  <si>
    <t>Autism spectrum disorders with borderline intellectual disability</t>
  </si>
  <si>
    <t>Autism spectrum disorder with borderline intellectual disability</t>
  </si>
  <si>
    <t>Autism spectrum disorders with mild intellectual disability</t>
  </si>
  <si>
    <t>Autism spectrum disorder with mild intellectual disability</t>
  </si>
  <si>
    <t>Autism spectrum disorders with moderate intellectual disability</t>
  </si>
  <si>
    <t>Autism spectrum disorder with moderate intellectual disability</t>
  </si>
  <si>
    <t>Autism spectrum disorders with severe intellectual disability</t>
  </si>
  <si>
    <t>Autism spectrum disorder with severe intellectual disability</t>
  </si>
  <si>
    <t>Autism spectrum disorders with profound intellectual disability</t>
  </si>
  <si>
    <t>Autism spectrum disorder with profound intellectual disability</t>
  </si>
  <si>
    <t>Symptomatic attention-deficit/hyperactivity disorder</t>
  </si>
  <si>
    <t>Symptomatic conduct disorder</t>
  </si>
  <si>
    <t>Conduct disorder</t>
  </si>
  <si>
    <t>has frequent behavior problems, which are sometimes violent. The person often has difficulty interacting with other people and feels irritable.</t>
  </si>
  <si>
    <t>Conduct disorder, currently without symptoms</t>
  </si>
  <si>
    <t>Borderline idiopathic developmental intellectual disability</t>
  </si>
  <si>
    <t>Mild idiopathic developmental intellectual disability</t>
  </si>
  <si>
    <t>Moderate idiopathic developmental intellectual disability</t>
  </si>
  <si>
    <t>Intellectual disability / mental retardation, moderate</t>
  </si>
  <si>
    <t>has low intelligence, and is slow in learning to speak and to do even simple tasks. As an adult, the person requires a lot of support to live independently and raise children. The person can only work at the simplest supervised jobs.</t>
  </si>
  <si>
    <t>Severe idiopathic developmental intellectual disability</t>
  </si>
  <si>
    <t>Intellectual disability / mental retardation, severe</t>
  </si>
  <si>
    <t>has very low intelligence and cannot speak more than a few words, needs constant supervision and help with most daily activities, and can do only the simplest tasks.</t>
  </si>
  <si>
    <t>Profound idiopathic developmental intellectual disability</t>
  </si>
  <si>
    <t>Intellectual disability / mental retardation, profound</t>
  </si>
  <si>
    <t>has very low intelligence, has almost no language, and does not understand even the most basic requests or instructions. The person requires constant supervision and help for all activities.</t>
  </si>
  <si>
    <t>Mild other mental disorders</t>
  </si>
  <si>
    <t>Moderate other mental disorders</t>
  </si>
  <si>
    <t>Severe other mental disorders</t>
  </si>
  <si>
    <t>Other mental disorders, currently without symptoms</t>
  </si>
  <si>
    <t>Mild alcohol dependence</t>
  </si>
  <si>
    <t>Alcohol use disorder, mild</t>
  </si>
  <si>
    <t>drinks a lot of alcohol and sometimes has difficulty controlling the urge to drink. While intoxicated, the person has difficulty performing daily activities.</t>
  </si>
  <si>
    <t>Moderate alcohol dependence</t>
  </si>
  <si>
    <t>Alcohol use disorder, moderate</t>
  </si>
  <si>
    <t xml:space="preserve">drinks a lot, gets drunk almost every week and has great difficulty controlling the urge to drink. Drinking and recovering cause great difficulty in daily activities, sleep loss, and fatigue. </t>
  </si>
  <si>
    <t>Severe alcohol dependence</t>
  </si>
  <si>
    <t>Alcohol use disorder, severe</t>
  </si>
  <si>
    <t>gets drunk almost every day and is unable to control the urge to drink. Drinking and recovering replace most daily activities. The person has difficulty thinking, remembering and communicating, and feels constant pain and fatigue.</t>
  </si>
  <si>
    <t>Very mild alcohol dependence</t>
  </si>
  <si>
    <t>Alcohol use disorder, very mild</t>
  </si>
  <si>
    <t>drinks alcohol daily and has difficulty controlling the urge to drink. When sober, the person functions normally.</t>
  </si>
  <si>
    <t>Asymptomatic alcohol dependence</t>
  </si>
  <si>
    <t>Mild fetal alcohol syndrome</t>
  </si>
  <si>
    <t>Fetal alcohol syndrome, mild</t>
  </si>
  <si>
    <t>is a little slow in developing physically and mentally, which causes some difficulty in learning but no other difficulties in daily activities.</t>
  </si>
  <si>
    <t>Moderate fetal alcohol syndrome</t>
  </si>
  <si>
    <t>Fetal alcohol syndrome, moderate</t>
  </si>
  <si>
    <t>is slow in developing physically and mentally, which causes some difficulty in daily activities.</t>
  </si>
  <si>
    <t>Severe fetal alcohol syndrome</t>
  </si>
  <si>
    <t>Fetal alcohol syndrome, severe</t>
  </si>
  <si>
    <t>is very slow in developing physically and mentally, which causes great difficulty in daily activities.</t>
  </si>
  <si>
    <t>Asymptomatic fetal alcohol syndrome</t>
  </si>
  <si>
    <t>Severe opioid dependence</t>
  </si>
  <si>
    <t>Heroin and other opioid dependence</t>
  </si>
  <si>
    <t>uses heroin daily and has difficulty controlling the habit. When the effects wear off, the person feels severe nausea, agitation, vomiting and fever. The person has a lot of difficulty in daily activities.</t>
  </si>
  <si>
    <t>Mild opioid dependence</t>
  </si>
  <si>
    <t>Heroin and other opioid dependence, mild</t>
  </si>
  <si>
    <t>uses heroin (or methadone)Ã‚Â daily and has difficulty controlling the habit. When not using, the person functions normally.</t>
  </si>
  <si>
    <t>Asymptomatic opioid dependence</t>
  </si>
  <si>
    <t>Asymptomatic cocaine dependence</t>
  </si>
  <si>
    <t>Mild cocaine dependence</t>
  </si>
  <si>
    <t>Cocaine dependence, mild</t>
  </si>
  <si>
    <t>uses cocaine at least once a week and has some difficulty controlling the habit. When not using, the person functions normally.</t>
  </si>
  <si>
    <t>Severe cocaine dependence with no heart failure</t>
  </si>
  <si>
    <t>Cocaine dependence</t>
  </si>
  <si>
    <t>uses cocaine and has difficulty controlling the habit. The person sometimes has mood swings, anxiety, paranoia, hallucinations and sleep problems, and has some difficulty in daily activities.</t>
  </si>
  <si>
    <t>Asymptomatic heart failure due to Severe cocaine dependence</t>
  </si>
  <si>
    <t>Cocaine dependence and Generic uncomplicated disease: worry and daily medication</t>
  </si>
  <si>
    <t>Mild heart failure due to Severe cocaine dependence</t>
  </si>
  <si>
    <t>Cocaine dependence and Heart failure, mild</t>
  </si>
  <si>
    <t>Moderate heart failure due to Severe cocaine dependence</t>
  </si>
  <si>
    <t>Cocaine dependence and Heart failure, moderate</t>
  </si>
  <si>
    <t>Severe heart failure due to Severe cocaine dependence</t>
  </si>
  <si>
    <t>Cocaine dependence and Heart failure, severe</t>
  </si>
  <si>
    <t>Asymptomatic amphetamine dependence</t>
  </si>
  <si>
    <t>Mild amphetamine dependence</t>
  </si>
  <si>
    <t>Amphetamine dependence, mild</t>
  </si>
  <si>
    <t>uses stimulants (drugs) at least once a week and has some difficulty controlling the habit. When not using, the person functions normally.</t>
  </si>
  <si>
    <t>Severe amphetamine dependence with no heart failure</t>
  </si>
  <si>
    <t>Amphetamine dependence</t>
  </si>
  <si>
    <t xml:space="preserve">uses stimulants (drugs) and has difficulty controlling the habit. The person sometimes has depression, hallucinations and mood swings, and has difficulty in daily activities. </t>
  </si>
  <si>
    <t>Asymptomatic heart failure due to Severe amphetamine dependence</t>
  </si>
  <si>
    <t>Amphetamine dependence and Generic uncomplicated disease: worry and daily medication</t>
  </si>
  <si>
    <t>Mild heart failure due to Severe amphetamine dependence</t>
  </si>
  <si>
    <t>Amphetamine dependence and Heart failure, mild</t>
  </si>
  <si>
    <t>Moderate heart failure due to Severe amphetamine dependence</t>
  </si>
  <si>
    <t>Amphetamine dependence and Heart failure, moderate</t>
  </si>
  <si>
    <t>Severe heart failure due to Severe amphetamine dependence</t>
  </si>
  <si>
    <t>Amphetamine dependence and Heart failure, severe</t>
  </si>
  <si>
    <t>Asymptomatic cannabis dependence</t>
  </si>
  <si>
    <t>Mild cannabis dependence</t>
  </si>
  <si>
    <t>Cannabis dependence, mild</t>
  </si>
  <si>
    <t xml:space="preserve">uses marijuana at least once a week and has some difficulty controlling the habit. When not using, the person functions normally. </t>
  </si>
  <si>
    <t>Severe cannabis dependence</t>
  </si>
  <si>
    <t>Cannabis dependence</t>
  </si>
  <si>
    <t>uses marijuana daily and has difficulty controlling the habit. The person sometimes has mood swings, anxiety and hallucinations, and has some difficulty in daily activities.</t>
  </si>
  <si>
    <t>Other drug use disorders</t>
  </si>
  <si>
    <t>Uncomplicated diabetes mellitus type 1</t>
  </si>
  <si>
    <t>Moderate vision impairment due to diabetes mellitus type 1 retinopathy</t>
  </si>
  <si>
    <t>Severe vision impairment due to diabetes mellitus type 1 retinopathy</t>
  </si>
  <si>
    <t>Blindness due to diabetes mellitus type 1 retinopathy</t>
  </si>
  <si>
    <t>Diabetic neuropathy due to diabetes mellitus type 1, without diabetic foot or amputation</t>
  </si>
  <si>
    <t>Diabetic neuropathy</t>
  </si>
  <si>
    <t>has pain, tingling and numbness in the arms, legs, hands and feet. The person sometimes gets cramps and muscle weakness.</t>
  </si>
  <si>
    <t>Diabetic foot due to neuropathy due to diabetes mellitus type 1</t>
  </si>
  <si>
    <t>Diabetic neuropathy with diabetic foot</t>
  </si>
  <si>
    <t>Diabetic neuropathy and amputation with treatment due to diabetes mellitus type 1</t>
  </si>
  <si>
    <t>Diabetic neuropathy with treated amputation</t>
  </si>
  <si>
    <t>Diabetic neuropathy and amputation without treatment due to diabetes mellitus type 1</t>
  </si>
  <si>
    <t>Diabetic neuropathy with untreated amputation</t>
  </si>
  <si>
    <t>Uncomplicated diabetes mellitus type 2</t>
  </si>
  <si>
    <t>Moderate vision impairment due to diabetes mellitus type 2 retinopathy</t>
  </si>
  <si>
    <t>Severe vision impairment due to diabetes mellitus type 2 retinopathy</t>
  </si>
  <si>
    <t>Blindness due to diabetes mellitus type 2 retinopathy</t>
  </si>
  <si>
    <t xml:space="preserve">Diabetic neuropathy due to diabetes mellitus type 2, without diabetic foot or amputation </t>
  </si>
  <si>
    <t>Diabetic foot due to neuropathy due to diabetes mellitus type 2</t>
  </si>
  <si>
    <t>Diabetic neuropathy and amputation with treatment due to diabetes mellitus type 2</t>
  </si>
  <si>
    <t>Diabetic neuropathy and amputation without treatment due to diabetes mellitus type 2</t>
  </si>
  <si>
    <t>Stage 1-2 chronic kidney disease with preserved GFR due to type 1 diabetes mellitus</t>
  </si>
  <si>
    <t>End-stage renal disease after transplant due to type 1 diabetes mellitus</t>
  </si>
  <si>
    <t>End-stage renal disease, with kidney transplant</t>
  </si>
  <si>
    <t>sometimes feels tired and down, and has some difficulty with daily activities.</t>
  </si>
  <si>
    <t>End-stage renal disease on dialysis due to type 1 diabetes mellitus, without anemia</t>
  </si>
  <si>
    <t>End-stage renal disease, on dialysis</t>
  </si>
  <si>
    <t xml:space="preserve">is tired and has itching, cramps, headache, joint pains and shortness of breath. The person needs intensive medical care every other day lasting about half a day. </t>
  </si>
  <si>
    <t>End-stage renal disease on dialysis due to type 1 diabetes mellitus, with mild anemia</t>
  </si>
  <si>
    <t>End-stage renal disease, on dialysis and mild anemia</t>
  </si>
  <si>
    <t>End-stage renal disease on dialysis due to type 1 diabetes mellitus, with moderate anemia</t>
  </si>
  <si>
    <t>End-stage renal disease, on dialysis and moderate anemia</t>
  </si>
  <si>
    <t>End-stage renal disease on dialysis due to type 1 diabetes mellitus, with severe anemia</t>
  </si>
  <si>
    <t>End-stage renal disease, on dialysis and severe anemia</t>
  </si>
  <si>
    <t>Stage 3 chronic kidney disease due to type 1 diabetes mellitus, with mild anemia</t>
  </si>
  <si>
    <t>Stage 3 chronic kidney disease due to type 1 diabetes mellitus, with moderate anemia</t>
  </si>
  <si>
    <t>Stage 3 chronic kidney disease due to type 1 diabetes mellitus, with severe anemia</t>
  </si>
  <si>
    <t>Stage 3 chronic kidney disease due to type 1 diabetes mellitus, without anemia</t>
  </si>
  <si>
    <t>Stage 4 chronic kidney disease untreated due to type 1 diabetes mellitus, without anemia</t>
  </si>
  <si>
    <t>Chronic kidney disease (stage IV)</t>
  </si>
  <si>
    <t>tires easily, has nausea, reduced appetite and difficulty sleeping.</t>
  </si>
  <si>
    <t>Stage 4 chronic kidney disease untreated due to type 1 diabetes mellitus, with mild anemia</t>
  </si>
  <si>
    <t>Mild anemia with Stage IV CKD</t>
  </si>
  <si>
    <t>Stage 4 chronic kidney disease untreated due to type 1 diabetes mellitus, with moderate anemia</t>
  </si>
  <si>
    <t>Moderate anemia with Stage IV CKD</t>
  </si>
  <si>
    <t>Stage 4 chronic kidney disease untreated due to type 1 diabetes mellitus, with severe anemia</t>
  </si>
  <si>
    <t>Severe anemia with Stage IV CKD</t>
  </si>
  <si>
    <t>Stage 5 chronic kidney disease untreated due to type 1 diabetes mellitus, without anemia or heart faliure</t>
  </si>
  <si>
    <t>Stage 5 chronic kidney disease untreated due to type 1 diabetes mellitus, with mild anemia</t>
  </si>
  <si>
    <t>Mild anemia and terminal phase, without medication (for cancers, end-stage kidney/liver disease)</t>
  </si>
  <si>
    <t>Stage 5 chronic kidney disease untreated due to type 1 diabetes mellitus, with moderate anemia</t>
  </si>
  <si>
    <t>Moderate anemia and terminal phase, without medication (for cancers, end-stage kidney/liver disease)</t>
  </si>
  <si>
    <t>Stage 5 chronic kidney disease untreated due to type 1 diabetes mellitus, with severe anemia</t>
  </si>
  <si>
    <t>Severe anemia and terminal phase, without medication (for cancers, end-stage kidney/liver disease)</t>
  </si>
  <si>
    <t>Stage 5 chronic kidney disease untreated due to type 1 diabetes mellitus, with asymptomatic heart failure</t>
  </si>
  <si>
    <t>Generic uncomplicated disease: worry and daily medication, Chronic kidney disease (stage IV)</t>
  </si>
  <si>
    <t>Stage 5 chronic kidney disease untreated due to type 1 diabetes mellitus, with mild heart failure</t>
  </si>
  <si>
    <t>Heart failure, mild; Chronic kidney disease (stage IV)</t>
  </si>
  <si>
    <t>Stage 5 chronic kidney disease untreated due to type 1 diabetes mellitus, with moderate heart failure</t>
  </si>
  <si>
    <t>Heart failure, moderate; Chronic kidney disease (stage IV)</t>
  </si>
  <si>
    <t>Stage 5 chronic kidney disease untreated due to type 1 diabetes mellitus, with severe heart failure</t>
  </si>
  <si>
    <t>Heart failure, severe; Chronic kidney disease (stage IV)</t>
  </si>
  <si>
    <t>Stage 1-2 chronic kidney disease with preserved GFR due to type 2 diabetes mellitus</t>
  </si>
  <si>
    <t>End-stage renal disease after transplant due to type 2 diabetes mellitus</t>
  </si>
  <si>
    <t>End-stage renal disease on dialysis due to type 2 diabetes mellitus, without anemia</t>
  </si>
  <si>
    <t>End-stage renal disease on dialysis due to type 2 diabetes mellitus, with mild anemia</t>
  </si>
  <si>
    <t>End-stage renal disease on dialysis due to type 2 diabetes mellitus, with moderate anemia</t>
  </si>
  <si>
    <t>End-stage renal disease on dialysis due to type 2 diabetes mellitus, with severe anemia</t>
  </si>
  <si>
    <t>Stage 3 chronic kidney disease due to type 2 diabetes mellitus, with mild anemia</t>
  </si>
  <si>
    <t>Stage 3 chronic kidney disease due to type 2 diabetes mellitus, with mdoerate anemia</t>
  </si>
  <si>
    <t>Stage 3 chronic kidney disease due to type 2 diabetes mellitus, with severe anemia</t>
  </si>
  <si>
    <t>Stage 3 chronic kidney disease due to type 2 diabetes mellitus, without anemia</t>
  </si>
  <si>
    <t>Stage 4 chronic kidney disease untreated due to type 2 diabetes mellitus, without anemia</t>
  </si>
  <si>
    <t>Stage 4 chronic kidney disease untreated due to type 2 diabetes mellitus, with mild anemia</t>
  </si>
  <si>
    <t>Stage 4 chronic kidney disease untreated due to type 2 diabetes mellitus, with mdoerate anemia</t>
  </si>
  <si>
    <t>Stage 4 chronic kidney disease untreated due to type 2 diabetes mellitus, with severe anemia</t>
  </si>
  <si>
    <t>Stage 5 chronic kidney disease untreated due to type 2 diabetes mellitus, without anemia</t>
  </si>
  <si>
    <t>Stage 5 chronic kidney disease untreated due to type 2 diabetes mellitus, with mild anemia</t>
  </si>
  <si>
    <t>Stage 5 chronic kidney disease untreated due to type 2 diabetes mellitus, with moderate anemia</t>
  </si>
  <si>
    <t>Stage 5 chronic kidney disease untreated due to type 2 diabetes mellitus, with severe anemia</t>
  </si>
  <si>
    <t>Stage 5 chronic kidney disease untreated due to type 2 diabetes mellitus, with asymptomatic heart failure</t>
  </si>
  <si>
    <t>Stage 5 chronic kidney disease untreated due to type 2 diabetes mellitus, with mild heart failure</t>
  </si>
  <si>
    <t>Stage 5 chronic kidney disease untreated due to type 2 diabetes mellitus, with moderate heart failure</t>
  </si>
  <si>
    <t>Stage 5 chronic kidney disease untreated due to type 2 diabetes mellitus, with severe heart failure</t>
  </si>
  <si>
    <t>End-stage renal disease after transplant due to hypertension</t>
  </si>
  <si>
    <t>End-stage renal disease on dialysis due to hypertension, without anemia</t>
  </si>
  <si>
    <t xml:space="preserve">End-stage renal disease on dialysis due to hypertension, with mild anemia </t>
  </si>
  <si>
    <t>End-stage renal disease on dialysis due to hypertension, with moderate anemia</t>
  </si>
  <si>
    <t>End-stage renal disease on dialysis due to hypertension, with severe anemia</t>
  </si>
  <si>
    <t>Stage 1-2 chronic kidney disease with preserved GFR due to hypertension</t>
  </si>
  <si>
    <t>Stage 3 chronic kidney disease due to hypertension, with mild anemia</t>
  </si>
  <si>
    <t>Stage 3 chronic kidney disease due to hypertension, with moderate anemia</t>
  </si>
  <si>
    <t>Stage 3 chronic kidney disease due to hypertension, with severe anemia</t>
  </si>
  <si>
    <t>Stage 3 chronic kidney disease due to hypertension, without anemia</t>
  </si>
  <si>
    <t>Stage 4 chronic kidney disease untreated due to hypertension, without anemia</t>
  </si>
  <si>
    <t>Stage 4 chronic kidney disease untreated due to hypertension, with mild anemia</t>
  </si>
  <si>
    <t>Stage 4 chronic kidney disease untreated due to hypertension, with moderate anemia</t>
  </si>
  <si>
    <t>Stage 4 chronic kidney disease untreated due to hypertension, with severe anemia</t>
  </si>
  <si>
    <t>Stage 5 chronic kidney disease untreated without anemia due to hypertension</t>
  </si>
  <si>
    <t>Stage 5 chronic kidney disease untreated due to hypertension, with mild anemia</t>
  </si>
  <si>
    <t>Stage 5 chronic kidney disease untreated due to hypertension, with moderate anemia</t>
  </si>
  <si>
    <t>Stage 5 chronic kidney disease untreated due to hypertension, with severe anemia</t>
  </si>
  <si>
    <t>Stage 5 chronic kidney disease untreated due to hypertension, with asymptomatic heart failure</t>
  </si>
  <si>
    <t>Stage 5 chronic kidney disease untreated due to hypertension, with mild heart failure</t>
  </si>
  <si>
    <t>Stage 5 chronic kidney disease untreated due to hypertension, with moderate heart failure</t>
  </si>
  <si>
    <t>Stage 5 chronic kidney disease untreated due to hypertension, with severe heart failure</t>
  </si>
  <si>
    <t>End-stage renal disease after transplant due to glomerulonephritis</t>
  </si>
  <si>
    <t>End-stage renal disease on dialysis due to glomerulonephritis, without anemia</t>
  </si>
  <si>
    <t>End-stage renal disease on dialysis due to glomerulonephritis, with mild anemia</t>
  </si>
  <si>
    <t>End-stage renal disease on dialysis due to glomerulonephritis, with moderate anemia</t>
  </si>
  <si>
    <t>End-stage renal disease on dialysis due to glomerulonephritis, with severe anemia</t>
  </si>
  <si>
    <t>Stage 1-2 chronic kidney disease with preserved GFR due to glomerulonephritis</t>
  </si>
  <si>
    <t>Stage 3 chronic kidney disease due to glomerulonephritis, with mild anemia</t>
  </si>
  <si>
    <t>Stage 3 chronic kidney disease due to glomerulonephritis, with moderate anemia</t>
  </si>
  <si>
    <t>Stage 3 chronic kidney disease due to glomerulonephritis, with severe anemia</t>
  </si>
  <si>
    <t>Stage 3 chronic kidney disease due to glomerulonephritis, without anemia</t>
  </si>
  <si>
    <t>Stage 4 chronic kidney disease untreated due to glomerulonephritis, without anemia</t>
  </si>
  <si>
    <t>Stage 4 chronic kidney disease untreated due to glomerulonephritis, with mild anemia</t>
  </si>
  <si>
    <t>Stage 4 chronic kidney disease untreated due to glomerulonephritis, with moderate anemia</t>
  </si>
  <si>
    <t>Stage 4 chronic kidney disease untreated due to glomerulonephritis, with severe anemia</t>
  </si>
  <si>
    <t>Stage 5 chronic kidney disease untreated due to glomerulonephritis, without anemia</t>
  </si>
  <si>
    <t>Stage 5 chronic kidney disease untreated due to glomerulonephritis, with mild anemia</t>
  </si>
  <si>
    <t>Stage 5 chronic kidney disease untreated due to glomerulonephritis, with moderate anemia</t>
  </si>
  <si>
    <t>Stage 5 chronic kidney disease untreated due to glomerulonephritis, with severe anemia</t>
  </si>
  <si>
    <t>Stage 5 chronic kidney disease untreated due to glomerulonephritis, with asymptomatic heart failure</t>
  </si>
  <si>
    <t>Stage 5 chronic kidney disease untreated due to glomerulonephritis, with mild heart failure</t>
  </si>
  <si>
    <t>Stage 5 chronic kidney disease untreated due to glomerulonephritis, with moderate heart failure</t>
  </si>
  <si>
    <t>Stage 5 chronic kidney disease untreated due to glomerulonephritis, with severe heart failure</t>
  </si>
  <si>
    <t>End-stage renal disease after transplant due to other and unspecified causes</t>
  </si>
  <si>
    <t>End-stage renal disease on dialysis due to other and unspecified causes, without anemia</t>
  </si>
  <si>
    <t xml:space="preserve">End-stage renal disease on dialysis due to other and unspecified causes, with mild anemia </t>
  </si>
  <si>
    <t>End-stage renal disease on dialysis due to other and unspecified causes, with moderate anemia</t>
  </si>
  <si>
    <t>End-stage renal disease on dialysis due to other and unspecified causes, with severe anemia</t>
  </si>
  <si>
    <t>Stage 1-2 chronic kidney disease with preserved GFR due to other causes</t>
  </si>
  <si>
    <t>Stage 3 chronic kidney disease due to other and unspecified causes, with mild anemia</t>
  </si>
  <si>
    <t>Stage 3 chronic kidney disease due to other and unspecified causes, with moderate anemia</t>
  </si>
  <si>
    <t>Stage 3 chronic kidney disease due to other and unspecified causes, with severe anemia</t>
  </si>
  <si>
    <t>Stage 3 chronic kidney disease due to other and unspecified causes, without anemia</t>
  </si>
  <si>
    <t>Stage 4 chronic kidney disease untreated due to other and unspecified causes, without anemia</t>
  </si>
  <si>
    <t>Stage 4 chronic kidney disease untreated due to other and unspecified causes, with mild anemia</t>
  </si>
  <si>
    <t>Stage 4 chronic kidney disease untreated due to other and unspecified causes, with moderate anemia</t>
  </si>
  <si>
    <t>Stage 4 chronic kidney disease untreated due to other and unspecified causes, with severe anemia</t>
  </si>
  <si>
    <t>Stage 5 chronic kidney disease untreated due to other and unspecified causes, without anemia</t>
  </si>
  <si>
    <t>Stage 5 chronic kidney disease untreated due to other and unspecified causes, with mild anemia</t>
  </si>
  <si>
    <t>Stage 5 chronic kidney disease untreated due to other and unspecified causes, with moderate anemia</t>
  </si>
  <si>
    <t>Stage 5 chronic kidney disease untreated due to other and unspecified causes, with severe anemia</t>
  </si>
  <si>
    <t>Stage 5 chronic kidney disease untreated due to other and unspecified causes, with asymptomatic heart failure</t>
  </si>
  <si>
    <t>Stage 5 chronic kidney disease untreated due to other and unspecified causes, with mild heart failure</t>
  </si>
  <si>
    <t>Stage 5 chronic kidney disease untreated due to other and unspecified causes, with moderate heart failure</t>
  </si>
  <si>
    <t>Stage 5 chronic kidney disease untreated due to other and unspecified causes, with severe heart failure</t>
  </si>
  <si>
    <t>Acute glomerulonephritis</t>
  </si>
  <si>
    <t>Mild atopic dermatitis</t>
  </si>
  <si>
    <t>Moderate atopic dermatitis</t>
  </si>
  <si>
    <t>Severe atopic dermatitis</t>
  </si>
  <si>
    <t>Mild contact dermatitis</t>
  </si>
  <si>
    <t>Moderate contact dermatitis</t>
  </si>
  <si>
    <t>Asymptomatic contact dermatitis</t>
  </si>
  <si>
    <t>Symptomatic seborrhoeic dermatitis</t>
  </si>
  <si>
    <t>Asymptomatic seborrhoeic dermatitis</t>
  </si>
  <si>
    <t>Mild psoriasis</t>
  </si>
  <si>
    <t>Moderate psoriasis</t>
  </si>
  <si>
    <t>Severe psoriasis</t>
  </si>
  <si>
    <t>Mild cellulitis</t>
  </si>
  <si>
    <t>Moderate cellulitis</t>
  </si>
  <si>
    <t>Severe cellulitis</t>
  </si>
  <si>
    <t>Impetigo</t>
  </si>
  <si>
    <t>Abscess and other bacterial skin diseases</t>
  </si>
  <si>
    <t>Scabies</t>
  </si>
  <si>
    <t>Tinea capitis</t>
  </si>
  <si>
    <t>Other fungal skin diseases</t>
  </si>
  <si>
    <t>Mild viral warts</t>
  </si>
  <si>
    <t>Severe viral warts</t>
  </si>
  <si>
    <t>Mild molluscum contagiosum</t>
  </si>
  <si>
    <t>Severe molluscum contagiosum</t>
  </si>
  <si>
    <t>Mild acne vulgaris</t>
  </si>
  <si>
    <t>Non-disabling symptomatic acne</t>
  </si>
  <si>
    <t>Moderate acne vulgaris</t>
  </si>
  <si>
    <t>Severe acne vulgaris</t>
  </si>
  <si>
    <t>Mild alopecia areata</t>
  </si>
  <si>
    <t>Severe alopecia areata</t>
  </si>
  <si>
    <t>Pruritus</t>
  </si>
  <si>
    <t>Mild urticaria</t>
  </si>
  <si>
    <t>Severe urticaria</t>
  </si>
  <si>
    <t>Mild decubitus ulcer</t>
  </si>
  <si>
    <t>Moderate decubitus ulcer</t>
  </si>
  <si>
    <t>Severe decubitus ulcer</t>
  </si>
  <si>
    <t>Symptomatic other skin and subcutaneous diseases</t>
  </si>
  <si>
    <t>Asymptomatic other skin and subcutaneous diseases</t>
  </si>
  <si>
    <t>Moderate vision impairment due to glaucoma</t>
  </si>
  <si>
    <t>Severe vision impairment due to glaucoma</t>
  </si>
  <si>
    <t>Blindness due to glaucoma</t>
  </si>
  <si>
    <t>Moderate vision impairment due to cataract</t>
  </si>
  <si>
    <t>Severe vision impairment due to cataract</t>
  </si>
  <si>
    <t>Blindness due to cataract</t>
  </si>
  <si>
    <t>Moderate vision impairment due to macular degeneration</t>
  </si>
  <si>
    <t>Severe vision impairment due to macular degeneration</t>
  </si>
  <si>
    <t>Blindness due to macular degeneration</t>
  </si>
  <si>
    <t>Moderate vision impairment due to uncorrected refractive error</t>
  </si>
  <si>
    <t>Severe vision impairment due to uncorrected refractive error</t>
  </si>
  <si>
    <t>Blindness due to uncorrected refractive error</t>
  </si>
  <si>
    <t>Near vision loss</t>
  </si>
  <si>
    <t>Presbyopia</t>
  </si>
  <si>
    <t xml:space="preserve">has difficulty seeing things that are nearer than 3 feet, but has no difficulty with seeing things at a distance. </t>
  </si>
  <si>
    <t>Moderate vision impairment due to other vision loss</t>
  </si>
  <si>
    <t>Severe vision impairment due to other vision loss</t>
  </si>
  <si>
    <t>Blindness due to other vision loss</t>
  </si>
  <si>
    <t>Mild hearing loss due to age-related and other hearing loss</t>
  </si>
  <si>
    <t>Moderate hearing loss due to age-related and other hearing loss</t>
  </si>
  <si>
    <t>Severe hearing loss due to age-related and other hearing loss</t>
  </si>
  <si>
    <t>Profound hearing loss due to age-related and other hearing loss</t>
  </si>
  <si>
    <t>Complete hearing loss due to age-related and other hearing loss</t>
  </si>
  <si>
    <t>Mild hearing loss with ringing due to age-related and other hearing loss</t>
  </si>
  <si>
    <t>Moderate hearing loss with ringing due to age-related and other hearing loss</t>
  </si>
  <si>
    <t>Severe hearing loss with ringing due to age-related and other hearing loss</t>
  </si>
  <si>
    <t>Profound hearing loss with ringing due to age-related and other hearing loss</t>
  </si>
  <si>
    <t>Complete hearing loss with ringing due to age-related and other hearing loss</t>
  </si>
  <si>
    <t>Moderately severe hearing loss due to age-related and other hearing loss</t>
  </si>
  <si>
    <t>Moderately severe hearing loss with ringing due to age-related and other hearing loss</t>
  </si>
  <si>
    <t>Mild chronic other sense organ diseases</t>
  </si>
  <si>
    <t>Asymptomatic chronic other sense organ diseases</t>
  </si>
  <si>
    <t>Moderate chronic other sense organ diseases</t>
  </si>
  <si>
    <t>Vertigo</t>
  </si>
  <si>
    <t>Mild acute other sense organ diseases</t>
  </si>
  <si>
    <t>Moderate acute other sense organ diseases</t>
  </si>
  <si>
    <t>Asymptomatic acute other sense organ diseases</t>
  </si>
  <si>
    <t>Mild rheumatoid arthritis</t>
  </si>
  <si>
    <t>Musculoskeletal problems, upper limbs, moderate</t>
  </si>
  <si>
    <t>has moderate pain and stiffness in the arms and hands, which causes difficulty lifting, carrying, and holding things, and trouble sleeping because of the pain.</t>
  </si>
  <si>
    <t>Moderate rheumatoid arthritis</t>
  </si>
  <si>
    <t>Musculoskeletal problems, generalized, moderate</t>
  </si>
  <si>
    <t>has pain and deformity in most joints, causing difficulty moving around, getting up and down, and using the hands for lifting and carrying. The person often feels fatigue.</t>
  </si>
  <si>
    <t>Severe rheumatoid arthritis</t>
  </si>
  <si>
    <t>Musculoskeletal problems, generalized, severe</t>
  </si>
  <si>
    <t>has severe, constant pain and deformity in most joints, causing difficulty moving around, getting up and down, eating, dressing, lifting, carrying and using the hands. The person often feels sadness, anxiety and extreme fatigue.</t>
  </si>
  <si>
    <t>Asymptomatic rheumatoid arthritis</t>
  </si>
  <si>
    <t>Mild osteoarthritis of the hip</t>
  </si>
  <si>
    <t>Musculoskeletal problems, lower limbs, mild</t>
  </si>
  <si>
    <t>has pain in the leg, which causes some difficulty running, walking long distances, and getting up and down.</t>
  </si>
  <si>
    <t>Moderate osteoarthritis of the hip</t>
  </si>
  <si>
    <t>Severe osteoarthritis of the hip</t>
  </si>
  <si>
    <t>Musculoskeletal problems, lower limbs, severe</t>
  </si>
  <si>
    <t>has severe pain in the leg, which makes the person limp and causes a lot of difficulty walking, standing, lifting and carrying heavy things, getting up and down, and sleeping.</t>
  </si>
  <si>
    <t>Asymptomatic osteoarthritis of the hip</t>
  </si>
  <si>
    <t>Mild osteoarthritis of the knee</t>
  </si>
  <si>
    <t>Moderate osteoarthritis of the knee</t>
  </si>
  <si>
    <t>Severe osteoarthritis of the knee</t>
  </si>
  <si>
    <t>Asymptomatic osteoarthritis of the knee</t>
  </si>
  <si>
    <t>Mild osteoarthritis of the hand and foot</t>
  </si>
  <si>
    <t>Moderate osteoarthritis of the hand and foot</t>
  </si>
  <si>
    <t>Severe osteoarthritis of the hand and foot</t>
  </si>
  <si>
    <t>Asymptomatic osteoarthritis of the hand and foot</t>
  </si>
  <si>
    <t>Mild osteoarthritis other</t>
  </si>
  <si>
    <t>Moderate osteoarthritis other</t>
  </si>
  <si>
    <t>Severe osteoarthritis other</t>
  </si>
  <si>
    <t>Asymptomatic osteoarthritis other</t>
  </si>
  <si>
    <t>Severe low back pain with leg pain</t>
  </si>
  <si>
    <t>Back pain, severe, with leg pain</t>
  </si>
  <si>
    <t>has severe back and leg pain, which causes difficulty dressing, sitting, standing, walking, and lifting things. The person sleeps poorly and feels worried.</t>
  </si>
  <si>
    <t>Most severe low back pain with leg pain</t>
  </si>
  <si>
    <t>Back pain, most severe, with leg pain</t>
  </si>
  <si>
    <t>has constant back and leg pain, which causes difficulty dressing, sitting, standing, walking, and lifting things. The person sleeps poorly, is worried, and has lost some enjoyment in life.</t>
  </si>
  <si>
    <t>Mild low back pain with leg pain</t>
  </si>
  <si>
    <t>Moderate low back pain with leg pain</t>
  </si>
  <si>
    <t>Severe low back pain without leg pain</t>
  </si>
  <si>
    <t>Back pain, severe, without leg pain</t>
  </si>
  <si>
    <t>has severe back pain, which causes difficulty dressing, sitting, standing, walking, and lifting things. The person sleeps poorly and feels worried.</t>
  </si>
  <si>
    <t>Most severe low back pain without leg pain</t>
  </si>
  <si>
    <t>Back pain, most severe, without leg pain</t>
  </si>
  <si>
    <t>has constant back pain, which causes difficulty dressing, sitting, standing, walking, and lifting things. The person sleeps poorly, is worried, and has lost some enjoyment in life.</t>
  </si>
  <si>
    <t>Mild low back pain without leg pain</t>
  </si>
  <si>
    <t>Low back pain, mild</t>
  </si>
  <si>
    <t>has mild back pain, which causes some difficulty dressing, standing, and lifting things.</t>
  </si>
  <si>
    <t>Moderate low back pain without leg pain</t>
  </si>
  <si>
    <t>Low back pain, moderate</t>
  </si>
  <si>
    <t>has moderate back pain, which causes difficulty dressing, sitting, standing, walking, and lifting things.</t>
  </si>
  <si>
    <t>Mild neck pain</t>
  </si>
  <si>
    <t>Neck pain, mild</t>
  </si>
  <si>
    <t>has neck pain, and has difficulty turning the head and lifting things.</t>
  </si>
  <si>
    <t>Severe neck pain</t>
  </si>
  <si>
    <t>Neck pain, severe</t>
  </si>
  <si>
    <t>has severe neck pain, and difficulty turning the head and lifting things. The person gets headaches and arm pain, sleeps poorly, and feels tired and worried.</t>
  </si>
  <si>
    <t>Moderate neck pain</t>
  </si>
  <si>
    <t>Neck pain, moderate</t>
  </si>
  <si>
    <t>has constant neck pain, and has difficulty turning the head, holding arms up, and lifting things</t>
  </si>
  <si>
    <t>Most severe neck pain</t>
  </si>
  <si>
    <t>Neck pain, most severe</t>
  </si>
  <si>
    <t xml:space="preserve">has constant neck pain and arm pain, and difficulty turning the head, holding arms up, and lifting things. The person gets headaches, sleeps poorly, and feels tired and worried. </t>
  </si>
  <si>
    <t>Polyarticular gout</t>
  </si>
  <si>
    <t>Symptomatic episodes of gout</t>
  </si>
  <si>
    <t>Gout, acute</t>
  </si>
  <si>
    <t xml:space="preserve">has severe pain and swelling in the leg, making it very difficult to get up and down, stand, walk, lift, and carry heavy things. The person has trouble sleeping because of the pain. </t>
  </si>
  <si>
    <t>Asymptomatic gout</t>
  </si>
  <si>
    <t>Other musculoskeletal disorders severity level 1</t>
  </si>
  <si>
    <t>Other musculoskeletal disorders severity level 4</t>
  </si>
  <si>
    <t>Other musculoskeletal disorders severity level 2</t>
  </si>
  <si>
    <t>Musculoskeletal problems, upper limbs, mild</t>
  </si>
  <si>
    <t>has mild pain and stiffness in the arms and hands. The person has some difficulty lifting, carrying and holding things.</t>
  </si>
  <si>
    <t>Other musculoskeletal disorders severity level 3</t>
  </si>
  <si>
    <t>Other musculoskeletal disorders severity level 5</t>
  </si>
  <si>
    <t>Other musculoskeletal disorders severity level 6</t>
  </si>
  <si>
    <t>Asymptomatic other musculoskeletal disorders</t>
  </si>
  <si>
    <t>Severe motor and cognitive impairment due to anencephaly</t>
  </si>
  <si>
    <t>Incontinence due to encephalocele</t>
  </si>
  <si>
    <t>Borderline intellectual disability due to encephalocele</t>
  </si>
  <si>
    <t>Mild intellectual disability due to encephalocele</t>
  </si>
  <si>
    <t>Moderate intellectual disability due to encephalocele</t>
  </si>
  <si>
    <t>Severe intellectual disability due to encephalocele</t>
  </si>
  <si>
    <t>Profound intellectual disability due to encephalocele</t>
  </si>
  <si>
    <t>Mild motor impairment due to encephalocele</t>
  </si>
  <si>
    <t>Moderate motor impairment due to encephalocele</t>
  </si>
  <si>
    <t>Severe motor impairment due to encephalocele</t>
  </si>
  <si>
    <t>Mild motor impairment and mild intellectual disability due to encephalocele</t>
  </si>
  <si>
    <t>Moderate motor impairment and moderate intellectual disability due to encephalocele</t>
  </si>
  <si>
    <t>Severe motor impairment and incontinence due to encephalocele</t>
  </si>
  <si>
    <t>Severe motor impairment with incontinence</t>
  </si>
  <si>
    <t>Mild motor impairment and profound intellectual disability due to encephalocele</t>
  </si>
  <si>
    <t>Moderate motor impairment and profound intellectual disability due to encephalocele</t>
  </si>
  <si>
    <t>Severe motor impairment and profound intellectual disability due to encephalocele</t>
  </si>
  <si>
    <t>Mild motor impairment, profound intellectual disability and incontinence due to encephalocele</t>
  </si>
  <si>
    <t>Asymptomatic encephalocele following treatment</t>
  </si>
  <si>
    <t>Severe motor impairment, mild intellectual disability and incontinence due to encephalocele</t>
  </si>
  <si>
    <t>Severe motor impairment with mild intellectual disability and incontinence</t>
  </si>
  <si>
    <t>Severe motor impairment, moderate intellectual disability and incontinence due to encephalocele</t>
  </si>
  <si>
    <t>Severe motor impairment with moderate intellectual disability and incontinence</t>
  </si>
  <si>
    <t>Severe motor impairment, severe intellectual disability and incontinence due to encephalocele</t>
  </si>
  <si>
    <t>Severe motor impairment with severe intellectual disability and incontinence</t>
  </si>
  <si>
    <t>Severe motor impairment, profound intellectual disability and incontinence due to encephalocele</t>
  </si>
  <si>
    <t>Severe motor impairment and mild intellectual disability due to encephalocele</t>
  </si>
  <si>
    <t>Severe motor impairment with mild intellectual disability</t>
  </si>
  <si>
    <t>Severe motor impairment and moderate intellectual disability due to encephalocele</t>
  </si>
  <si>
    <t>Severe motor impairment with moderate intellectual disability</t>
  </si>
  <si>
    <t>Severe motor impairment and severe intellectual disability due to encephalocele</t>
  </si>
  <si>
    <t>Severe motor impairment with severe intellectual disability</t>
  </si>
  <si>
    <t>Borderline intellectual disability and incontinence due to encephalocele</t>
  </si>
  <si>
    <t>Borderline intellectual functioning and urinary incontinence</t>
  </si>
  <si>
    <t>Mild intellectual disability and incontinence due to encephalocele</t>
  </si>
  <si>
    <t>Mild intellectual disability and urinary incontinence</t>
  </si>
  <si>
    <t>Moderate intellectual disability and incontinence due to encephalocele</t>
  </si>
  <si>
    <t>Moderate intellectual disability and urinary incontinence</t>
  </si>
  <si>
    <t>Severe intellectual disability and incontinence due to encephalocele</t>
  </si>
  <si>
    <t>Severe intellectual disability and urinary incontinence</t>
  </si>
  <si>
    <t>Profound intellectual disability and incontinence due to encephalocele</t>
  </si>
  <si>
    <t>Profound intellectual disability and urinary incontinence</t>
  </si>
  <si>
    <t>Mild motor impairment and borderline intellectual disability due to encephalocele</t>
  </si>
  <si>
    <t>Mild motor impairment and borderline intellectual functioning</t>
  </si>
  <si>
    <t>Moderate motor impairment and borderline intellectual disability due to encephalocele</t>
  </si>
  <si>
    <t>Moderate motor impairment and borderline intellectual functioning</t>
  </si>
  <si>
    <t>Severe motor impairment and borderline intellectual disability due to encephalocele</t>
  </si>
  <si>
    <t>Severe motor impairment and borderline intellectual functioning</t>
  </si>
  <si>
    <t>Moderate motor impairment and mild intellectual disability due to encephalocele</t>
  </si>
  <si>
    <t>Moderate motor impairment and mild intellectual functioning</t>
  </si>
  <si>
    <t>Mild motor impairment and moderate intellectual disability due to encephalocele</t>
  </si>
  <si>
    <t>Mild motor impairment and moderate intellectual functioning</t>
  </si>
  <si>
    <t>Mild motor impairment and severe intellectual disability due to encephalocele</t>
  </si>
  <si>
    <t>Mild motor impairment and severe intellectual functioning</t>
  </si>
  <si>
    <t>Moderate motor impairment and severe intellectual disability due to encephalocele</t>
  </si>
  <si>
    <t>Moderate motor impairment and severe intellectual functioning</t>
  </si>
  <si>
    <t>Mild motor impairment, borderline intellectual disability and incontinence due to encephalocele</t>
  </si>
  <si>
    <t>Mild motor impairment, borderline intellectual functioning, and urinary incontinence</t>
  </si>
  <si>
    <t>Moderate motor impairment, borderline intellectual disability and incontinence due to encephalocele</t>
  </si>
  <si>
    <t>Moderate motor impairment, borderline intellectual functioning, and urinary incontinence</t>
  </si>
  <si>
    <t>Severe motor impairment, borderline intellectual disability and incontinence due to encephalocele</t>
  </si>
  <si>
    <t>Severe motor impairment, borderline intellectual functioning, and urinary incontinence</t>
  </si>
  <si>
    <t>Mild motor impairment, mild intellectual disability and incontinence due to encephalocele</t>
  </si>
  <si>
    <t>Mild motor impairment, mild intellectual functioning, and urinary incontinence</t>
  </si>
  <si>
    <t>Moderate motor impairment, mild intellectual disability and incontinence due to encephalocele</t>
  </si>
  <si>
    <t>Moderate motor impairment, mild intellectual functioning, and urinary incontinence</t>
  </si>
  <si>
    <t>Mild motor impairment, moderate intellectual disability and incontinence due to encephalocele</t>
  </si>
  <si>
    <t>Mild motor impairment, moderate intellectual functioning, and urinary incontinence</t>
  </si>
  <si>
    <t>Moderate motor impairment, moderate intellectual disability and incontinence due to encephalocele</t>
  </si>
  <si>
    <t>Moderate motor impairment, moderate intellectual functioning, and urinary incontinence</t>
  </si>
  <si>
    <t>Mild motor impairment, severe intellectual disability and incontinence due to encephalocele</t>
  </si>
  <si>
    <t>Mild motor impairment, servere intellectual functioning, and urinary incontinence</t>
  </si>
  <si>
    <t>Moderate motor impairment, severe intellectual disability and incontinence due to encephalocele</t>
  </si>
  <si>
    <t>Moderate motor impairment, servere intellectual functioning, and urinary incontinence</t>
  </si>
  <si>
    <t>Mild motor impairment and incontinence due to encephalocele</t>
  </si>
  <si>
    <t>Mild motor impairment and urinary incontinence</t>
  </si>
  <si>
    <t>Moderate motor impairment and incontinence due to encephalocele</t>
  </si>
  <si>
    <t>Moderate motor impairment and urinary incontinence</t>
  </si>
  <si>
    <t>Moderate motor impairment, profound intellectual disability and incontinence due to encephalocele</t>
  </si>
  <si>
    <t>Mild motor impairment, profound intellectual functioning, and urinary incontinence</t>
  </si>
  <si>
    <t>Mild motor impairment due to spina bifida</t>
  </si>
  <si>
    <t>Moderate motor impairment due to spina bifida</t>
  </si>
  <si>
    <t>Severe motor impairment due to spina bifida</t>
  </si>
  <si>
    <t>Mild motor impairment and mild intellectual disability due to spina bifida</t>
  </si>
  <si>
    <t>Moderate motor impairment and moderate intellectual disability due to spina bifida</t>
  </si>
  <si>
    <t>Severe motor impairment and incontinence due to spina bifida</t>
  </si>
  <si>
    <t>Severe motor impairment, mild intellectual disability and incontinence due to spina bifida</t>
  </si>
  <si>
    <t>Severe motor impairment, moderate intellectual disability and incontinence due to spina bifida</t>
  </si>
  <si>
    <t>Severe motor impairment, severe intellectual disability and incontinence due to spina bifida</t>
  </si>
  <si>
    <t>Severe motor impairment, profound intellectual disability and incontinence due to spina bifida</t>
  </si>
  <si>
    <t>Severe motor impairment with profound intellectual disability and incontinence</t>
  </si>
  <si>
    <t>Severe motor impairment and mild intellectual disability due to spina bifida</t>
  </si>
  <si>
    <t>Severe motor impairment and moderate intellectual disability due to spina bifida</t>
  </si>
  <si>
    <t>Severe motor impairment and severe intellectual disability due to spina bifida</t>
  </si>
  <si>
    <t>Severe motor impairment and profound intellectual disability due to spina bifida</t>
  </si>
  <si>
    <t>Severe motor impairment with profound intellectual disability</t>
  </si>
  <si>
    <t>Mild motor impairment and borderline intellectual disability due to spina bifida</t>
  </si>
  <si>
    <t>Moderate motor impairment and borderline intellectual disability due to spina bifida</t>
  </si>
  <si>
    <t>Severe motor impairment and borderline intellectual disability due to spina bifida</t>
  </si>
  <si>
    <t>Moderate motor impairment and mild intellectual disability due to spina bifida</t>
  </si>
  <si>
    <t>Mild motor impairment and moderate intellectual disability due to spina bifida</t>
  </si>
  <si>
    <t>Mild motor impairment and severe intellectual disability due to spina bifida</t>
  </si>
  <si>
    <t>Moderate motor impairment and severe intellectual disability due to spina bifida</t>
  </si>
  <si>
    <t>Mild motor impairment, borderline intellectual disability and incontinence due to spina bifida</t>
  </si>
  <si>
    <t>Moderate motor impairment, borderline intellectual disability and incontinence due to spina bifida</t>
  </si>
  <si>
    <t>Severe motor impairment, borderline intellectual disability and incontinence due to spina bifida</t>
  </si>
  <si>
    <t>Mild motor impairment, mild intellectual disability and incontinence due to spina bifida</t>
  </si>
  <si>
    <t>Moderate motor impairment, mild intellectual disability and incontinence due to spina bifida</t>
  </si>
  <si>
    <t>Mild motor impairment, moderate intellectual disability and incontinence due to spina bifida</t>
  </si>
  <si>
    <t>Moderate motor impairment, moderate intellectual disability and incontinence due to spina bifida</t>
  </si>
  <si>
    <t>Mild motor impairment, severe intellectual disability and incontinence due to spina bifida</t>
  </si>
  <si>
    <t>Moderate motor impairment, severe intellectual disability and incontinence due to spina bifida</t>
  </si>
  <si>
    <t>Mild motor impairment and incontinence due to spina bifida</t>
  </si>
  <si>
    <t>Moderate motor impairment and incontinence due to spina bifida</t>
  </si>
  <si>
    <t>Mild motor impairment, profound intellectual disability and incontinence due to spina bifida</t>
  </si>
  <si>
    <t>Mild motor impairment and profound intellectual disability due to spina bifida</t>
  </si>
  <si>
    <t>Mild motor impairment with profound intellectual disability</t>
  </si>
  <si>
    <t>Moderate motor impairment and profound intellectual disability due to spina bifida</t>
  </si>
  <si>
    <t>Moderate motor impairment with profound intellectual disability</t>
  </si>
  <si>
    <t>Moderate motor impairment, profound intellectual disability and incontinence due to spina bifida</t>
  </si>
  <si>
    <t>Moderate motor impairment with profound intellectual disability and incontinence</t>
  </si>
  <si>
    <t>Congenital heart disease without heart failure or intellectual disability due to critical malformations of great vessels, congenital valvular heart disease and patent ductus arteriosus</t>
  </si>
  <si>
    <t>Congenital heart disease</t>
  </si>
  <si>
    <t>(custom DW from MEPS)</t>
  </si>
  <si>
    <t>Congenital heart disease and mild heart failure without intellectual disability due to critical malformations of great vessels, congenital valvular heart disease and patent ductus arteriosus</t>
  </si>
  <si>
    <t>Congenital heart disease and mild heart failure</t>
  </si>
  <si>
    <t>Congenital heart disease and moderate heart failure without intellectual disability due to critical malformations of great vessels, congenital valvular heart disease and patent ductus arteriosus</t>
  </si>
  <si>
    <t>Congenital heart disease and moderate heart failure</t>
  </si>
  <si>
    <t>Congenital heart disease and severe heart failure without intellectual disability due to critical malformations of great vessels, congenital valvular heart disease and patent ductus arteriosus</t>
  </si>
  <si>
    <t>Congenital heart disease and severe heart failure</t>
  </si>
  <si>
    <t>Congenital heart disease, borderline intellectual disability and mild heart failure due to critical malformations of great vessels, congenital valvular heart disease and patent ductus arteriosus</t>
  </si>
  <si>
    <t>Congenital heart disease, borderline intellectual functioning, and mild heart failure</t>
  </si>
  <si>
    <t>Congenital heart disease, borderline intellectual disability and moderate heart failure due to critical malformations of great vessels, congenital valvular heart disease and patent ductus arteriosus</t>
  </si>
  <si>
    <t>Congenital heart disease, borderline intellectual functioning, and moderate heart failure</t>
  </si>
  <si>
    <t>Congenital heart disease, borderline intellectual disability and severe heart failure due to critical malformations of great vessels, congenital valvular heart disease and patent ductus arteriosus</t>
  </si>
  <si>
    <t>Congenital heart disease,borderline intellectual functioning, and severe heart failure</t>
  </si>
  <si>
    <t>Congenital heart disease, mild intellectual disability and mild heart failure due to critical malformations of great vessels, congenital valvular heart disease and patent ductus arteriosus</t>
  </si>
  <si>
    <t>Congenital heart disease, mild intellectual disability, and mild heart failure</t>
  </si>
  <si>
    <t>Congenital heart disease, mild intellectual disability and moderate heart failure due to critical malformations of great vessels, congenital valvular heart disease and patent ductus arteriosus</t>
  </si>
  <si>
    <t>Congenital heart disease, mild intellectual disability, and moderate heart failure</t>
  </si>
  <si>
    <t>Congenital heart disease, mild intellectual disability and severe heart failure due to critical malformations of great vessels, congenital valvular heart disease and patent ductus arteriosus</t>
  </si>
  <si>
    <t>Congenital heart disease, mild intellectual disability, and servere heart failure</t>
  </si>
  <si>
    <t>Congenital heart disease, moderate intellectual disability and mild heart failure due to critical malformations of great vessels, congenital valvular heart disease and patent ductus arteriosus</t>
  </si>
  <si>
    <t>Congenital heart disease, moderate intellectual disability, and mild heart failure</t>
  </si>
  <si>
    <t>Congenital heart disease, moderate intellectual disability and moderate heart failure due to critical malformations of great vessels, congenital valvular heart disease and patent ductus arteriosus</t>
  </si>
  <si>
    <t>Congenital heart disease, moderate intellectual disability, and moderate heart failure</t>
  </si>
  <si>
    <t>Congenital heart disease, moderate intellectual disability and severe heart failure due to critical malformations of great vessels, congenital valvular heart disease and patent ductus arteriosus</t>
  </si>
  <si>
    <t>Congenital heart disease, moderate intellectual disability, and severe heart failure</t>
  </si>
  <si>
    <t>Congenital heart disease, severe intellectual disability and mild heart failure due to critical malformations of great vessels, congenital valvular heart disease and patent ductus arteriosus</t>
  </si>
  <si>
    <t>Congenital heart disease, severe intellectual disability, and mild heart failure</t>
  </si>
  <si>
    <t>Congenital heart disease, severe intellectual disability and moderate heart failure due to critical malformations of great vessels, congenital valvular heart disease and patent ductus arteriosus</t>
  </si>
  <si>
    <t>Congenital heart disease, severe intellectual disability, and moderate heart failure</t>
  </si>
  <si>
    <t>Congenital heart disease, severe intellectual disability and severe heart failure due to critical malformations of great vessels, congenital valvular heart disease and patent ductus arteriosus</t>
  </si>
  <si>
    <t>Congenital heart disease, severe intellectual disability, and severe heart failure</t>
  </si>
  <si>
    <t>Congenital heart disease, profound intellectual disability and mild heart failure due to critical malformations of great vessels, congenital valvular heart disease and patent ductus arteriosus</t>
  </si>
  <si>
    <t>Congenital heart disease, profound intellectual disability, and mild heart failure</t>
  </si>
  <si>
    <t>Congenital heart disease, profound intellectual disability and moderate heart failure due to critical malformations of great vessels, congenital valvular heart disease and patent ductus arteriosus</t>
  </si>
  <si>
    <t>Congenital heart disease, profound intellectual disability, and moderate heart failure</t>
  </si>
  <si>
    <t>Congenital heart disease, profound intellectual disability and severe heart failure due to critical malformations of great vessels, congenital valvular heart disease and patent ductus arteriosus</t>
  </si>
  <si>
    <t>Congenital heart disease, profound intellectual disability, and severe heart failure</t>
  </si>
  <si>
    <t>Congenital heart disease and borderline intellectual disability without heart failure due to critical malformations of great vessels, congenital valvular heart disease and patent ductus arteriosus</t>
  </si>
  <si>
    <t>Congenital heart disease and borderline intellectual functioning</t>
  </si>
  <si>
    <t>Congenital heart disease and mild intellectual disability without heart failure due to critical malformations of great vessels, congenital valvular heart disease and patent ductus arteriosus</t>
  </si>
  <si>
    <t>Congenital heart disease and Intellectual disability / mental retardation, mild</t>
  </si>
  <si>
    <t>Congenital heart disease and moderate intellectual disability without heart failure due to critical malformations of great vessels, congenital valvular heart disease and patent ductus arteriosus</t>
  </si>
  <si>
    <t>Congenital heart disease and Intellectual disability / mental retardation, moderate</t>
  </si>
  <si>
    <t>Congenital heart disease and severe intellectual disability without heart failure due to critical malformations of great vessels, congenital valvular heart disease and patent ductus arteriosus</t>
  </si>
  <si>
    <t>Congenital heart disease and Intellectual disability / mental retardation, severe</t>
  </si>
  <si>
    <t>Congenital heart disease and profound intellectual disability without heart failure due to critical malformations of great vessels, congenital valvular heart disease and patent ductus arteriosus</t>
  </si>
  <si>
    <t>Congenital heart disease and Intellectual disability / mental retardation, profound</t>
  </si>
  <si>
    <t>Congenital heart disease and controlled, medically managed heart failure without intellectual disability due to critical malformations of great vessels, congenital valvular heart disease and patent ductus arteriosus</t>
  </si>
  <si>
    <t>Congenital heart disease and generic uncomplicated disease: worry and daily medication</t>
  </si>
  <si>
    <t>Congenital heart disease, borderline intellectual disability and controlled, medically managed heart failure due to critical malformations of great vessels, congenital valvular heart disease and patent ductus arteriosus</t>
  </si>
  <si>
    <t>Congenital heart disease and borderline intellectual functioning and generic uncomplicated disease: worry and daily medication</t>
  </si>
  <si>
    <t>Congenital heart disease, mild intellectual disability and controlled, medically managed heart failure due to critical malformations of great vessels, congenital valvular heart disease and patent ductus arteriosus</t>
  </si>
  <si>
    <t>Congenital heart disease and Intellectual disability / mental retardation, mild and generic uncomplicated disease: worry and daily medication</t>
  </si>
  <si>
    <t>Congenital heart disease, moderate intellectual disability and controlled, medically managed heart failure due to critical malformations of great vessels, congenital valvular heart disease and patent ductus arteriosus</t>
  </si>
  <si>
    <t>Congenital heart disease and Intellectual disability / mental retardation, moderate and generic uncomplicated disease: worry and daily medication</t>
  </si>
  <si>
    <t>Congenital heart disease, profound intellectual disability and controlled, medically managed heart failure due to critical malformations of great vessels, congenital valvular heart disease and patent ductus arteriosus</t>
  </si>
  <si>
    <t>Congenital heart disease and Intellectual disability / mental retardation, severe and generic uncomplicated disease: worry and daily medication</t>
  </si>
  <si>
    <t>Congenital heart disease, severe intellectual disability and controlled, medically managed heart failure due to critical malformations of great vessels, congenital valvular heart disease and patent ductus arteriosus</t>
  </si>
  <si>
    <t>Congenital heart disease and Intellectual disability / mental retardation, profound and generic uncomplicated disease: worry and daily medication</t>
  </si>
  <si>
    <t>Congenital heart disease without intellectual disability or heart failure due to other congenital cardiovascular anomalies</t>
  </si>
  <si>
    <t>Congenital heart disease and borderline intellectual disability without heart failure due to other congenital cardiovascular anomalies</t>
  </si>
  <si>
    <t>Congenital heart disease and mild intellectual disability without heart failure due to other congenital cardiovascular anomalies</t>
  </si>
  <si>
    <t>Congenital heart disease and moderate intellectual disability without heart failure due to other congenital cardiovascular anomalies</t>
  </si>
  <si>
    <t>Congenital heart disease and severe intellectual disability without heart failure due to other congenital cardiovascular anomalies</t>
  </si>
  <si>
    <t>Congenital heart disease and profound intellectual disability without heart failure due to other congenital cardiovascular anomalies</t>
  </si>
  <si>
    <t>Congenital heart disease without intellectual disability or heart failure due to severe congenital heart anomalies excluding single ventricle heart defects</t>
  </si>
  <si>
    <t>Congenital heart disease and mild heart failure without intellectual disability due to severe congenital heart anomalies excluding single ventricle heart defects</t>
  </si>
  <si>
    <t>Congenital heart disease and moderate heart failure without intellectual disability due to severe congenital heart anomalies excluding single ventricle heart defects</t>
  </si>
  <si>
    <t>Congenital heart disease and severe heart failure without intellectual disability due to severe congenital heart anomalies excluding single ventricle heart defects</t>
  </si>
  <si>
    <t>Congenital heart disease, borderline intellectual disability and mild heart failure due to severe congenital heart anomalies excluding single ventricle heart defects</t>
  </si>
  <si>
    <t>Congenital heart disease, borderline intellectual disability and moderate heart failure due to severe congenital heart anomalies excluding single ventricle heart defects</t>
  </si>
  <si>
    <t>Congenital heart disease, borderline intellectual disability and severe heart failure due to severe congenital heart anomalies excluding single ventricle heart defects</t>
  </si>
  <si>
    <t>Congenital heart disease, mild intellectual disability and mild heart failure due to severe congenital heart anomalies excluding single ventricle heart defects</t>
  </si>
  <si>
    <t>Congenital heart disease, mild intellectual disability and moderate heart failure due to severe congenital heart anomalies excluding single ventricle heart defects</t>
  </si>
  <si>
    <t>Congenital heart disease, mild intellectual disability and severe heart failure due to severe congenital heart anomalies excluding single ventricle heart defects</t>
  </si>
  <si>
    <t>Congenital heart disease, moderate intellectual disability and mild heart failure due to severe congenital heart anomalies excluding single ventricle heart defects</t>
  </si>
  <si>
    <t>Congenital heart disease, moderate intellectual disability and moderate heart failure due to severe congenital heart anomalies excluding single ventricle heart defects</t>
  </si>
  <si>
    <t>Congenital heart disease, moderate intellectual disability and severe heart failure due to severe congenital heart anomalies excluding single ventricle heart defects</t>
  </si>
  <si>
    <t>Congenital heart disease, severe intellectual disability and mild heart failure due to severe congenital heart anomalies excluding single ventricle heart defects</t>
  </si>
  <si>
    <t>Congenital heart disease, severe intellectual disability and moderate heart failure due to severe congenital heart anomalies excluding single ventricle heart defects</t>
  </si>
  <si>
    <t>Congenital heart disease, severe intellectual disability and severe heart failure due to severe congenital heart anomalies excluding single ventricle heart defects</t>
  </si>
  <si>
    <t>Congenital heart disease, profound intellectual disability and mild heart failure due to severe congenital heart anomalies excluding single ventricle heart defects</t>
  </si>
  <si>
    <t>Congenital heart disease, profound intellectual disability and moderate heart failure due to severe congenital heart anomalies excluding single ventricle heart defects</t>
  </si>
  <si>
    <t>Congenital heart disease, profound intellectual disability and severe heart failure due to severe congenital heart anomalies excluding single ventricle heart defects</t>
  </si>
  <si>
    <t>Congenital heart disease and borderline intellectual disability without heart failure due to severe congenital heart anomalies excluding single ventricle heart defects</t>
  </si>
  <si>
    <t>Congenital heart disease and mild intellectual disability  without heart failure due to severe congenital heart anomalies excluding single ventricle heart defects</t>
  </si>
  <si>
    <t>Congenital heart disease and moderate intellectual disability  without heart failure due to severe congenital heart anomalies excluding single ventricle heart defects</t>
  </si>
  <si>
    <t>Congenital heart disease and severe intellectual disability  without heart failure due to severe congenital heart anomalies excluding single ventricle heart defects</t>
  </si>
  <si>
    <t>Congenital heart disease and profound intellectual disability without heart failure due to severe congenital heart anomalies excluding single ventricle heart defects</t>
  </si>
  <si>
    <t>Congenital heart disease and controlled, medically managed heart failure without intellectual disability due to severe congenital heart anomalies excluding single ventricle heart defects</t>
  </si>
  <si>
    <t>Congenital heart disease, borderline intellectual disability and controlled, medically managed heart failure due to severe congenital heart anomalies excluding single ventricle heart defects</t>
  </si>
  <si>
    <t>Congenital heart disease, mild intellectual disability and controlled, medically managed heart failure due to severe congenital heart anomalies excluding single ventricle heart defects</t>
  </si>
  <si>
    <t>Congenital heart disease, moderate intellectual disability and controlled, medically managed heart failure due to severe congenital heart anomalies excluding single ventricle heart defects</t>
  </si>
  <si>
    <t>Congenital heart disease, profound intellectual disability and controlled, medically managed heart failure due to severe congenital heart anomalies excluding single ventricle heart defects</t>
  </si>
  <si>
    <t>Congenital heart disease, severe intellectual disability and controlled, medically managed heart failure due to severe congenital heart anomalies excluding single ventricle heart defects</t>
  </si>
  <si>
    <t>Congenital heart disease without intellectual disability or heart failure due to single ventricle and single ventricle pathway heart defects</t>
  </si>
  <si>
    <t>Congenital heart disease and mild heart failure without intellectual disability due to single ventricle and single ventricle pathway heart defects</t>
  </si>
  <si>
    <t>Congenital heart disease and moderate heart failure without intellectual disability due to single ventricle and single ventricle pathway heart defects</t>
  </si>
  <si>
    <t>Congenital heart disease and severe heart failure without intellectual disability due to single ventricle and single ventricle pathway heart defects</t>
  </si>
  <si>
    <t>Congenital heart disease, borderline intellectual disability and mild heart failure due to single ventricle and single ventricle pathway heart defects</t>
  </si>
  <si>
    <t>Congenital heart disease, borderline intellectual disability and moderate heart failure due to single ventricle and single ventricle pathway heart defects</t>
  </si>
  <si>
    <t>Congenital heart disease, borderline intellectual disability and severe heart failure due to single ventricle and single ventricle pathway heart defects</t>
  </si>
  <si>
    <t>Congenital heart disease, mild intellectual disability and mild heart failure due to single ventricle and single ventricle pathway heart defects</t>
  </si>
  <si>
    <t>Congenital heart disease, mild intellectual disability and moderate heart failure due to single ventricle and single ventricle pathway heart defects</t>
  </si>
  <si>
    <t>Congenital heart disease, mild intellectual disability and severe heart failure due to single ventricle and single ventricle pathway heart defects</t>
  </si>
  <si>
    <t>Congenital heart disease, moderate intellectual disability and mild heart failure due to single ventricle and single ventricle pathway heart defects</t>
  </si>
  <si>
    <t>Congenital heart disease, moderate intellectual disability and moderate heart failure due to single ventricle and single ventricle pathway heart defects</t>
  </si>
  <si>
    <t>Congenital heart disease, moderate intellectual disability and severe heart failure due to single ventricle and single ventricle pathway heart defects</t>
  </si>
  <si>
    <t>Congenital heart disease, severe intellectual disability and mild heart failure due to single ventricle and single ventricle pathway heart defects</t>
  </si>
  <si>
    <t>Congenital heart disease, severe intellectual disability and moderate heart failure due to single ventricle and single ventricle pathway heart defects</t>
  </si>
  <si>
    <t>Congenital heart disease, severe intellectual disability and severe heart failure due to single ventricle and single ventricle pathway heart defects</t>
  </si>
  <si>
    <t>Congenital heart disease, profound intellectual disability and mild heart failure due to single ventricle and single ventricle pathway heart defects</t>
  </si>
  <si>
    <t>Congenital heart disease, profound intellectual disability and moderate heart failure due to single ventricle and single ventricle pathway heart defects</t>
  </si>
  <si>
    <t>Congenital heart disease, profound intellectual disability and severe heart failure due to single ventricle and single ventricle pathway heart defects</t>
  </si>
  <si>
    <t>Congenital heart disease and borderline intellectual disability without heart failure due to single ventricle and single ventricle pathway heart defects</t>
  </si>
  <si>
    <t>Congenital heart disease and mild intellectual disability without heart failure  due to single ventricle and single ventricle pathway heart defects</t>
  </si>
  <si>
    <t>Congenital heart disease and moderate intellectual disability without heart failure  due to single ventricle and single ventricle pathway heart defects</t>
  </si>
  <si>
    <t>Congenital heart disease and severe intellectual disability without heart failure due to single ventricle and single ventricle pathway heart defects</t>
  </si>
  <si>
    <t>Congenital heart disease and profound intellectual disability without heart failure due to single ventricle and single ventricle pathway heart defects</t>
  </si>
  <si>
    <t>Congenital heart disease and controlled, medically managed heart failure without intellectual disability due to single ventricle and single ventricle pathway heart defects</t>
  </si>
  <si>
    <t>Congenital heart disease, borderline intellectual disability and controlled, medically managed heart failure due to single ventricle and single ventricle pathway heart defects</t>
  </si>
  <si>
    <t>Congenital heart disease, mild intellectual disability and controlled, medically managed heart failure due to single ventricle and single ventricle pathway heart defects</t>
  </si>
  <si>
    <t>Congenital heart disease, moderate intellectual disability and controlled, medically managed heart failure due to single ventricle and single ventricle pathway heart defects</t>
  </si>
  <si>
    <t>Congenital heart disease, profound intellectual disability and controlled, medically managed heart failure due to single ventricle and single ventricle pathway heart defects</t>
  </si>
  <si>
    <t>Congenital heart disease, severe intellectual disability and controlled, medically managed heart failure due to single ventricle and single ventricle pathway heart defects</t>
  </si>
  <si>
    <t>Congenital heart disease without heart failure or intellectual disability due to ventricular septal defect and atrial septal defect</t>
  </si>
  <si>
    <t>Asymptomatic ventricular septal defect and atrial septal defect</t>
  </si>
  <si>
    <t>Congenital heart disease and mild heart failure without intellectual disability due to ventricular septal defect and atrial septal defect</t>
  </si>
  <si>
    <t>Congenital heart disease and moderate heart failure without intellectual disability due to ventricular septal defect and atrial septal defect</t>
  </si>
  <si>
    <t>Congenital heart disease and severe heart without intellectual disability due to ventricular septal defect and atrial septal defect</t>
  </si>
  <si>
    <t>Congenital heart disease, borderline intellectual disability and mild heart failure due to ventricular septal defect and atrial septal defect</t>
  </si>
  <si>
    <t>Congenital heart disease, borderline intellectual disability and moderate heart failure due to ventricular septal defect and atrial septal defect</t>
  </si>
  <si>
    <t>Congenital heart disease, borderline intellectual disability and severe heart failure due to ventricular septal defect and atrial septal defect</t>
  </si>
  <si>
    <t>Congenital heart disease, mild intellectual disability and mild heart failure due to ventricular septal defect and atrial septal defect</t>
  </si>
  <si>
    <t>Congenital heart disease, mild intellectual disability and moderate heart failure due to ventricular septal defect and atrial septal defect</t>
  </si>
  <si>
    <t>Congenital heart disease, mild intellectual disability and severe heart failure due to ventricular septal defect and atrial septal defect</t>
  </si>
  <si>
    <t>Congenital heart disease, moderate intellectual disability and mild heart failure due to ventricular septal defect and atrial septal defect</t>
  </si>
  <si>
    <t>Congenital heart disease, moderate intellectual disability and moderate heart failure due to ventricular septal defect and atrial septal defect</t>
  </si>
  <si>
    <t>Congenital heart disease, moderate intellectual disability and severe heart failure due to ventricular septal defect and atrial septal defect</t>
  </si>
  <si>
    <t>Congenital heart disease, severe intellectual disability and mild heart failure due to ventricular septal defect and atrial septal defect</t>
  </si>
  <si>
    <t>Congenital heart disease, severe intellectual disability and moderate heart failure due to ventricular septal defect and atrial septal defect</t>
  </si>
  <si>
    <t>Congenital heart disease, severe intellectual disability and severe heart failure due to ventricular septal defect and atrial septal defect</t>
  </si>
  <si>
    <t>Congenital heart disease, profound intellectual disability and mild heart failure due to ventricular septal defect and atrial septal defect</t>
  </si>
  <si>
    <t>Congenital heart disease, profound intellectual disability and moderate heart failure due to ventricular septal defect and atrial septal defect</t>
  </si>
  <si>
    <t>Congenital heart disease, profound intellectual disability and severe heart failure due to ventricular septal defect and atrial septal defect</t>
  </si>
  <si>
    <t>Congenital heart disease and borderline intellectual disability without heart failure due to ventricular septal defect and atrial septal defect</t>
  </si>
  <si>
    <t>Congenital heart disease and mild intellectual disability without heart failure due to ventricular septal defect and atrial septal defect</t>
  </si>
  <si>
    <t>Congenital heart disease and moderate intellectual disability without heart failure due to ventricular septal defect and atrial septal defect</t>
  </si>
  <si>
    <t>Congenital heart disease and severe intellectual disability without heart failure due to ventricular septal defect and atrial septal defect</t>
  </si>
  <si>
    <t>Congenital heart disease and profound intellectual disability without heart failure due to ventricular septal defect and atrial septal defect</t>
  </si>
  <si>
    <t>Congenital heart disease and controlled, medically managed heart failure without intellectual disability due to ventricular septal defect and atrial septal defect</t>
  </si>
  <si>
    <t>Congenital heart disease, borderline intellectual disability and controlled, medically managed heart failure due to ventricular septal defect and atrial septal defect</t>
  </si>
  <si>
    <t>Congenital heart disease, mild intellectual disability and controlled, medically managed heart failure due to ventricular septal defect and atrial septal defect</t>
  </si>
  <si>
    <t>Congenital heart disease, moderate intellectual disability and controlled, medically managed heart failure due to ventricular septal defect and atrial septal defect</t>
  </si>
  <si>
    <t>Congenital heart disease, profound intellectual disability and controlled, medically managed heart failure due to ventricular septal defect and atrial septal defect</t>
  </si>
  <si>
    <t>Congenital heart disease, severe intellectual disability and controlled, medically managed heart failure due to ventricular septal defect and atrial septal defect</t>
  </si>
  <si>
    <t>Disfigurement level 1 due to orofacial clefts</t>
  </si>
  <si>
    <t>Disfigurement level 2 due to orofacial clefts</t>
  </si>
  <si>
    <t>Disfigurement level 2 and speech problems due to orofacial clefts</t>
  </si>
  <si>
    <t>Speech problems with disfigurement level 2</t>
  </si>
  <si>
    <t>Mild dementia due to Down syndrome</t>
  </si>
  <si>
    <t>Moderate dementia due to Down syndrome</t>
  </si>
  <si>
    <t>Severe dementia due to Down syndrome</t>
  </si>
  <si>
    <t>Borderline intellectual disability due to Down syndrome</t>
  </si>
  <si>
    <t>Mild intellectual disability due to Down syndrome</t>
  </si>
  <si>
    <t>Moderate intellectual disability due to Down syndrome</t>
  </si>
  <si>
    <t>Severe intellectual disability due to Down syndrome</t>
  </si>
  <si>
    <t>Profound intellectual disability due to Down syndrome</t>
  </si>
  <si>
    <t>Isolated congenital heart disease due to Down syndrome</t>
  </si>
  <si>
    <t>Asymptomatic Down syndrome</t>
  </si>
  <si>
    <t>Borderline intellectual disability with congenital heart disease due to Down syndrome</t>
  </si>
  <si>
    <t>Borderline intellectual disability with congenital heart disease</t>
  </si>
  <si>
    <t>Mild intellectual disability with congenital heart disease due to Down syndrome</t>
  </si>
  <si>
    <t>Mild intellectual disability with congenital heart disease</t>
  </si>
  <si>
    <t>Moderate intellectual disability with congenital heart disease due to Down syndrome</t>
  </si>
  <si>
    <t>Moderate intellectual disability with congenital heart disease</t>
  </si>
  <si>
    <t>Severe intellectual disability with congenital heart disease due to Down syndrome</t>
  </si>
  <si>
    <t>Severe intellectual disability with congenital heart disease</t>
  </si>
  <si>
    <t>Profound intellectual disability with congenital heart disease due to Down syndrome</t>
  </si>
  <si>
    <t>Profound intellectual disability with congenital heart disease</t>
  </si>
  <si>
    <t>Congenital heart disease and mild dementia due to Down syndrome</t>
  </si>
  <si>
    <t>Congenital heart disease and mild dementia</t>
  </si>
  <si>
    <t>Congenital heart disease and moderate dementia due to Down syndrome</t>
  </si>
  <si>
    <t>Congenital heart disease and moderate dementia</t>
  </si>
  <si>
    <t>Congenital heart disease and severe dementia due to Down syndrome</t>
  </si>
  <si>
    <t>Congenital heart disease and severe dementia</t>
  </si>
  <si>
    <t>Borderline intellectual disability, mild dementia, and congenital heart disease due to Down syndrome</t>
  </si>
  <si>
    <t>Congenital heart disease, mild dementia, borderline intellectual disability</t>
  </si>
  <si>
    <t>Mild intellectual disability, mild dementia, and congenital heart disease due to Down syndrome</t>
  </si>
  <si>
    <t>Congenital heart disease, mild dementia, mild intellectual disability</t>
  </si>
  <si>
    <t>Moderate intellectual disability, mild dementia, and congenital heart disease due to Down syndrome</t>
  </si>
  <si>
    <t>Congenital heart disease, mild dementia, moderate intellectual disability</t>
  </si>
  <si>
    <t>Severe intellectual disability, mild dementia, and congenital heart disease due to Down syndrome</t>
  </si>
  <si>
    <t>Congenital heart disease, mild dementia, severe intellectual disability</t>
  </si>
  <si>
    <t>Profound intellectual disability, mild dementia, and congenital heart disease due to Down syndrome</t>
  </si>
  <si>
    <t>Congenital heart disease, mild dementia, profound intellectual disability</t>
  </si>
  <si>
    <t>Borderline intellectual disability, moderate dementia, and congenital heart disease due to Down syndrome</t>
  </si>
  <si>
    <t>Congenital heart disease, moderate dementia, borderline intellectual disability</t>
  </si>
  <si>
    <t>Mild intellectual disability, moderate dementia, and congenital heart disease due to Down syndrome</t>
  </si>
  <si>
    <t>Congenital heart disease, moderate dementia, mild intellectual disability</t>
  </si>
  <si>
    <t>Moderate intellectual disability, moderate dementia, and congenital heart disease due to Down syndrome</t>
  </si>
  <si>
    <t>Congenital heart disease, moderate dementia, moderate intellectual disability</t>
  </si>
  <si>
    <t>Severe intellectual disability, moderate dementia, and congenital heart disease due to Down syndrome</t>
  </si>
  <si>
    <t>Congenital heart disease, moderate dementia, severe intellectual disability</t>
  </si>
  <si>
    <t>Profound intellectual disability, moderate dementia, and congenital heart disease due to Down syndrome</t>
  </si>
  <si>
    <t>Congenital heart disease, moderate dementia, profound intellectual disability</t>
  </si>
  <si>
    <t>Borderline intellectual disability, severe dementia, and congenital heart disease due to Down syndrome</t>
  </si>
  <si>
    <t>Congenital heart disease, severe dementia, borderline intellectual disability</t>
  </si>
  <si>
    <t>Mild intellectual disability, severe dementia, and congenital heart disease due to Down syndrome</t>
  </si>
  <si>
    <t>Congenital heart disease, severe dementia, mild intellectual disability</t>
  </si>
  <si>
    <t>Moderate intellectual disability, severe dementia, and congenital heart disease due to Down syndrome</t>
  </si>
  <si>
    <t>Congenital heart disease, severe dementia, moderate intellectual disability</t>
  </si>
  <si>
    <t>Severe intellectual disability, severe dementia, and congenital heart disease due to Down syndrome</t>
  </si>
  <si>
    <t>Congenital heart disease, severe dementia, severe intellectual disability</t>
  </si>
  <si>
    <t>Profound intellectual disability, severe dementia, and congenital heart disease due to Down syndrome</t>
  </si>
  <si>
    <t>Congenital heart disease, severe dementia, profound intellectual disability</t>
  </si>
  <si>
    <t>Borderline intellectual disability and mild dementia due to Down syndrome</t>
  </si>
  <si>
    <t>Mild dementia, borderline intellectual disability</t>
  </si>
  <si>
    <t>Mild intellectual disability and mild dementia due to Down syndrome</t>
  </si>
  <si>
    <t>Mild dementia, mild intellectual disability</t>
  </si>
  <si>
    <t>Moderate intellectual disability and mild dementia due to Down syndrome</t>
  </si>
  <si>
    <t>Mild dementia, moderate intellectual disability</t>
  </si>
  <si>
    <t>Severe intellectual disability and mild dementia due to Down syndrome</t>
  </si>
  <si>
    <t>Mild dementia, severe intellectual disability</t>
  </si>
  <si>
    <t>Profound intellectual disability and mild dementia due to Down syndrome</t>
  </si>
  <si>
    <t>Mild dementia, profound intellectual disability</t>
  </si>
  <si>
    <t>Borderline intellectual disability and moderate dementia due to Down syndrome</t>
  </si>
  <si>
    <t>Moderate dementia, borderline intellectual disability</t>
  </si>
  <si>
    <t>Mild intellectual disability and moderate dementia due to Down syndrome</t>
  </si>
  <si>
    <t>Moderate dementia, mild intellectual disability</t>
  </si>
  <si>
    <t>Moderate intellectual disability and moderate dementia due to Down syndrome</t>
  </si>
  <si>
    <t>Moderate dementia, moderate intellectual disability</t>
  </si>
  <si>
    <t>Severe intellectual disability and moderate dementia due to Down syndrome</t>
  </si>
  <si>
    <t>Moderate dementia, severe intellectual disability</t>
  </si>
  <si>
    <t>Profound intellectual disability and moderate dementia due to Down syndrome</t>
  </si>
  <si>
    <t>Moderate dementia, profound intellectual disability</t>
  </si>
  <si>
    <t>Borderline intellectual disability and severe dementia due to Down syndrome</t>
  </si>
  <si>
    <t>Severe dementia, borderline intellectual disability</t>
  </si>
  <si>
    <t>Mild intellectual disability and severe dementia due to Down syndrome</t>
  </si>
  <si>
    <t>Severe dementia, mild intellectual disability</t>
  </si>
  <si>
    <t>Moderate intellectual disability and severe dementia due to Down syndrome</t>
  </si>
  <si>
    <t>Severe dementia, moderate intellectual disability</t>
  </si>
  <si>
    <t>Severe intellectual disability and severe dementia due to Down syndrome</t>
  </si>
  <si>
    <t>Severe dementia, severe intellectual disability</t>
  </si>
  <si>
    <t>Profound intellectual disability and severe dementia due to Down syndrome</t>
  </si>
  <si>
    <t>Severe dementia, profound intellectual disability</t>
  </si>
  <si>
    <t>Primary infertility due to Turner syndrome</t>
  </si>
  <si>
    <t>Congenital heart disease due to Turner syndrome</t>
  </si>
  <si>
    <t>Congenital heart disease with infertility due to Turner syndrome</t>
  </si>
  <si>
    <t>Congenital heart disease with primary infertility</t>
  </si>
  <si>
    <t>Asymptomatic Turner syndrome</t>
  </si>
  <si>
    <t>Primary infertility due to Klinefelter syndrome</t>
  </si>
  <si>
    <t>Borderline intellectual disability due to Klinefelter syndrome</t>
  </si>
  <si>
    <t>Mild intellectual disability due to Klinefelter syndrome</t>
  </si>
  <si>
    <t>Mild intellectual disability with infertility due to Klinefelter syndrome</t>
  </si>
  <si>
    <t>Mild intellectual disability with primary infertility</t>
  </si>
  <si>
    <t>Borderline intellectual disability with infertility due to Klinefelter syndrome</t>
  </si>
  <si>
    <t>Borderline intellectual disability with primary infertility</t>
  </si>
  <si>
    <t>Asymptomatic Klinefelter syndrome</t>
  </si>
  <si>
    <t>Mild dementia due to other chromosomal abnormalities</t>
  </si>
  <si>
    <t>Moderate dementia due to other chromosomal abnormalities</t>
  </si>
  <si>
    <t>Severe dementia due to other chromosomal abnormalities</t>
  </si>
  <si>
    <t>Borderline intellectual disability due to other chromosomal abnormalities</t>
  </si>
  <si>
    <t>Mild intellectual disability due to other chromosomal abnormalities</t>
  </si>
  <si>
    <t>Moderate intellectual disability due to other chromosomal abnormalities</t>
  </si>
  <si>
    <t>Severe intellectual disability due to other chromosomal abnormalities</t>
  </si>
  <si>
    <t>Profound intellectual disability due to other chromosomal abnormalities</t>
  </si>
  <si>
    <t>Severe motor and cognitive impairment due to Edward Syndrome or Patau Syndrome</t>
  </si>
  <si>
    <t>Isolated congenital heart disease due to other chromosomal abnormalities</t>
  </si>
  <si>
    <t>Asymptomatic other chromosomal abnormalities</t>
  </si>
  <si>
    <t>Borderline intellectual disability with congenital heart disease due to other chromosomal abnormalities</t>
  </si>
  <si>
    <t>Mild intellectual disability with congenital heart disease due to other chromosomal abnormalities</t>
  </si>
  <si>
    <t>Moderate intellectual disability with congenital heart disease due to other chromosomal abnormalities</t>
  </si>
  <si>
    <t>Severe intellectual disability with congenital heart disease due to other chromosomal abnormalities</t>
  </si>
  <si>
    <t>Profound intellectual disability with congenital heart disease due to other chromosomal abnormalities</t>
  </si>
  <si>
    <t>Congenital heart disease and mild dementia due to other chromosomal abnormalities</t>
  </si>
  <si>
    <t>Congenital heart disease and moderate dementia due to other chromosomal abnormalities</t>
  </si>
  <si>
    <t>Congenital heart disease and severe dementia due to other chromosomal abnormalities</t>
  </si>
  <si>
    <t>Borderline intellectual disability, mild dementia, and congenital heart disease due to other chromosomal abnormalities</t>
  </si>
  <si>
    <t>Mild intellectual disability, mild dementia, and congenital heart disease due to other chromosomal abnormalities</t>
  </si>
  <si>
    <t>Moderate intellectual disability, mild dementia, and congenital heart disease due to other chromosomal abnormalities</t>
  </si>
  <si>
    <t>Severe intellectual disability, mild dementia, and congenital heart disease due to other chromosomal abnormalities</t>
  </si>
  <si>
    <t>Profound intellectual disability, mild dementia, and congenital heart disease due to other chromosomal abnormalities</t>
  </si>
  <si>
    <t>Borderline intellectual disability, moderate dementia, and congenital heart disease due to other chromosomal abnormalities</t>
  </si>
  <si>
    <t>Mild intellectual disability, moderate dementia, and congenital heart disease due to other chromosomal abnormalities</t>
  </si>
  <si>
    <t>Moderate intellectual disability, moderate dementia, and congenital heart disease due to other chromosomal abnormalities</t>
  </si>
  <si>
    <t>Severe intellectual disability, moderate dementia, and congenital heart disease due to other chromosomal abnormalities</t>
  </si>
  <si>
    <t>Profound intellectual disability, moderate dementia, and congenital heart disease due to other chromosomal abnormalities</t>
  </si>
  <si>
    <t>Borderline intellectual disability, severe dementia, and congenital heart disease due to other chromosomal abnormalities</t>
  </si>
  <si>
    <t>Mild intellectual disability, severe dementia, and congenital heart disease due to other chromosomal abnormalities</t>
  </si>
  <si>
    <t>Moderate intellectual disability, severe dementia, and congenital heart disease due to other chromosomal abnormalities</t>
  </si>
  <si>
    <t>Severe intellectual disability, severe dementia, and congenital heart disease due to other chromosomal abnormalities</t>
  </si>
  <si>
    <t>Profound intellectual disability, severe dementia, and congenital heart disease due to other chromosomal abnormalities</t>
  </si>
  <si>
    <t>Borderline intellectual disability and mild dementia due to other chromosomal abnormalities</t>
  </si>
  <si>
    <t>Mild intellectual disability and mild dementia due to other chromosomal abnormalities</t>
  </si>
  <si>
    <t>Moderate intellectual disability and mild dementia due to other chromosomal abnormalities</t>
  </si>
  <si>
    <t>Severe intellectual disability and mild dementia due to other chromosomal abnormalities</t>
  </si>
  <si>
    <t>Profound intellectual disability and mild dementia due to other chromosomal abnormalities</t>
  </si>
  <si>
    <t>Borderline intellectual disability and moderate dementia due to other chromosomal abnormalities</t>
  </si>
  <si>
    <t>Mild intellectual disability and moderate dementia due to other chromosomal abnormalities</t>
  </si>
  <si>
    <t>Moderate intellectual disability and moderate dementia due to other chromosomal abnormalities</t>
  </si>
  <si>
    <t>Severe intellectual disability and moderate dementia due to other chromosomal abnormalities</t>
  </si>
  <si>
    <t>Profound intellectual disability and moderate dementia due to other chromosomal abnormalities</t>
  </si>
  <si>
    <t>Borderline intellectual disability and severe dementia due to other chromosomal abnormalities</t>
  </si>
  <si>
    <t>Mild intellectual disability and severe dementia due to other chromosomal abnormalities</t>
  </si>
  <si>
    <t>Moderate intellectual disability and severe dementia due to other chromosomal abnormalities</t>
  </si>
  <si>
    <t>Severe intellectual disability and severe dementia due to other chromosomal abnormalities</t>
  </si>
  <si>
    <t>Profound intellectual disability and severe dementia due to other chromosomal abnormalities</t>
  </si>
  <si>
    <t>Severe motor and cognitive impairment with congenital heart disease due to Edward Syndrome or Patau Syndrome</t>
  </si>
  <si>
    <t>Severe motor plus cognitive impairments and congenital heart disease</t>
  </si>
  <si>
    <t>Disfigurement level 1 due to polydactyly and syndactyly</t>
  </si>
  <si>
    <t>Disfigurement level 2 due to congenital limb deficiency</t>
  </si>
  <si>
    <t>Disfigurement level 2 with pain due to congenital limb deficiency</t>
  </si>
  <si>
    <t>Disfigurement level 2 and mild motor impairment due to congenital limb deficiency</t>
  </si>
  <si>
    <t>Level 2 disfigurement with mild motor impairment</t>
  </si>
  <si>
    <t>Disfigurement level 2 and moderate motor impairment due to congenital limb deficiency</t>
  </si>
  <si>
    <t>Level 2 disfigurement with moderate motor impairment</t>
  </si>
  <si>
    <t>Disfigurement level 2 with pain and mild motor impairment due to congenital limb deficiency</t>
  </si>
  <si>
    <t>Level 2 disfigurement with itch/pain and mild motor impairment</t>
  </si>
  <si>
    <t>Disfigurement level 2 with pain and moderate motor impairment due to congenital limb deficiency</t>
  </si>
  <si>
    <t>Level 2 disfigurement with itch/pain and moderate motor impairment</t>
  </si>
  <si>
    <t>Disfigurement level 2 due to other congenital musculoskeletal anomalies</t>
  </si>
  <si>
    <t>Disfigurement level 2 with pain due to other congenital musculoskeletal anomalies</t>
  </si>
  <si>
    <t>Disfigurement level 2 and mild motor impairment due to other congenital musculoskeletal anomalies</t>
  </si>
  <si>
    <t>Disfigurement level 2 and moderate motor impairment due to other congenital musculoskeletal anomalies</t>
  </si>
  <si>
    <t>Disfigurement level 2 with pain and mild motor impairment due to other congenital musculoskeletal anomalies</t>
  </si>
  <si>
    <t>Disfigurement level 2 with pain and moderate motor impairment due to other congenital musculoskeletal anomalies</t>
  </si>
  <si>
    <t>Incontinence due to congenital anomalies of the urinary tract</t>
  </si>
  <si>
    <t>Impotence due to congenital genital anomalies</t>
  </si>
  <si>
    <t>Impotence due to congenital anomalies of the urinary tract</t>
  </si>
  <si>
    <t>Primary infertility due to congenital genital anomalies</t>
  </si>
  <si>
    <t>Recurrent urinary tract infections or other abdominal issues due to congenital genital anomalies</t>
  </si>
  <si>
    <t>Recurrent urinary tract infections or other abdominal issues due to congenital anomalies of the urinary tract</t>
  </si>
  <si>
    <t>Atypical genitalia due to congenital genital anomalies</t>
  </si>
  <si>
    <t>Atypical genitalia due to congenital anomalies of the urinary tract</t>
  </si>
  <si>
    <t>Asymptomatic congenital genital anomalies</t>
  </si>
  <si>
    <t>Asymptomatic congenital anomalies of the urinary tract</t>
  </si>
  <si>
    <t>Atypical genitalia and primary infertility due to congenital genital anomalies</t>
  </si>
  <si>
    <t>Disfigurement level 1 and primary infertility</t>
  </si>
  <si>
    <t>Primary infertility and recurrent urinary tract infections or other abdominal issues due to congenital genital anomalies</t>
  </si>
  <si>
    <t>Mild abdominal pain and primary infertility</t>
  </si>
  <si>
    <t>Atypical genitalia, infertility, impotence, and recurrent urinary tract infections or other abdominal issues and impotence due to congenital genital anomalies</t>
  </si>
  <si>
    <t>Mild abdominopelvic problem,  primary infertility, impotence, and level 1 disfigurement</t>
  </si>
  <si>
    <t>Infertility, impotence, and recurrent urinary tract infections or other abdominal issues and impotence due to congenital genital anomalies</t>
  </si>
  <si>
    <t>Mild abdominopelvic problem,  primary infertility, and impotence</t>
  </si>
  <si>
    <t>Impotence and recurrent urinary tract infections or other abdominal issues due to congenital genital anomalies</t>
  </si>
  <si>
    <t>Mild abdominopelvic problem and impotence</t>
  </si>
  <si>
    <t>Impotence and recurrent urinary tract infections or other abdominal issues due to congenital anomalies of the urinary tract</t>
  </si>
  <si>
    <t>Atypical genitalia, recurrent urinary tract infections or other abdominal issues and infertility due to congenital genital anomalies</t>
  </si>
  <si>
    <t>Mild abdominopelvic problem, level 1 disfigurement and primary infertility</t>
  </si>
  <si>
    <t>Atypical genitalia, infertility and impotence due to congenital genital anomalies</t>
  </si>
  <si>
    <t>Atypical genitalia and impotence due to congenital genital anomalies</t>
  </si>
  <si>
    <t>Level 1 disfigurement and impotence</t>
  </si>
  <si>
    <t>Atypical genitalia and impotence due to congenital anomalies of the urinary tract</t>
  </si>
  <si>
    <t>Atypical genitalia, recurrent urinary tract infections or other abdominal issues and impotence due to congenital genital anomalies</t>
  </si>
  <si>
    <t>Mild abdominopelvic problem, level 1 disfigurement and impotence</t>
  </si>
  <si>
    <t>Atypical genitalia, recurrent urinary tract infections or other abdominal issues and impotence due to congenital anomalies of the urinary tract</t>
  </si>
  <si>
    <t>Infertility and impotence due to congenital genital anomalies</t>
  </si>
  <si>
    <t>Primary infertility and impotence</t>
  </si>
  <si>
    <t>Atypical genital and recurrent urinary tract infections and other abdominal issues due to congenital genital anomalies</t>
  </si>
  <si>
    <t>Mild abdominopelvic problem and level 1 disfigurement</t>
  </si>
  <si>
    <t>Atypical genital and recurrent urinary tract infections and other abdominal issues due to congenital anomalies of the urinary tract</t>
  </si>
  <si>
    <t>Atypical genitalia and incontinence due to congenital anomalies of the urinary tract</t>
  </si>
  <si>
    <t>Incontinence and recurrent urinary tract infections or other abdominal issues due to congenital anomalies of the urinary tract</t>
  </si>
  <si>
    <t>Level 1 disfigurement and urinary incontinence</t>
  </si>
  <si>
    <t>Incontinence and impotence due to congenital anomalies of the urinary tract</t>
  </si>
  <si>
    <t>urinary incontinence and impotence</t>
  </si>
  <si>
    <t>Atypical genitalia, recurrent urinary tract infections or other abdominal issues and incontinence due to congenital anomalies of the urinary tract</t>
  </si>
  <si>
    <t>Mild abdominopelvic problem, urinary incontinence, and level 1 disfigurement</t>
  </si>
  <si>
    <t>Atypical genitalia, incontinence and impotence due to congenital anomalies of the urinary tract</t>
  </si>
  <si>
    <t>Incontinence, impotence, and recurrent urinary tract infections or other abdominal issues and impotence due to congenital anomalies of the urinary tract</t>
  </si>
  <si>
    <t>Mild abdominopelvic problem, urinary incontinence, and impotence</t>
  </si>
  <si>
    <t>Atypical genitalia, incontinence, impotence, and recurrent urinary tract infections or other abdominal issues and impotence due to congenital anomalies of the urinary tract</t>
  </si>
  <si>
    <t>Mild abdominopelvic problem, urinary incontinence, impotence, and level 1 disfigurement</t>
  </si>
  <si>
    <t>Mild chronic respiratory problems and breathlessness due to congenital diaphragmatic hernia</t>
  </si>
  <si>
    <t>Developmental delay or mild intellectual disability due to congenital diaphragmatic hernia</t>
  </si>
  <si>
    <t>Chronic abdominal pain due to congenital diaphragmatic hernia</t>
  </si>
  <si>
    <t>Disfigurement due to congenital diaphragmatic hernia</t>
  </si>
  <si>
    <t>Asymptomatic congenital diaphragmatic hernia</t>
  </si>
  <si>
    <t>Chronic abdominal pain and disfigurement due to congenital diaphragmatic hernia</t>
  </si>
  <si>
    <t>Level 1 disfigurement with itch/pain and mild abdominopelvic problem</t>
  </si>
  <si>
    <t>Chronic abdominal pain and mild chronic respiratory problems due to congenital diaphragmatic hernia</t>
  </si>
  <si>
    <t>Mild abdominopelvic problem and mild COPD and other chronic respiratory problems</t>
  </si>
  <si>
    <t>Chronic abdominal pain and developmental delay due to congenital diaphragmatic hernia</t>
  </si>
  <si>
    <t>Mild abdominopelvic problem and mild intellectual disability</t>
  </si>
  <si>
    <t>Disfigurement and mild chronic respiratory problems due to congenital diaphragmatic hernia</t>
  </si>
  <si>
    <t>Level 1 disfigurement with itch/pain and mild COPD and other chronic respiratory problems</t>
  </si>
  <si>
    <t>Disfigurement and developmental delay due to congenital diaphragmatic hernia</t>
  </si>
  <si>
    <t>Level 1 disfigurement with itch/pain and mild intellectual disability</t>
  </si>
  <si>
    <t xml:space="preserve"> Mild chronic respiratory problems and developmental delay due to congenital diaphragmatic hernia</t>
  </si>
  <si>
    <t>Mild intellectual disability and mild COPD and other chronic respiratory problem</t>
  </si>
  <si>
    <t>Chronic abdominal pain, disfigurement and  chronic respiratory problems due to congenital diaphragmatic hernia</t>
  </si>
  <si>
    <t xml:space="preserve">Mild abdominopelvic problem,  mild COPD and other chronic respiratory problems, and level 1 disfigurement with itch/pain </t>
  </si>
  <si>
    <t>Chronic abdominal pain, chronic respiratory problems and developmental delay due to congenital diaphragmatic hernia</t>
  </si>
  <si>
    <t>Chronic abdominal pain, disfigurement and developmental delay due to congenital diaphragmatic hernia</t>
  </si>
  <si>
    <t>Mild abdominopelvic problem, mild intellectual disability, and level 1 disfigurement with itch/pain</t>
  </si>
  <si>
    <t>Disfigurement, chronic respiratory problems and developmental delay due to congenital diaphragmatic hernia</t>
  </si>
  <si>
    <t>Mild COPD and other chronic respiratory problems, mild intellectual disability, and level 1 disfigurement with itch/pain</t>
  </si>
  <si>
    <t>Chronic abdominal pain, disfigurement, developmental delay and  chronic respiratory problems due to congenital diaphragmatic hernia</t>
  </si>
  <si>
    <t>Mild abdominopelvic problem, mild COPD and other chronic respiratory problems, mild intellectual disability, and level 1 disfigurement with itch/pain</t>
  </si>
  <si>
    <t>Chronic respiratory problems including difficulty breaking and recurrent upper respiratory infections due to atresia and/or stenosis of the digestive tract</t>
  </si>
  <si>
    <t>Dysphagia or acid reflux due to congenital atresia and/or stenosis of the digestive tract</t>
  </si>
  <si>
    <t>Chronic abdominal pain due to congenital atresia and/or stenosis of the digestive tract</t>
  </si>
  <si>
    <t>Asymptomatic congenital atresia and/or stenosis of the digestive tract</t>
  </si>
  <si>
    <t>Chronic respiratory problems and dysphagia or acid reflux due to congenital atresia and/or stenosis of the digestive tract</t>
  </si>
  <si>
    <t>Chronic respiratory problems and abdominal pain due to congenital atresia and/or stenosis of the digestive tract</t>
  </si>
  <si>
    <t>Dysphagia or acid reflux, chronic abdominal pain and chronic respiratory problems due to congenital atresia and/or stenosis of the digestive tract</t>
  </si>
  <si>
    <t>Mild abdominopelvic problem, moderate abdominopelvic problem, and mild COPD and other chronic respiratory problems</t>
  </si>
  <si>
    <t>Dysphagia or acid reflux and chronic abdominal pain due to congenital atresia and/or stenosis of the digestive tract</t>
  </si>
  <si>
    <t>Mild abdominopelvic problem and moderate abdominopelvic problem</t>
  </si>
  <si>
    <t>Chronic abdominal pain due to congenital malformations of the abdominal wall</t>
  </si>
  <si>
    <t>Constipation due to congenital malformations of the abdominal wall</t>
  </si>
  <si>
    <t>Disfigurement from scars following treatment for congenital malformations of the abdominal wall</t>
  </si>
  <si>
    <t>Asymptomatic congenital malformations of the abdominal wall after treatment</t>
  </si>
  <si>
    <t>Chronic abdominal pain and concern about scars due to congenital malformations of the abdominal wall</t>
  </si>
  <si>
    <t>Moderate abdominopelvic problem and level 1 disfigurement</t>
  </si>
  <si>
    <t>Constipation and concern about scars due to congenital malformations of the abdominal wall</t>
  </si>
  <si>
    <t>Constipation, chronic abdominal pain and concern about scars due to congenital malformations of the abdominal wall</t>
  </si>
  <si>
    <t>Mild abdominopelvic problem, moderate abdominopelvic problem, and level 1 disfigurement</t>
  </si>
  <si>
    <t>Constipation and chronic abdominal pain due to congenital malformations of the abdominal wall</t>
  </si>
  <si>
    <t>Acid reflux, dyspahgia, and/or constipation due to other congenital malformations of the digestive tract</t>
  </si>
  <si>
    <t>Chronic abdominal pain and/or nausea due to other congenital malformations of the digestive tract</t>
  </si>
  <si>
    <t>Asymptomatic other congenital malformations of the digestive tract</t>
  </si>
  <si>
    <t>Chronic abdominal pain and/or nausea with acid reflux, dyspahgia, and/or constipation  due to other congenital malformations of the digestive tract</t>
  </si>
  <si>
    <t>Other congenital birth defects</t>
  </si>
  <si>
    <t>Mild hearing loss due to other congenital anomalies</t>
  </si>
  <si>
    <t>Moderate hearing loss due to other congenital anomalies</t>
  </si>
  <si>
    <t>Severe hearing loss due to other congenital anomalies</t>
  </si>
  <si>
    <t>Profound hearing loss due to other congenital anomalies</t>
  </si>
  <si>
    <t>Complete hearing loss due to other congenital anomalies</t>
  </si>
  <si>
    <t>Mild hearing loss with ringing due to other congenital anomalies</t>
  </si>
  <si>
    <t>Moderate hearing loss with ringing due to other congenital anomalies</t>
  </si>
  <si>
    <t>Severe hearing loss with ringing due to other congenital anomalies</t>
  </si>
  <si>
    <t>Profound hearing loss with ringing due to other congenital anomalies</t>
  </si>
  <si>
    <t>Complete hearing loss with ringing due to other congenital anomalies</t>
  </si>
  <si>
    <t>Moderately severe hearing loss due to other congenital anomalies</t>
  </si>
  <si>
    <t>Moderately severe hearing loss with ringing due to other congenital anomalies</t>
  </si>
  <si>
    <t>Mild urinary tract infections</t>
  </si>
  <si>
    <t>Moderate urinary tract infections</t>
  </si>
  <si>
    <t>Mild urolithiasis episodes</t>
  </si>
  <si>
    <t>Moderate urolithiasis episodes</t>
  </si>
  <si>
    <t>Severe urolithiasis episodes</t>
  </si>
  <si>
    <t>Symptomatic benign prostatic hyperplasia</t>
  </si>
  <si>
    <t>Benign prostatic hypertrophy, symptomatic cases</t>
  </si>
  <si>
    <t>feels the urge to urinate frequently, but when passing urine it comes out slowly and sometimes is painful.</t>
  </si>
  <si>
    <t>Asymptomatic benign prostatic hyperplasia</t>
  </si>
  <si>
    <t>Idiopathic primary male infertility</t>
  </si>
  <si>
    <t>Idiopathic secondary male infertility</t>
  </si>
  <si>
    <t>Other urinary diseases</t>
  </si>
  <si>
    <t>Uterine fibroids, symptomatic, without anemia</t>
  </si>
  <si>
    <t>Uterine fibroids, asymptomatic</t>
  </si>
  <si>
    <t>Uterine fibroids, symptomatic, with mild anemia</t>
  </si>
  <si>
    <t>Uterine fibroids, symptomatic, with moderate anemia</t>
  </si>
  <si>
    <t>Uterine fibroids, symptomatic, with severe anemia</t>
  </si>
  <si>
    <t>Primary infertility due to polycystic ovarian syndrome</t>
  </si>
  <si>
    <t>Hirsutism and secondary infertility due to polycystic ovarian syndrome</t>
  </si>
  <si>
    <t>Disfigurement level 1 and secondary infertility</t>
  </si>
  <si>
    <t>Hirsutism due to polycystic ovarian syndrome</t>
  </si>
  <si>
    <t>Asymptomatic polycystic ovarian syndrome</t>
  </si>
  <si>
    <t>Hirsutism and primary infertility due to polycystic ovarian syndrome</t>
  </si>
  <si>
    <t>Secondary infertility due to polycystic ovarian syndrome</t>
  </si>
  <si>
    <t>Idiopathic primary female infertility</t>
  </si>
  <si>
    <t>Idiopathic secondary female infertility</t>
  </si>
  <si>
    <t>Primary infertility due to endometriosis</t>
  </si>
  <si>
    <t>Secondary infertility due to endometriosis</t>
  </si>
  <si>
    <t>Mild abdominal pain due to endometriosis</t>
  </si>
  <si>
    <t>Moderate abdominal pain due to endometriosis</t>
  </si>
  <si>
    <t>Severe abdominal pain due to endometriosis</t>
  </si>
  <si>
    <t>Asymptomatic endometriosis</t>
  </si>
  <si>
    <t>Mild abdominal pain and primary infertility due to endometriosis</t>
  </si>
  <si>
    <t>Moderate abdominal pain and primary infertility due to endometriosis</t>
  </si>
  <si>
    <t>Moderate abdominal pain and primary infertility</t>
  </si>
  <si>
    <t>Severe abdominal pain and primary infertility due to endometriosis</t>
  </si>
  <si>
    <t>Severe abdominal pain and primary infertility</t>
  </si>
  <si>
    <t>Mild abdominal pain and secondary infertility due to endometriosis</t>
  </si>
  <si>
    <t>Mild abdominal pain and secondary infertility</t>
  </si>
  <si>
    <t>Moderate abdominal pain and secondary infertility due to endometriosis</t>
  </si>
  <si>
    <t>Moderate abdominal pain and secondary infertility</t>
  </si>
  <si>
    <t>Severe abdominal pain and secondary infertility due to endometriosis</t>
  </si>
  <si>
    <t>Severe abdominal pain and secondary infertility</t>
  </si>
  <si>
    <t>Abdominal pain due to genital prolapse</t>
  </si>
  <si>
    <t>Stress incontinence due to genital prolapse</t>
  </si>
  <si>
    <t>Stress incontinence</t>
  </si>
  <si>
    <t>loses small amounts of urine without meaning to when coughing, sneezing, laughing or during physical exercise.</t>
  </si>
  <si>
    <t>Asymptomatic genital prolapse</t>
  </si>
  <si>
    <t>Abdominal pain and stress incontinence due to genital prolapse</t>
  </si>
  <si>
    <t>Mild abdominal pain and stress incontinence</t>
  </si>
  <si>
    <t>Depression due to premenstrual syndrome</t>
  </si>
  <si>
    <t>Abdominal pain due to premenstrual syndrome</t>
  </si>
  <si>
    <t>Asymptomatic premenstrual syndrome</t>
  </si>
  <si>
    <t>Abdominal pain and depression due to premenstrual syndrome</t>
  </si>
  <si>
    <t>Mild abdominal pain and mild depression</t>
  </si>
  <si>
    <t>Mild other gynecological disorders</t>
  </si>
  <si>
    <t>Menstrual disorders, without anemia</t>
  </si>
  <si>
    <t>Moderate other gynecological disorders</t>
  </si>
  <si>
    <t>Severe other gynecological disorders</t>
  </si>
  <si>
    <t>Asymptomatic other gynecological disorders</t>
  </si>
  <si>
    <t>Menstrual disorders, with mild anemia</t>
  </si>
  <si>
    <t>Menstrual disorders, with moderate anemia</t>
  </si>
  <si>
    <t>Menstrual disorders, with severe anemia</t>
  </si>
  <si>
    <t>Other combined sequelae of hemoglobin E/beta-thalassemia</t>
  </si>
  <si>
    <t>Hemoglobin E/beta-thalassemia, with mild anemia</t>
  </si>
  <si>
    <t>Hemoglobin E/beta-thalassemia, with moderate anemia</t>
  </si>
  <si>
    <t>Hemoglobin E/beta-thalassemia, with severe anemia</t>
  </si>
  <si>
    <t>Severe infection associated with hemoglobin E/beta-thalassemia</t>
  </si>
  <si>
    <t>Generic uncomplicated disease: anxiety about diagnosis; Heart failure, severe</t>
  </si>
  <si>
    <t>Other combined sequelae of hemoglobin H disease</t>
  </si>
  <si>
    <t>Hemoglobin H disease, with mild anemia</t>
  </si>
  <si>
    <t>Hemoglobin H disease, with moderate anemia</t>
  </si>
  <si>
    <t>Hemoglobin H disease, with severe anemia</t>
  </si>
  <si>
    <t>Severe infection associated with hemoglobin H disease</t>
  </si>
  <si>
    <t>Other combined sequelae of beta-thalassemia major</t>
  </si>
  <si>
    <t>Mild anemia due to beta-thalassemia major</t>
  </si>
  <si>
    <t>Moderate anemia due to beta-thalassemia major</t>
  </si>
  <si>
    <t>Severe anemia due to beta-thalassemia major</t>
  </si>
  <si>
    <t>Severe infection associated with beta-thalassemia major</t>
  </si>
  <si>
    <t>Mild heart failure due to thalassemias</t>
  </si>
  <si>
    <t>Moderate heart failure due to thalassemias</t>
  </si>
  <si>
    <t>Severe heart failure due to thalassemias</t>
  </si>
  <si>
    <t>Asymptomatic heart failure due to thalassemias</t>
  </si>
  <si>
    <t>Mild anemia due to B-thalassemia trait</t>
  </si>
  <si>
    <t>Mild anemia due to hemoglobin E trait</t>
  </si>
  <si>
    <t>Moderate anemia due to B-thalassemia trait</t>
  </si>
  <si>
    <t>Moderate anemia due to hemoglobin E trait</t>
  </si>
  <si>
    <t>Severe anemia due to B-thalassemia trait</t>
  </si>
  <si>
    <t>Severe anemia due to hemoglobin E trait</t>
  </si>
  <si>
    <t>Asymptomatic B-thalassemia trait</t>
  </si>
  <si>
    <t>Asymptomatic hemoglobin E trait</t>
  </si>
  <si>
    <t>Mild anemia due to hemoglobin SC disease</t>
  </si>
  <si>
    <t>Moderate anemia due to hemoglobin SC disease</t>
  </si>
  <si>
    <t>Severe anemia due to hemoglobin SC disease</t>
  </si>
  <si>
    <t>Stroke due to hemoglobin SC disease</t>
  </si>
  <si>
    <t>Generic uncomplicated disease anxiety; long-term consequences due to stroke</t>
  </si>
  <si>
    <t>Vaso-occlusive crises due to hemoglobin SC disease</t>
  </si>
  <si>
    <t>Generic uncomplicated disease anxiety and severe abdominopelvic problem</t>
  </si>
  <si>
    <t>Vaso-occlusive crises and stroke due to hemoglobin SC disease</t>
  </si>
  <si>
    <t>Generic uncomplicated disease anxiety; long-term consequences due to stroke; severe abdominopelvic problem</t>
  </si>
  <si>
    <t>Other combined sequelae of hemoglobin SC disease</t>
  </si>
  <si>
    <t>Mild anemia due to mild sickle cell/beta-thalassemia</t>
  </si>
  <si>
    <t>Moderate anemia due to mild sickle cell/beta-thalassemia</t>
  </si>
  <si>
    <t>Severe anemia due to mild sickle cell/beta-thalassemia</t>
  </si>
  <si>
    <t>Stroke due to mild sickle cell/beta-thalassemia</t>
  </si>
  <si>
    <t>Vaso-occlusive crises due to mild sickle cell/beta-thalassemia</t>
  </si>
  <si>
    <t>Vaso-occlusive crises and stroke due to mild sickle cell/beta-thalassemia</t>
  </si>
  <si>
    <t>Mild anemia due to homozygous sickle cell and severe sickle cell/beta-thalassemia</t>
  </si>
  <si>
    <t>Moderate anemia due to homozygous sickle cell and severe sickle cell/beta-thalassemia</t>
  </si>
  <si>
    <t>Severe anemia due to homozygous sickle cell and severe sickle cell/beta-thalassemia</t>
  </si>
  <si>
    <t xml:space="preserve">Stroke due to homozygous sickle cell and severe sickle cell/beta-thalassemia </t>
  </si>
  <si>
    <t>Vaso-occlusive crises due to homozygous sickle cell and severe sickle cell/beta-thalassemia</t>
  </si>
  <si>
    <t>Vaso-occlusive crises and stroke due to homozygous sickle cell and severe sickle cell/beta-thalassemia</t>
  </si>
  <si>
    <t>Other combined sequelae of mild sickle cell/beta-thalassemia exclusivity adjustment</t>
  </si>
  <si>
    <t>Other combined sequelae of homozygous sickle cell and severe sickle cell/beta-thalassemia</t>
  </si>
  <si>
    <t>Asymptomatic sickle cell trait</t>
  </si>
  <si>
    <t>Mild anemia due to sickle cell trait</t>
  </si>
  <si>
    <t>Moderate anemia due to sickle cell trait</t>
  </si>
  <si>
    <t>Severe anemia due to sickle cell trait</t>
  </si>
  <si>
    <t>G6PD deficiency, without anemia or heart failure</t>
  </si>
  <si>
    <t>G6PD deficiency, with mild anemia</t>
  </si>
  <si>
    <t>G6PD deficiency, with moderate anemia</t>
  </si>
  <si>
    <t>G6PD deficiency, with severe anemia</t>
  </si>
  <si>
    <t>G6PD deficiency, with mild heart failure</t>
  </si>
  <si>
    <t>G6PD deficiency, with moderate heart failure</t>
  </si>
  <si>
    <t>G6PD deficiency, with severe heart failure</t>
  </si>
  <si>
    <t xml:space="preserve">G6PD deficiency, with asymptomatic heart failure </t>
  </si>
  <si>
    <t>Hemizygous G6PD deficiency, with mild anemia</t>
  </si>
  <si>
    <t>Hemizygous G6PD deficiency, with moderate anemia</t>
  </si>
  <si>
    <t>Hemizygous G6PD deficiency, with severe anemia</t>
  </si>
  <si>
    <t>Hemizygous G6PD deficiency, asymptomatic</t>
  </si>
  <si>
    <t>Mild heart failure due to other hemoglobinopathies and hemolytic anemias</t>
  </si>
  <si>
    <t>Moderate heart failure due to other hemoglobinopathies and hemolytic anemias</t>
  </si>
  <si>
    <t>Severe heart failure due to other hemoglobinopathies and hemolytic anemias</t>
  </si>
  <si>
    <t>Mild anemia due to other hemoglobinopathies and hemolytic anemias</t>
  </si>
  <si>
    <t>Moderate anemia due to other hemoglobinopathies and hemolytic anemias</t>
  </si>
  <si>
    <t>Severe anemia due to other hemoglobinopathies and hemolytic anemias</t>
  </si>
  <si>
    <t>Controlled, medically managed heart failure due to other hemoglobinopathies and hemolytic anemias</t>
  </si>
  <si>
    <t>Other hemoglobinopathies and hemolytic anemias residual</t>
  </si>
  <si>
    <t xml:space="preserve">Asymptomatic hyperthyroidism </t>
  </si>
  <si>
    <t>Mild anemia due to hyperthyroidism</t>
  </si>
  <si>
    <t>Moderate anemia due to hyperthyroidism</t>
  </si>
  <si>
    <t>Severe anemia due to hyperthyroidism</t>
  </si>
  <si>
    <t>Asymptomatic hypothyroidism</t>
  </si>
  <si>
    <t>Mild anemia due to hypothyroidism</t>
  </si>
  <si>
    <t>Moderate anemia due to hypothyroidism</t>
  </si>
  <si>
    <t>Severe anemia due to hypothyroidism</t>
  </si>
  <si>
    <t>Mild heart failure due to hyperthyroidism</t>
  </si>
  <si>
    <t>Moderate heart failure due to hyperthyroidism</t>
  </si>
  <si>
    <t>Severe heart failure due to hyperthyroidism</t>
  </si>
  <si>
    <t>Controlled, medically managed heart failure due to hyperthyroidism</t>
  </si>
  <si>
    <t>Mild heart failure due to hypothyroidism</t>
  </si>
  <si>
    <t>Moderate heart failure due to hypothyroidism</t>
  </si>
  <si>
    <t>Severe heart failure due to hypothyroidism</t>
  </si>
  <si>
    <t>Controlled, medically managed heart failure due to hypothyroidism</t>
  </si>
  <si>
    <t>Asymptomatic other endocrine, metabolic, blood, immune disorders</t>
  </si>
  <si>
    <t>Mild anemia due to other endocrine, metabolic, blood, immune disorders</t>
  </si>
  <si>
    <t>Moderate anemia due to other endocrine, metabolic, blood, immune disorders</t>
  </si>
  <si>
    <t>Severe anemia due to other endocrine, metabolic, blood, immune disorders</t>
  </si>
  <si>
    <t>Pain due to caries of deciduous teeth</t>
  </si>
  <si>
    <t>Dental caries, symptomatic</t>
  </si>
  <si>
    <t xml:space="preserve">has a toothache, which causes some difficulty in eating. </t>
  </si>
  <si>
    <t>Asymptomatic caries of deciduous teeth</t>
  </si>
  <si>
    <t>Pain due to caries of permanent teeth</t>
  </si>
  <si>
    <t>Asymptomatic caries of permanent teeth</t>
  </si>
  <si>
    <t>Chronic periodontal diseases</t>
  </si>
  <si>
    <t>Periodontitis</t>
  </si>
  <si>
    <t>has minor bleeding of the gums from time to time, with mild discomfort.</t>
  </si>
  <si>
    <t>Difficulty eating due to edentulism and severe tooth loss</t>
  </si>
  <si>
    <t>Severe tooth loss</t>
  </si>
  <si>
    <t>has lost more than 20 teeth including front and back, and has great difficulty in eating meat, fruits, and vegetables.</t>
  </si>
  <si>
    <t>Asymptomatic edentulism and severe tooth loss</t>
  </si>
  <si>
    <t>Mild other oral disorders</t>
  </si>
  <si>
    <t>Severe other oral disorders</t>
  </si>
  <si>
    <t>Symptomatic hypothyroidism without anemia or heart failure</t>
  </si>
  <si>
    <t>Hypothyroidism</t>
  </si>
  <si>
    <t>has low energy and feels cold.</t>
  </si>
  <si>
    <t>Mild symptomatic hyperthyroidism without anemia or heart failure</t>
  </si>
  <si>
    <t>Moderate/severe symptomatic hyperthyroidism without anemia or heart failure</t>
  </si>
  <si>
    <t>Hyperthyroidism</t>
  </si>
  <si>
    <t>feels nervous, has palpitations, sweats a lot and has difficulty sleeping.</t>
  </si>
  <si>
    <t>Moderate symptomatic other endocrine, metabolic, blood, immune disorders without anemia or heart failure</t>
  </si>
  <si>
    <t>Severe symptomatic other endocrine, metabolic, blood, immune disorders without anemia or heart failure</t>
  </si>
  <si>
    <t>Thrombocytopenic purpura</t>
  </si>
  <si>
    <t>easily bruises and sometimes bleeds from the gums and nose; feels weak and has some difficulty with daily activities.</t>
  </si>
  <si>
    <t>Late symptomatic congenital syphilis, interstitial keratitis</t>
  </si>
  <si>
    <t>Chronic ischemic stroke severity level 2, with asymptomatic heart failure</t>
  </si>
  <si>
    <t>Chronic ischemic stroke severity level 2, with mild heart failure</t>
  </si>
  <si>
    <t>Chronic ischemic stroke severity level 2, with moderate heart failure</t>
  </si>
  <si>
    <t>Chronic ischemic stroke severity level 2, with severe heart failure</t>
  </si>
  <si>
    <t>Chronic ischemic stroke severity level 2, without heart failure</t>
  </si>
  <si>
    <t>Chronic ischemic stroke severity level 3, with asymptomatic heart failure, no dementia</t>
  </si>
  <si>
    <t>Chronic ischemic stroke severity level 3, with mild heart failure, no dementia</t>
  </si>
  <si>
    <t>Chronic ischemic stroke severity level 3, with moderate heart failure, no dementia</t>
  </si>
  <si>
    <t>Chronic ischemic stroke severity level 3, with severe heart failure, no dementia</t>
  </si>
  <si>
    <t>Chronic ischemic stroke severity level 3, without heart failure, no dementia</t>
  </si>
  <si>
    <t>Chronic ischemic stroke severity level 4, with asymptomatic heart failure</t>
  </si>
  <si>
    <t>Chronic ischemic stroke severity level 4, with mild heart failure</t>
  </si>
  <si>
    <t>Chronic ischemic stroke severity level 4, with moderate heart failure</t>
  </si>
  <si>
    <t>Chronic ischemic stroke severity level 4, with severe heart failure</t>
  </si>
  <si>
    <t>Chronic ischemic stroke severity level 4, without heart failure</t>
  </si>
  <si>
    <t>Chronic ischemic stroke severity level 5, without heart failure, no dementia</t>
  </si>
  <si>
    <t>Chronic ischemic stroke severity level 5, with asymptomatic heart failure, no dementia</t>
  </si>
  <si>
    <t>Chronic ischemic stroke severity level 5, with mild heart failure, no dementia</t>
  </si>
  <si>
    <t>Chronic ischemic stroke severity level 5, with moderate heart failure, no dementia</t>
  </si>
  <si>
    <t>Chronic ischemic stroke severity level 5, with severe heart failure, no dementia</t>
  </si>
  <si>
    <t>Chronic subarachnoid hemorrhage severity level 2, with asymptomatic heart failure</t>
  </si>
  <si>
    <t>Chronic subarachnoid hemorrhage severity level 2, with mild heart failure</t>
  </si>
  <si>
    <t>Chronic subarachnoid hemorrhage severity level 2, with moderate heart failure</t>
  </si>
  <si>
    <t>Chronic subarachnoid hemorrhage severity level 2, with severe heart failure</t>
  </si>
  <si>
    <t>Chronic subarachnoid hemorrhage severity level 2, without heart failure</t>
  </si>
  <si>
    <t>Chronic subarachnoid hemorrhage severity level 3, with asymptomatic heart failure, no dementia</t>
  </si>
  <si>
    <t>Chronic subarachnoid hemorrhage severity level 3, with mild heart failure, no dementia</t>
  </si>
  <si>
    <t>Chronic subarachnoid hemorrhage severity level 3, with moderate heart failure, no dementia</t>
  </si>
  <si>
    <t>Chronic subarachnoid hemorrhage severity level 3, with severe heart failure, no dementia</t>
  </si>
  <si>
    <t>Chronic subarachnoid hemorrhage severity level 3, without heart failure, no dementia</t>
  </si>
  <si>
    <t>Chronic subarachnoid hemorrhage severity level 4, with asymptomatic heart failure</t>
  </si>
  <si>
    <t>Chronic subarachnoid hemorrhage severity level 4, with mild heart failure</t>
  </si>
  <si>
    <t>Chronic subarachnoid hemorrhage severity level 4, with moderate heart failure</t>
  </si>
  <si>
    <t>Chronic subarachnoid hemorrhage severity level 4, with severe heart failure</t>
  </si>
  <si>
    <t>Chronic subarachnoid hemorrhage severity level 4, without heart failure</t>
  </si>
  <si>
    <t>Chronic subarachnoid hemorrhage severity level 5, with asymptomatic heart failure, no dementia</t>
  </si>
  <si>
    <t>Chronic subarachnoid hemorrhage severity level 5, with mild heart failure, no dementia</t>
  </si>
  <si>
    <t>Chronic subarachnoid hemorrhage severity level 5, with moderate heart failure, no dementia</t>
  </si>
  <si>
    <t>Chronic subarachnoid hemorrhage severity level 5, with severe heart failure, no dementia</t>
  </si>
  <si>
    <t>Chronic subarachnoid hemorrhage severity level 5, without heart failure, no dementia</t>
  </si>
  <si>
    <t>Chronic intracerebral hemorrhage severity level 2, with asymptomatic heart failure</t>
  </si>
  <si>
    <t>Chronic intracerebral hemorrhage severity level 2, with mild heart failure</t>
  </si>
  <si>
    <t>Chronic intracerebral hemorrhage severity level 2, with moderate heart failure</t>
  </si>
  <si>
    <t>Chronic intracerebral hemorrhage severity level 2, with severe heart failure</t>
  </si>
  <si>
    <t>Chronic intracerebral hemorrhage severity level 2, without heart failure</t>
  </si>
  <si>
    <t>Chronic intracerebral hemorrhage severity level 3, with asymptomatic heart failure, no dementia</t>
  </si>
  <si>
    <t>Chronic intracerebral hemorrhage severity level 3, with mild heart failure, no dementia</t>
  </si>
  <si>
    <t>Chronic intracerebral hemorrhage severity level 3, with moderate heart failure, no dementia</t>
  </si>
  <si>
    <t>Chronic intracerebral hemorrhage severity level 3, with severe heart failure, no dementia</t>
  </si>
  <si>
    <t>Chronic intracerebral hemorrhage severity level 3, without heart failure, no dementia</t>
  </si>
  <si>
    <t>Chronic intracerebral hemorrhage severity level 4, with asymptomatic heart failure</t>
  </si>
  <si>
    <t>Chronic intracerebral hemorrhage severity level 4, with mild heart failure</t>
  </si>
  <si>
    <t>Chronic intracerebral hemorrhage severity level 4, with moderate heart failure</t>
  </si>
  <si>
    <t>Chronic intracerebral hemorrhage severity level 4, with severe heart failure</t>
  </si>
  <si>
    <t>Chronic intracerebral hemorrhage severity level 4, without heart failure</t>
  </si>
  <si>
    <t>Chronic intracerebral hemorrhage severity level 5, with asymptomatic heart failure, no dementia</t>
  </si>
  <si>
    <t>Chronic intracerebral hemorrhage severity level 5, with mild heart failure, no dementia</t>
  </si>
  <si>
    <t>Chronic intracerebral hemorrhage severity level 5, with moderate heart failure, no dementia</t>
  </si>
  <si>
    <t>Chronic intracerebral hemorrhage severity level 5, with severe heart failure, no dementia</t>
  </si>
  <si>
    <t>Chronic intracerebral hemorrhage severity level 5, without heart failure, no dementia</t>
  </si>
  <si>
    <t>Chronic ischemic stroke severity level 3, with asymptomatic heart failure, with mild dementia</t>
  </si>
  <si>
    <t>Chronic ischemic stroke severity level 3, with mild heart failure, with mild dementia</t>
  </si>
  <si>
    <t>Stroke, long-term consequences, moderate; Dementia, mild; Heart failure, mild</t>
  </si>
  <si>
    <t>Chronic ischemic stroke severity level 3, with moderate heart failure, with mild dementia</t>
  </si>
  <si>
    <t>Stroke, long-term consequences, moderate; Dementia, mild; Heart failure, moderate</t>
  </si>
  <si>
    <t>Chronic ischemic stroke severity level 3, with severe heart failure, with mild dementia</t>
  </si>
  <si>
    <t>Stroke, long-term consequences, moderate; Dementia, mild; Heart failure, severe</t>
  </si>
  <si>
    <t>Chronic ischemic stroke severity level 3, without heart failure, with mild dementia</t>
  </si>
  <si>
    <t>Stroke, long-term consequences, mild; Dementia, mild</t>
  </si>
  <si>
    <t>Chronic ischemic stroke severity level 5, without heart failure, with mild dementia</t>
  </si>
  <si>
    <t>Chronic ischemic stroke severity level 5, with asymptomatic heart failure, with mild dementia</t>
  </si>
  <si>
    <t>Stroke, long-term consequences, severe; Dementia, mild; Generic uncomplicated disease: worry and daily medication</t>
  </si>
  <si>
    <t>Chronic ischemic stroke severity level 5, with mild heart failure, with mild dementia</t>
  </si>
  <si>
    <t>Stroke, long-term consequences, severe; Dementia, mild; Heart failure, mild</t>
  </si>
  <si>
    <t>Chronic ischemic stroke severity level 5, with moderate heart failure, with mild dementia</t>
  </si>
  <si>
    <t>Stroke, long-term consequences, severe; Dementia, mild; Heart failure, moderate</t>
  </si>
  <si>
    <t>Chronic ischemic stroke severity level 5, with severe heart failure, with mild dementia</t>
  </si>
  <si>
    <t>Stroke, long-term consequences, severe; Dementia, mild; Heart failure, severe</t>
  </si>
  <si>
    <t>Chronic subarachnoid hemorrhage severity level 3, with asymptomatic heart failure, with mild dementia</t>
  </si>
  <si>
    <t>Stroke, long-term consequences, moderate; Dementia, mild; Generic uncomplicated disease: worry and daily medication</t>
  </si>
  <si>
    <t>Chronic subarachnoid hemorrhage severity level 3, with mild heart failure, with mild dementia</t>
  </si>
  <si>
    <t>Chronic subarachnoid hemorrhage severity level 3, with moderate heart failure, with mild dementia</t>
  </si>
  <si>
    <t>Chronic subarachnoid hemorrhage severity level 3, with severe heart failure, with mild dementia</t>
  </si>
  <si>
    <t>Chronic subarachnoid hemorrhage severity level 3, without heart failure, with mild dementia</t>
  </si>
  <si>
    <t>Chronic subarachnoid hemorrhage severity level 5, with asymptomatic heart failure, with mild dementia</t>
  </si>
  <si>
    <t>Chronic subarachnoid hemorrhage severity level 5, with mild heart failure, with mild dementia</t>
  </si>
  <si>
    <t>Chronic subarachnoid hemorrhage severity level 5, with moderate heart failure, with mild dementia</t>
  </si>
  <si>
    <t>Chronic subarachnoid hemorrhage severity level 5, with severe heart failure, with mild dementia</t>
  </si>
  <si>
    <t>Chronic subarachnoid hemorrhage severity level 5, without heart failure, with mild dementia</t>
  </si>
  <si>
    <t>Chronic intracerebral hemorrhage severity level 3, with asymptomatic heart failure, with mild dementia</t>
  </si>
  <si>
    <t>Chronic intracerebral hemorrhage severity level 3, with mild heart failure, with mild dementia</t>
  </si>
  <si>
    <t>Chronic intracerebral hemorrhage severity level 3, with moderate heart failure, with mild dementia</t>
  </si>
  <si>
    <t>Chronic intracerebral hemorrhage severity level 3, with severe heart failure, with mild dementia</t>
  </si>
  <si>
    <t>Chronic intracerebral hemorrhage severity level 3, without heart failure, with mild dementia</t>
  </si>
  <si>
    <t>Chronic intracerebral hemorrhage severity level 5, with asymptomatic heart failure, with mild dementia</t>
  </si>
  <si>
    <t>Chronic intracerebral hemorrhage severity level 5, with mild heart failure, with mild dementia</t>
  </si>
  <si>
    <t>Chronic intracerebral hemorrhage severity level 5, with moderate heart failure, with mild dementia</t>
  </si>
  <si>
    <t>Chronic intracerebral hemorrhage severity level 5, with severe heart failure, with mild dementia</t>
  </si>
  <si>
    <t>Chronic intracerebral hemorrhage severity level 5, without heart failure, with mild dementia</t>
  </si>
  <si>
    <t>Chronic ischemic stroke severity level 3, with asymptomatic heart failure, with moderate dementia</t>
  </si>
  <si>
    <t>Stroke, long-term consequences, moderate; Dementia, moderate; Generic uncomplicated disease: worry and daily medication</t>
  </si>
  <si>
    <t>Chronic ischemic stroke severity level 3, with mild heart failure, with moderate dementia</t>
  </si>
  <si>
    <t>Stroke, long-term consequences, moderate; Dementia, moderate; Heart failure, mild</t>
  </si>
  <si>
    <t>Chronic ischemic stroke severity level 3, with moderate heart failure, with moderate dementia</t>
  </si>
  <si>
    <t>Stroke, long-term consequences, moderate; Dementia, moderate; Heart failure, moderate</t>
  </si>
  <si>
    <t>Chronic ischemic stroke severity level 3, with severe heart failure, with moderate dementia</t>
  </si>
  <si>
    <t>Stroke, long-term consequences, moderate; Dementia, moderate; Heart failure, severe</t>
  </si>
  <si>
    <t>Chronic ischemic stroke severity level 3, without heart failure, with moderate dementia</t>
  </si>
  <si>
    <t>Stroke, long-term consequences, mild; Dementia, moderate</t>
  </si>
  <si>
    <t>Chronic ischemic stroke severity level 5, without heart failure, with moderate dementia</t>
  </si>
  <si>
    <t>Chronic ischemic stroke severity level 5, with asymptomatic heart failure, with moderate dementia</t>
  </si>
  <si>
    <t>Stroke, long-term consequences, severe; Dementia, moderate; Generic uncomplicated disease: worry and daily medication</t>
  </si>
  <si>
    <t>Chronic ischemic stroke severity level 5, with mild heart failure, with moderate dementia</t>
  </si>
  <si>
    <t>Stroke, long-term consequences, severe; Dementia, moderate; Heart failure, mild</t>
  </si>
  <si>
    <t>Chronic ischemic stroke severity level 5, with moderate heart failure, with moderate dementia</t>
  </si>
  <si>
    <t>Stroke, long-term consequences, severe; Dementia, moderate; Heart failure, moderate</t>
  </si>
  <si>
    <t>Chronic ischemic stroke severity level 5, with severe heart failure, with moderate dementia</t>
  </si>
  <si>
    <t>Stroke, long-term consequences, severe; Dementia, moderate; Heart failure, severe</t>
  </si>
  <si>
    <t>Chronic subarachnoid hemorrhage severity level 3, with asymptomatic heart failure, with moderate dementia</t>
  </si>
  <si>
    <t>Chronic subarachnoid hemorrhage severity level 3, with mild heart failure, with moderate dementia</t>
  </si>
  <si>
    <t>Chronic subarachnoid hemorrhage severity level 3, with moderate heart failure, with moderate dementia</t>
  </si>
  <si>
    <t>Chronic subarachnoid hemorrhage severity level 3, with severe heart failure, with moderate dementia</t>
  </si>
  <si>
    <t>Chronic subarachnoid hemorrhage severity level 3, without heart failure, with moderate dementia</t>
  </si>
  <si>
    <t>Chronic subarachnoid hemorrhage severity level 5, with asymptomatic heart failure, with moderate dementia</t>
  </si>
  <si>
    <t>Chronic subarachnoid hemorrhage severity level 5, with mild heart failure, with moderate dementia</t>
  </si>
  <si>
    <t>Chronic subarachnoid hemorrhage severity level 5, with moderate heart failure, with moderate dementia</t>
  </si>
  <si>
    <t>Chronic subarachnoid hemorrhage severity level 5, with severe heart failure, with moderate dementia</t>
  </si>
  <si>
    <t>Chronic subarachnoid hemorrhage severity level 5, without heart failure, with moderate dementia</t>
  </si>
  <si>
    <t>Chronic intracerebral hemorrhage severity level 3, with asymptomatic heart failure, with moderate dementia</t>
  </si>
  <si>
    <t>Chronic intracerebral hemorrhage severity level 3, with mild heart failure, with moderate dementia</t>
  </si>
  <si>
    <t>Chronic intracerebral hemorrhage severity level 3, with moderate heart failure, with moderate dementia</t>
  </si>
  <si>
    <t>Chronic intracerebral hemorrhage severity level 3, with severe heart failure, with moderate dementia</t>
  </si>
  <si>
    <t>Chronic intracerebral hemorrhage severity level 3, without heart failure, with moderate dementia</t>
  </si>
  <si>
    <t>Chronic intracerebral hemorrhage severity level 5, with asymptomatic heart failure, with moderate dementia</t>
  </si>
  <si>
    <t>Chronic intracerebral hemorrhage severity level 5, with mild heart failure, with moderate dementia</t>
  </si>
  <si>
    <t>Chronic intracerebral hemorrhage severity level 5, with moderate heart failure, with moderate dementia</t>
  </si>
  <si>
    <t>Chronic intracerebral hemorrhage severity level 5, with severe heart failure, with moderate dementia</t>
  </si>
  <si>
    <t>Chronic intracerebral hemorrhage severity level 5, without heart failure, with moderate dementia</t>
  </si>
  <si>
    <t>Chronic ischemic stroke severity level 3, with asymptomatic heart failure, with severe dementia</t>
  </si>
  <si>
    <t>Stroke, long-term consequences, moderate; Dementia, severe; Generic uncomplicated disease: worry and daily medication</t>
  </si>
  <si>
    <t>Chronic ischemic stroke severity level 3, with mild heart failure, with severe dementia</t>
  </si>
  <si>
    <t>Stroke, long-term consequences, moderate; Dementia, severe; Heart failure, mild</t>
  </si>
  <si>
    <t>Chronic ischemic stroke severity level 3, with moderate heart failure, with severe dementia</t>
  </si>
  <si>
    <t>Stroke, long-term consequences, moderate; Dementia, severe; Heart failure, moderate</t>
  </si>
  <si>
    <t>Chronic ischemic stroke severity level 3, with severe heart failure, with severe dementia</t>
  </si>
  <si>
    <t>Stroke, long-term consequences, moderate; Dementia, severe; Heart failure, severe</t>
  </si>
  <si>
    <t>Chronic ischemic stroke severity level 3, without heart failure, with severe dementia</t>
  </si>
  <si>
    <t>Stroke, long-term consequences, mild; Dementia, severe</t>
  </si>
  <si>
    <t>Chronic ischemic stroke severity level 5, without heart failure, with severe dementia</t>
  </si>
  <si>
    <t>Chronic ischemic stroke severity level 5, with asymptomatic heart failure, with severe dementia</t>
  </si>
  <si>
    <t>Stroke, long-term consequences, severe; Dementia, severe; Generic uncomplicated disease: worry and daily medication</t>
  </si>
  <si>
    <t>Chronic ischemic stroke severity level 5, with mild heart failure, with severe dementia</t>
  </si>
  <si>
    <t>Stroke, long-term consequences, severe; Dementia, severe; Heart failure, mild</t>
  </si>
  <si>
    <t>Chronic ischemic stroke severity level 5, with moderate heart failure, with severe dementia</t>
  </si>
  <si>
    <t>Stroke, long-term consequences, severe; Dementia, severe; Heart failure, moderate</t>
  </si>
  <si>
    <t>Chronic ischemic stroke severity level 5, with severe heart failure, with severe dementia</t>
  </si>
  <si>
    <t>Stroke, long-term consequences, severe; Dementia, severe; Heart failure, severe</t>
  </si>
  <si>
    <t>Chronic subarachnoid hemorrhage severity level 3, with asymptomatic heart failure, with severe dementia</t>
  </si>
  <si>
    <t>Chronic subarachnoid hemorrhage severity level 3, with mild heart failure, with severe dementia</t>
  </si>
  <si>
    <t>Chronic subarachnoid hemorrhage severity level 3, with moderate heart failure, with severe dementia</t>
  </si>
  <si>
    <t>Chronic subarachnoid hemorrhage severity level 3, with severe heart failure, with severe dementia</t>
  </si>
  <si>
    <t>Chronic subarachnoid hemorrhage severity level 3, without heart failure, with severe dementia</t>
  </si>
  <si>
    <t>Chronic subarachnoid hemorrhage severity level 5, with asymptomatic heart failure, with severe dementia</t>
  </si>
  <si>
    <t>Chronic subarachnoid hemorrhage severity level 5, with mild heart failure, with severe dementia</t>
  </si>
  <si>
    <t>Chronic subarachnoid hemorrhage severity level 5, with moderate heart failure, with severe dementia</t>
  </si>
  <si>
    <t>Chronic subarachnoid hemorrhage severity level 5, with severe heart failure, with severe dementia</t>
  </si>
  <si>
    <t>Chronic subarachnoid hemorrhage severity level 5, without heart failure, with severe dementia</t>
  </si>
  <si>
    <t>Chronic intracerebral hemorrhage severity level 3, with asymptomatic heart failure, with severe dementia</t>
  </si>
  <si>
    <t>Chronic intracerebral hemorrhage severity level 3, with mild heart failure, with severe dementia</t>
  </si>
  <si>
    <t>Chronic intracerebral hemorrhage severity level 3, with moderate heart failure, with severe dementia</t>
  </si>
  <si>
    <t>Chronic intracerebral hemorrhage severity level 3, with severe heart failure, with severe dementia</t>
  </si>
  <si>
    <t>Chronic intracerebral hemorrhage severity level 3, without heart failure, with severe dementia</t>
  </si>
  <si>
    <t>Chronic intracerebral hemorrhage severity level 5, with asymptomatic heart failure, with severe dementia</t>
  </si>
  <si>
    <t>Chronic intracerebral hemorrhage severity level 5, with mild heart failure, with severe dementia</t>
  </si>
  <si>
    <t>Chronic intracerebral hemorrhage severity level 5, with moderate heart failure, with severe dementia</t>
  </si>
  <si>
    <t>Chronic intracerebral hemorrhage severity level 5, with severe heart failure, with severe dementia</t>
  </si>
  <si>
    <t>Chronic intracerebral hemorrhage severity level 5, without heart failure, with severe dementia</t>
  </si>
  <si>
    <t>Post-acute fatigue syndrome due to COVID-19</t>
  </si>
  <si>
    <t>Post-acute mild cognitive symptoms due to COVID-19</t>
  </si>
  <si>
    <t>Post-acute severe cognitive symptoms due to COVID-19</t>
  </si>
  <si>
    <t>Post-acute mild respiratory symptoms due to COVID-19</t>
  </si>
  <si>
    <t>Post-acute moderate respiratory symptoms due to COVID-19</t>
  </si>
  <si>
    <t>Post-acute severe respiratory symptoms due to COVID-19</t>
  </si>
  <si>
    <t>Post-acute fatigue syndrome and mild cognitive symptoms due to COVID-19</t>
  </si>
  <si>
    <t>Infectious disease, post-acute consequences (fatigue, emotional lability, insomnia) and Dementia, mild</t>
  </si>
  <si>
    <t>Post-acute fatigue syndrome and severe cognitive symptoms due to COVID-19</t>
  </si>
  <si>
    <t>Infectious disease, post-acute consequences (fatigue, emotional lability, insomnia) and Dementia, moderate</t>
  </si>
  <si>
    <t>Post-acute fatigue syndrome and mild respiratory symptoms due to COVID-19</t>
  </si>
  <si>
    <t>Infectious disease, post-acute consequences (fatigue, emotional lability, insomnia) and COPD and other chronic respiratory problems, mild</t>
  </si>
  <si>
    <t>Post-acute fatigue syndrome and moderate respiratory symptoms due to COVID-19</t>
  </si>
  <si>
    <t>Infectious disease, post-acute consequences (fatigue, emotional lability, insomnia) and COPD and other chronic respiratory problems, moderate</t>
  </si>
  <si>
    <t>Post-acute fatigue syndrome and severe respiratory symptoms due to COVID-19</t>
  </si>
  <si>
    <t>Infectious disease, post-acute consequences (fatigue, emotional lability, insomnia) and COPD and other chronic respiratory problems, severe</t>
  </si>
  <si>
    <t>Post-acute mild respiratory and mild cognitive symptoms due to COVID-19</t>
  </si>
  <si>
    <t>COPD and other chronic respiratory problems, mild and Dementia, mild</t>
  </si>
  <si>
    <t>Post-acute mild respiratory and severe cognitive symptoms due to COVID-19</t>
  </si>
  <si>
    <t>COPD and other chronic respiratory problems, mild and Dementia, moderate</t>
  </si>
  <si>
    <t>Post-acute moderate respiratory and mild cognitive symptoms due to COVID-19</t>
  </si>
  <si>
    <t>COPD and other chronic respiratory problems, moderate and Dementia, mild</t>
  </si>
  <si>
    <t>Post-acute moderate respiratory and severe cognitive symptoms due to COVID-19</t>
  </si>
  <si>
    <t>COPD and other chronic respiratory problems, moderate and Dementia, moderate</t>
  </si>
  <si>
    <t>Post-acute severe respiratory and mild cognitive symptoms due to COVID-19</t>
  </si>
  <si>
    <t>COPD and other chronic respiratory problems, severe and Dementia, mild</t>
  </si>
  <si>
    <t>Post-acute severe respiratory and severe cognitive symptoms due to COVID-19</t>
  </si>
  <si>
    <t>COPD and other chronic respiratory problems, severe and Dementia, moderate</t>
  </si>
  <si>
    <t>Post-acute fatigue syndrome and mild respiratory and mild cognitive symptoms due to COVID-19</t>
  </si>
  <si>
    <t>Infectious disease, post-acute consequences (fatigue, emotional lability, insomnia) and COPD and other chronic respiratory problems, mild and Dementia, mild</t>
  </si>
  <si>
    <t>Post-acute fatigue syndrome and mild respiratory and severe cognitive symptoms due to COVID-19</t>
  </si>
  <si>
    <t>Infectious disease, post-acute consequences (fatigue, emotional lability, insomnia) and COPD and other chronic respiratory problems, mild and Dementia, moderate</t>
  </si>
  <si>
    <t>Post-acute fatigue syndrome and moderate respiratory and mild cognitive symptoms due to COVID-19</t>
  </si>
  <si>
    <t>Infectious disease, post-acute consequences (fatigue, emotional lability, insomnia) and COPD and other chronic respiratory problems, moderate and Dementia, mild</t>
  </si>
  <si>
    <t>Post-acute fatigue syndrome and moderate respiratory and severe cognitive symptoms due to COVID-19</t>
  </si>
  <si>
    <t>Infectious disease, post-acute consequences (fatigue, emotional lability, insomnia) and COPD and other chronic respiratory problems, moderate and Dementia, moderate</t>
  </si>
  <si>
    <t>Post-acute fatigue syndrome and severe respiratory and mild cognitive symptoms due to COVID-19</t>
  </si>
  <si>
    <t>Infectious disease, post-acute consequences (fatigue, emotional lability, insomnia) and COPD and other chronic respiratory problems, severe and Dementia, mild</t>
  </si>
  <si>
    <t>Post-acute fatigue syndrome and severe respiratory and severe cognitive symptoms due to COVID-19</t>
  </si>
  <si>
    <t>Infectious disease, post-acute consequences (fatigue, emotional lability, insomnia) and COPD and other chronic respiratory problems, severe and Dementia, moderate</t>
  </si>
  <si>
    <t>Asymptomatic COVID-19 cases</t>
  </si>
  <si>
    <t>Mild acute COVID-19</t>
  </si>
  <si>
    <t>Moderate acute COVID-19</t>
  </si>
  <si>
    <t>Severe acute COVID-19</t>
  </si>
  <si>
    <t>Critical acute COVID-19</t>
  </si>
  <si>
    <t>Intensive care unit admission</t>
  </si>
  <si>
    <t>is very ill and often asleep or unconscious; when awake cannot move in bed, cannot speak, is completely dependent on others and is anxious</t>
  </si>
  <si>
    <t>Guillain-BarrÃ© Syndrome due to COVID-19</t>
  </si>
  <si>
    <t>Diagnosis and primary therapy phase of low-grade brain and other central nervous system neoplasms</t>
  </si>
  <si>
    <t>Controlled phase of low-grade brain and other central nervous system neoplasms</t>
  </si>
  <si>
    <t>Metastatic phase of low-grade brain and other central nervous system</t>
  </si>
  <si>
    <t>Terminal phase of low-grade brain and other central nervous system</t>
  </si>
  <si>
    <t>Moderate vision impairment due to other corneal opacities</t>
  </si>
  <si>
    <t>Severe vision impairment due to other corneal opacities</t>
  </si>
  <si>
    <t>Blindness due to other corneal opacities</t>
  </si>
  <si>
    <t>Mild heart failure due to peripartum cardiomyopathy</t>
  </si>
  <si>
    <t>Moderate heart failure due to peripartum cardiomyopathy</t>
  </si>
  <si>
    <t>Severe heart failure due to peripartum cardiomyopathy</t>
  </si>
  <si>
    <t>Controlled, medically managed heart failure due to peripartum cardiomyopathy</t>
  </si>
  <si>
    <t>Gestational diabetes mellitus</t>
  </si>
  <si>
    <t>Asymptomatic diverticular disease</t>
  </si>
  <si>
    <t>Mild abdominopelvic problems due to diverticular disease</t>
  </si>
  <si>
    <t>Moderate abdominopelvic problems due to diverticular disease</t>
  </si>
  <si>
    <t>Severe abdominopelvic problems due to diverticular disease</t>
  </si>
  <si>
    <t>Puerperal sepsis with mild anemia</t>
  </si>
  <si>
    <t>Puerperal sepsis with moderate anemia</t>
  </si>
  <si>
    <t>Puerperal sepsis with severe anemia</t>
  </si>
  <si>
    <t>Amputation of both upper limbs (long term, with treatment)</t>
  </si>
  <si>
    <t>has lost part of both arms, leaving pain and tingling in the stumps. The person has two artificial arms that make it possible to do daily activities, with a great deal of extra effort.</t>
  </si>
  <si>
    <t>Amputation of both upper limbs (long term, without treatment)</t>
  </si>
  <si>
    <t>has lost part of both arms, leaving pain and tingling in the stumps. The person needs a great deal of help from others to do even basic daily activities such as eating and using the toilet, and the person is very limited in other activities.</t>
  </si>
  <si>
    <t>Amputation of one upper limb (long-term, with treatment)</t>
  </si>
  <si>
    <t>has lost one hand and part of the arm, leaving pain and tingling in the stump. The person has an artificial arm that makes it possible to lift objects and do daily activities such as cooking, with some extra effort.</t>
  </si>
  <si>
    <t>Amputation of one upper limb (long-term, without treatment)</t>
  </si>
  <si>
    <t>has lost one hand and part of the arm, leaving pain and tingling in the stump. The person needs help from others to lift objects or do daily activities such as cooking.</t>
  </si>
  <si>
    <t>Amputation of finger(s), excluding thumb (long term, with or without treatment)</t>
  </si>
  <si>
    <t>has lost a finger of one hand. At times there is pain and tingling in the stump.</t>
  </si>
  <si>
    <t>Amputation of both lower limbs (long term, with treatment)</t>
  </si>
  <si>
    <t>has lost part of both legs, leaving pain and tingling in the stumps. The person has two artificial legs that make moving around possible, with extra effort.</t>
  </si>
  <si>
    <t>Amputation of both lower limbs (long term, without treatment)</t>
  </si>
  <si>
    <t>has lost part of both legs, leaving pain, tingling, and frequent sores in the stumps. The person has great difficulty moving around, has episodes of depression and anxiety, and needs help from others to do many daily activities.</t>
  </si>
  <si>
    <t>Amputation of one lower limb (long term, with treatment)</t>
  </si>
  <si>
    <t>has lost part of one leg, leaving pain and tingling in the stump. The person has an artificial leg that helps in moving around.</t>
  </si>
  <si>
    <t>Amputation of one lower limb (long term, without treatment)</t>
  </si>
  <si>
    <t xml:space="preserve">has lost part of one leg, leaving pain and tingling in the stump. The person does not have an artificial leg, has frequent sores, and uses crutches. </t>
  </si>
  <si>
    <t>Amputation of thumb (long term)</t>
  </si>
  <si>
    <t xml:space="preserve">has lost one thumb, causing some difficulty in using the hand, pain, and tingling in the stump. </t>
  </si>
  <si>
    <t>Amputation of toe (long-term, with or without treatment)</t>
  </si>
  <si>
    <t xml:space="preserve">has lost one toe, leaving occasional pain and tingling in the stump. </t>
  </si>
  <si>
    <t>Lower airway burns (with or without treatment)</t>
  </si>
  <si>
    <t xml:space="preserve">has a burn in the throat and lungs, which causes great difficulty breathing and a lot of anxiety. </t>
  </si>
  <si>
    <t>Burns, &lt;20% total burned surface area or &lt;10% total burned surface area if head/neck or hands/wrist involved (long term, with or without treatment)</t>
  </si>
  <si>
    <t>has scars caused by a burn. The scars are sometimes painful and itchy.</t>
  </si>
  <si>
    <t>Burns, &lt;20% total burned surface area without lower airway burns (short term, with or without treatment)</t>
  </si>
  <si>
    <t>has a burn on part of the body. Parts of the burned area are painful, and other parts have lost feeling.</t>
  </si>
  <si>
    <t>Burns, ≥20% total burned surface area or ≥10% total burned surface area if head/neck or hands/wrist involved (long term, with treatment)</t>
  </si>
  <si>
    <t>has scars caused by burns over a large part of the body. The scars are frequently painful and itchy, and the person is often sad.</t>
  </si>
  <si>
    <t>Burns, ≥20% total burned surface area or ≥10% total burned surface area if head/neck or hands/wrist involved (long term, without treatment)</t>
  </si>
  <si>
    <t>has severe, disfiguring and itchy scars caused by burns over a large part of the body. The person cannot move some joints, feels sad, and has great difficulty with self-care such as dressing and toileting.</t>
  </si>
  <si>
    <t>Burns, ≥20% total burned surface area (short term, with or without treatment)</t>
  </si>
  <si>
    <t>has a painful burn over a large part of the body. Parts of the burned area have lost feeling, and the person feels anxious and unwell.</t>
  </si>
  <si>
    <t>Dislocation of hip (with or without treatment)</t>
  </si>
  <si>
    <t>walks with a limp and feels discomfort when walking.</t>
  </si>
  <si>
    <t>Dislocation of knee (with or without treatment)</t>
  </si>
  <si>
    <t>has a knee out of joint, causing pain and difficulty moving the knee, which sometimes gives way. The person needs crutches for walking and help with self-care such as dressing.</t>
  </si>
  <si>
    <t>Dislocation of shoulder (with or without treatment)</t>
  </si>
  <si>
    <t>has a shoulder that is out of joint, causing pain and difficulty moving. The person has difficulty with daily activities such as dressing and cooking.</t>
  </si>
  <si>
    <t>Drowning and nonfatal submersion (short or long term, with or without treatment)</t>
  </si>
  <si>
    <t xml:space="preserve">has breathlessness, anxiety, cough, and vomiting. </t>
  </si>
  <si>
    <t>Fracture of clavicle, scapula or humerus (short or long term, with or without treatment)</t>
  </si>
  <si>
    <t>has a broken shoulder bone, which is painful and swollen. The person cannot use the affected arm and has difficulty with getting dressed.</t>
  </si>
  <si>
    <t>Fracture of face bone (short or long term, with or without treatment)</t>
  </si>
  <si>
    <t>has a broken cheek bone or a broken nose or chipped teeth, with swelling and severe pain.</t>
  </si>
  <si>
    <t>Fracture of neck of femur (long term, with treatment)</t>
  </si>
  <si>
    <t>had a broken hip in the past, which was fixed with treatment. The person can only walk short distances, has discomfort when moving around, and has some difficulty in daily activities.</t>
  </si>
  <si>
    <t>Fracture of neck of femur (long term, without treatment)</t>
  </si>
  <si>
    <t>had a broken hip bone in the past, which was never treated and did not heal properly. The person cannot get out of bed and needs help washing and going to the toilet.</t>
  </si>
  <si>
    <t>Fracture of neck of femur (short term, with or without treatment)</t>
  </si>
  <si>
    <t>has broken a hip and is in pain. The person cannot stand or walk, and needs help washing, dressing, and going to the toilet.</t>
  </si>
  <si>
    <t>Fracture of femur, other than femoral neck (long term, with or without treatment)</t>
  </si>
  <si>
    <t>had a broken thigh bone in the past, which was never treated and did not heal properly. The person now has a limp and discomfort when walking.</t>
  </si>
  <si>
    <t>Fracture of femur, other than femoral neck (short term, with or without treatment)</t>
  </si>
  <si>
    <t>has a broken thigh bone. The person has severe pain and swelling and cannot walk.</t>
  </si>
  <si>
    <t>Fracture of foot bones (long term, without treatment)</t>
  </si>
  <si>
    <t>had a broken foot in the past that did not heal properly. The person now has pain in the foot and has some difficulty walking.</t>
  </si>
  <si>
    <t>Fracture of foot bones (short term, with or without treatment)</t>
  </si>
  <si>
    <t xml:space="preserve">has a broken foot bone, which causes pain, swelling, and difficulty walking. </t>
  </si>
  <si>
    <t>Fracture of radius or ulna (long term, without treatment)</t>
  </si>
  <si>
    <t>had a broken forearm in the past that did not heal properly, causing some pain and limited movement in the elbow and wrist. The person has difficulty with daily activities such as dressing.</t>
  </si>
  <si>
    <t>Fracture of radius or ulna (short term, with or without treatment)</t>
  </si>
  <si>
    <t xml:space="preserve">has a broken forearm, which causes severe pain, swelling, and limited movement. </t>
  </si>
  <si>
    <t>Fracture of hand (long term, without treatment)</t>
  </si>
  <si>
    <t>has stiffness in the hand and a weak grip.</t>
  </si>
  <si>
    <t>Fracture of hand (short term, with or without treatment)</t>
  </si>
  <si>
    <t>has a broken hand, causing pain and swelling.</t>
  </si>
  <si>
    <t>Fracture of patella, tibia or fibula or ankle (long term, with or without treatment)</t>
  </si>
  <si>
    <t>had a broken shin bone in the past that did not heal properly. The person has pain in the knee and ankle, and has difficulty walking.</t>
  </si>
  <si>
    <t>Fracture of patella, tibia or fibula or ankle (short term, with or without treatment)</t>
  </si>
  <si>
    <t xml:space="preserve">has a broken shin bone, which causes severe pain, swelling, and difficulty walking. </t>
  </si>
  <si>
    <t>Fracture of pelvis (long term, with or without treatment)</t>
  </si>
  <si>
    <t xml:space="preserve">had a broken pelvis in the past and now walks with a limp. There is often pain in the back and groin, and when urinating and sitting for a long time. </t>
  </si>
  <si>
    <t>Fracture of pelvis (short term, with or without treatment)</t>
  </si>
  <si>
    <t>has a broken pelvis bone, with swelling and bruising. The person has severe pain, and cannot walk or do daily activities.</t>
  </si>
  <si>
    <t>Fracture of sternum and/or fracture of one or two ribs (short or long term, with or without treatment)</t>
  </si>
  <si>
    <t>has a broken rib that causes severe pain in the chest, especially when breathing in. The person has difficulty with daily activities such as dressing.</t>
  </si>
  <si>
    <t>Fracture of skull (short or long term, with or without treatment)</t>
  </si>
  <si>
    <t>has a broken skull, but does not have brain damage. The broken area is painful and swollen.</t>
  </si>
  <si>
    <t>Fracture of vertebral column (short or long term, with or without treatment)</t>
  </si>
  <si>
    <t>has broken back bones and is in pain, but still has full use of arms and legs.</t>
  </si>
  <si>
    <t>Traumatic brain injury, long-term consequences, minor (with or without treatment)</t>
  </si>
  <si>
    <t>has episodes of headaches, memory problems, and difficulty concentrating.</t>
  </si>
  <si>
    <t>Traumatic brain injury, long-term consequences, moderate (with or without treatment)</t>
  </si>
  <si>
    <t xml:space="preserve">has frequent headaches, memory problems, difficulty concentrating, and dizziness. The person is often anxious and moody. </t>
  </si>
  <si>
    <t>Traumatic brain injury, long-term consequences, severe (with or without treatment)</t>
  </si>
  <si>
    <t xml:space="preserve">cannot think clearly and has frequent headaches, memory problems, difficulty concentrating and dizziness. The person is often anxious and moody, and depends on others for feeding, toileting, dressing and walking.  </t>
  </si>
  <si>
    <t>Moderate/Severe traumatic brain injury (short term, with or without treatment)</t>
  </si>
  <si>
    <t>cannot concentrate and has headaches, memory problems, dizziness, and feels angry.</t>
  </si>
  <si>
    <t>Severe chest injury (long term, with or without treatment)</t>
  </si>
  <si>
    <t>had a severe chest injury in the past that has now healed. The person still gets breathless when walking and feels discomfort in the chest.</t>
  </si>
  <si>
    <t>Severe chest injury (short term, with or without treatment)</t>
  </si>
  <si>
    <t xml:space="preserve">has a serious chest injury, which causes severe pain, shortness of breath and anxiety. </t>
  </si>
  <si>
    <t>Concussion</t>
  </si>
  <si>
    <t>has headaches, dizziness, nausea and difficulty concentrating</t>
  </si>
  <si>
    <t>Crush injury (short or long term, with or without treatment)</t>
  </si>
  <si>
    <t xml:space="preserve">had part of the body crushed, leaving pain, swelling, tingling and limited feeling in the affected area.  </t>
  </si>
  <si>
    <t>Injury to eyes (short term)</t>
  </si>
  <si>
    <t>has an injury to one eye, which causes pain and difficulty seeing.</t>
  </si>
  <si>
    <t>Other injuries of muscle and tendon (includes sprains, strains and dislocations other than shoulder, knee, hip)</t>
  </si>
  <si>
    <t>has a strained muscle that causes pain and swelling.</t>
  </si>
  <si>
    <t>Injured nerves (long term)</t>
  </si>
  <si>
    <t>had a nerve injury in the past, which continues to cause some difficulty moving. The person often injures the affected part because it is numb.</t>
  </si>
  <si>
    <t>Injured nerves (short term)</t>
  </si>
  <si>
    <t xml:space="preserve">has a nerve injury, which causes difficulty moving and some loss of feeling in the affected area. </t>
  </si>
  <si>
    <t xml:space="preserve">Spinal cord lesion below neck level (untreated) </t>
  </si>
  <si>
    <t>is paralyzed from the waist down, cannot feel or move the legs and has difficulties with urine and bowel control. Legs are in fixed, bent positions, and the person gets frequent infections and pressure sores.</t>
  </si>
  <si>
    <t>Spinal cord lesion at neck level (treated)</t>
  </si>
  <si>
    <t>is paralyzed from the neck down, with no feeling or control over any part of the body below the neck, and no urine or bowel control.</t>
  </si>
  <si>
    <t xml:space="preserve">Spinal cord lesion at neck level (untreated) </t>
  </si>
  <si>
    <t>is paralyzed from the neck down, with no feeling or control over any part of the body below the neck, and no urine or bowel control. Arms and legs are in fixed, bent positions, and the person gets frequent infections and pressure sores.</t>
  </si>
  <si>
    <t>Open wound (short term, with or without treatment)</t>
  </si>
  <si>
    <t>has a cut in the skin, which causes pain and numbness around the cut.</t>
  </si>
  <si>
    <t>Poisoning (with or without treatment)</t>
  </si>
  <si>
    <t>has drowsiness, stomach pain and vomiting.</t>
  </si>
  <si>
    <t>Variação acumulada no ano durante o Plano Real</t>
  </si>
  <si>
    <t>Brasil</t>
  </si>
  <si>
    <t>199512#dezembro 1995</t>
  </si>
  <si>
    <t>199612#dezembro 1996</t>
  </si>
  <si>
    <t>199712#dezembro 1997</t>
  </si>
  <si>
    <t>199812#dezembro 1998</t>
  </si>
  <si>
    <t>199912#dezembro 1999</t>
  </si>
  <si>
    <t>200012#dezembro 2000</t>
  </si>
  <si>
    <t>200112#dezembro 2001</t>
  </si>
  <si>
    <t>200212#dezembro 2002</t>
  </si>
  <si>
    <t>200312#dezembro 2003</t>
  </si>
  <si>
    <t>200412#dezembro 2004</t>
  </si>
  <si>
    <t>200512#dezembro 2005</t>
  </si>
  <si>
    <t>200612#dezembro 2006</t>
  </si>
  <si>
    <t>200712#dezembro 2007</t>
  </si>
  <si>
    <t>200812#dezembro 2008</t>
  </si>
  <si>
    <t>200912#dezembro 2009</t>
  </si>
  <si>
    <t>201012#dezembro 2010</t>
  </si>
  <si>
    <t>201112#dezembro 2011</t>
  </si>
  <si>
    <t>201212#dezembro 2012</t>
  </si>
  <si>
    <t>201312#dezembro 2013</t>
  </si>
  <si>
    <t>201412#dezembro 2014</t>
  </si>
  <si>
    <t>201512#dezembro 2015</t>
  </si>
  <si>
    <t>201612#dezembro 2016</t>
  </si>
  <si>
    <t>201712#dezembro 2017</t>
  </si>
  <si>
    <t>201812#dezembro 2018</t>
  </si>
  <si>
    <t>201912#dezembro 2019</t>
  </si>
  <si>
    <t>202012#dezembro 2020</t>
  </si>
  <si>
    <t>202112#dezembro 2021</t>
  </si>
  <si>
    <t>202212#dezembro 2022</t>
  </si>
  <si>
    <t>202312#dezembro 2023</t>
  </si>
  <si>
    <t>202412#dezembro 2024</t>
  </si>
  <si>
    <t>Fonte: "IBGE - Índice Nacional de Preços ao Consumidor Amplo"</t>
  </si>
  <si>
    <t>202512#dezembro 2025</t>
  </si>
  <si>
    <t>https://www.ibge.gov.br/en/statistics/economic/prices-and-costs/17136-national-consumer-pricce-index.html?lang=en-GB&amp;t=series-historicas</t>
  </si>
  <si>
    <t>Cumulative</t>
  </si>
  <si>
    <t>Data Updated: 2026-01-05</t>
  </si>
  <si>
    <t>File Created: 2026-02-15 9:17 pm CST</t>
  </si>
  <si>
    <t>BRL to USD exchange rate, 2025</t>
  </si>
  <si>
    <t>brl_usd_fx_2025</t>
  </si>
  <si>
    <t>cpi_2025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</si>
</sst>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4" formatCode="_(&quot;$&quot;* #,##0.00_);_(&quot;$&quot;* \(#,##0.00\);_(&quot;$&quot;* &quot;-&quot;??_);_(@_)"/>
    <numFmt numFmtId="43" formatCode="_(* #,##0.00_);_(* \(#,##0.00\);_(* &quot;-&quot;??_);_(@_)"/>
    <numFmt numFmtId="164" formatCode="#,##0.000"/>
    <numFmt numFmtId="165" formatCode="#,##0.0000"/>
    <numFmt numFmtId="166" formatCode="#,##0.000000"/>
    <numFmt numFmtId="167" formatCode="#,##0.0000000"/>
    <numFmt numFmtId="168" formatCode="#,##0.0"/>
    <numFmt numFmtId="169" formatCode="0.000"/>
    <numFmt numFmtId="170" formatCode="0.00000"/>
    <numFmt numFmtId="171" formatCode="&quot;$&quot;#,##0.00"/>
    <numFmt numFmtId="172" formatCode="General_)"/>
    <numFmt numFmtId="173" formatCode="0.000_)"/>
    <numFmt numFmtId="174" formatCode="0.0_)"/>
    <numFmt numFmtId="175" formatCode="0.0000"/>
    <numFmt numFmtId="176" formatCode="yyyy\-mm\-dd"/>
    <numFmt numFmtId="177" formatCode="0.00000000000000000000000000"/>
  </numFmts>
  <fonts count="53" x14ac:knownFonts="1">
    <font>
      <sz val="12"/>
      <color theme="1"/>
      <name val="Aptos Narrow"/>
      <family val="2"/>
      <scheme val="minor"/>
    </font>
    <font>
      <sz val="12"/>
      <color theme="1"/>
      <name val="Aptos"/>
    </font>
    <font>
      <u/>
      <sz val="12"/>
      <color theme="10"/>
      <name val="Aptos Narrow"/>
      <family val="2"/>
      <scheme val="minor"/>
    </font>
    <font>
      <u/>
      <sz val="12"/>
      <color theme="10"/>
      <name val="Aptos"/>
    </font>
    <font>
      <b/>
      <sz val="12"/>
      <color rgb="FF000000"/>
      <name val="Aptos"/>
    </font>
    <font>
      <sz val="12"/>
      <color rgb="FF000000"/>
      <name val="Aptos"/>
    </font>
    <font>
      <sz val="12"/>
      <color rgb="FFFF0000"/>
      <name val="Aptos"/>
    </font>
    <font>
      <b/>
      <sz val="12"/>
      <color theme="1"/>
      <name val="Aptos"/>
    </font>
    <font>
      <sz val="12"/>
      <color rgb="FF0070C0"/>
      <name val="Aptos"/>
    </font>
    <font>
      <sz val="12"/>
      <color rgb="FFC00000"/>
      <name val="Aptos"/>
    </font>
    <font>
      <b/>
      <sz val="12"/>
      <color theme="0"/>
      <name val="Aptos"/>
    </font>
    <font>
      <i/>
      <sz val="12"/>
      <color theme="1"/>
      <name val="Aptos"/>
    </font>
    <font>
      <b/>
      <sz val="12"/>
      <color rgb="FF0070C0"/>
      <name val="Aptos"/>
    </font>
    <font>
      <sz val="12"/>
      <color rgb="FF000000"/>
      <name val="Aptos Narrow"/>
      <family val="2"/>
      <scheme val="minor"/>
    </font>
    <font>
      <b/>
      <i/>
      <sz val="12"/>
      <color theme="1"/>
      <name val="Aptos"/>
    </font>
    <font>
      <u/>
      <sz val="12"/>
      <color theme="1"/>
      <name val="Aptos Narrow"/>
      <family val="2"/>
      <scheme val="minor"/>
    </font>
    <font>
      <b/>
      <u/>
      <sz val="12"/>
      <color theme="10"/>
      <name val="Aptos"/>
    </font>
    <font>
      <sz val="10"/>
      <name val="Courier New"/>
      <family val="3"/>
      <charset val="1"/>
    </font>
    <font>
      <sz val="12"/>
      <name val="Times New Roman"/>
      <family val="1"/>
      <charset val="1"/>
    </font>
    <font>
      <sz val="12"/>
      <color rgb="FF0000FF"/>
      <name val="Arial"/>
      <family val="2"/>
      <charset val="1"/>
    </font>
    <font>
      <sz val="12"/>
      <color rgb="FF0000FF"/>
      <name val="Times New Roman"/>
      <family val="1"/>
      <charset val="1"/>
    </font>
    <font>
      <sz val="12"/>
      <color theme="3"/>
      <name val="Aptos"/>
    </font>
    <font>
      <u/>
      <sz val="12"/>
      <color theme="1"/>
      <name val="Aptos"/>
    </font>
    <font>
      <b/>
      <sz val="11"/>
      <color theme="1"/>
      <name val="Aptos Narrow"/>
      <family val="2"/>
      <scheme val="minor"/>
    </font>
    <font>
      <sz val="16"/>
      <color rgb="FF555555"/>
      <name val="Aptos"/>
    </font>
    <font>
      <b/>
      <sz val="12"/>
      <color theme="1"/>
      <name val="Aptos Narrow"/>
      <scheme val="minor"/>
    </font>
    <font>
      <sz val="12"/>
      <color rgb="FF0070C0"/>
      <name val="Aptos Narrow"/>
      <family val="2"/>
      <scheme val="minor"/>
    </font>
    <font>
      <sz val="11"/>
      <color rgb="FF0070C0"/>
      <name val="Aptos"/>
    </font>
    <font>
      <u/>
      <sz val="12"/>
      <color rgb="FF0070C0"/>
      <name val="Aptos"/>
    </font>
    <font>
      <sz val="12"/>
      <color theme="1"/>
      <name val="Aptos Narrow"/>
      <family val="2"/>
      <scheme val="minor"/>
    </font>
    <font>
      <b/>
      <sz val="12"/>
      <color rgb="FF000000"/>
      <name val="Helvetica Neue"/>
      <family val="2"/>
    </font>
    <font>
      <sz val="12"/>
      <color rgb="FF000000"/>
      <name val="Helvetica Neue"/>
      <family val="2"/>
    </font>
    <font>
      <sz val="12"/>
      <color rgb="FF212121"/>
      <name val="Aptos"/>
    </font>
    <font>
      <sz val="12"/>
      <color rgb="FF212121"/>
      <name val="Arial"/>
      <family val="2"/>
    </font>
    <font>
      <b/>
      <sz val="12"/>
      <color rgb="FF212121"/>
      <name val="Aptos"/>
    </font>
    <font>
      <sz val="11"/>
      <color theme="1"/>
      <name val="Aptos Narrow"/>
      <family val="2"/>
      <scheme val="minor"/>
    </font>
    <font>
      <u/>
      <sz val="11"/>
      <color theme="10"/>
      <name val="Aptos Narrow"/>
      <family val="2"/>
      <scheme val="minor"/>
    </font>
    <font>
      <sz val="22"/>
      <color theme="1"/>
      <name val="Aptos Narrow (Body)"/>
    </font>
    <font>
      <sz val="14"/>
      <color theme="1"/>
      <name val="Calibri"/>
      <family val="2"/>
    </font>
    <font>
      <b/>
      <sz val="14"/>
      <color theme="1"/>
      <name val="Aptos Narrow"/>
      <scheme val="minor"/>
    </font>
    <font>
      <sz val="14"/>
      <color theme="1"/>
      <name val="Aptos Narrow"/>
      <family val="2"/>
      <scheme val="minor"/>
    </font>
    <font>
      <sz val="14"/>
      <color rgb="FF000000"/>
      <name val="Calibri"/>
      <family val="2"/>
    </font>
    <font>
      <b/>
      <sz val="12"/>
      <color rgb="FF000000"/>
      <name val="Aptos Narrow"/>
      <family val="2"/>
      <scheme val="minor"/>
    </font>
    <font>
      <b/>
      <sz val="12"/>
      <color rgb="FF000000"/>
      <name val="Aptos Narrow"/>
      <scheme val="minor"/>
    </font>
    <font>
      <sz val="12"/>
      <color theme="1"/>
      <name val="Aptos Narrow"/>
      <scheme val="minor"/>
    </font>
    <font>
      <sz val="12"/>
      <color rgb="FF00B050"/>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b/>
      <sz val="11"/>
      <name val="Aptos Narrow"/>
      <family val="2"/>
      <scheme val="minor"/>
    </font>
    <font>
      <sz val="11"/>
      <name val="Aptos Narrow"/>
      <family val="2"/>
      <scheme val="minor"/>
    </font>
    <font>
      <sz val="12"/>
      <color rgb="FF00B050"/>
      <name val="Aptos"/>
    </font>
    <font>
      <sz val="12"/>
      <color rgb="FF000000"/>
      <name val="Calibri"/>
      <family val="2"/>
    </font>
  </fonts>
  <fills count="13">
    <fill>
      <patternFill patternType="none"/>
    </fill>
    <fill>
      <patternFill patternType="gray125"/>
    </fill>
    <fill>
      <patternFill patternType="solid">
        <fgColor rgb="FF002060"/>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rgb="FFFFC000"/>
        <bgColor indexed="64"/>
      </patternFill>
    </fill>
    <fill>
      <patternFill patternType="solid">
        <fgColor theme="6"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s>
  <cellStyleXfs count="10">
    <xf numFmtId="0" fontId="0" fillId="0" borderId="0"/>
    <xf numFmtId="0" fontId="2" fillId="0" borderId="0" applyNumberFormat="0" applyFill="0" applyBorder="0" applyAlignment="0" applyProtection="0"/>
    <xf numFmtId="170" fontId="17" fillId="0" borderId="0"/>
    <xf numFmtId="43" fontId="29" fillId="0" borderId="0" applyFont="0" applyFill="0" applyBorder="0" applyAlignment="0" applyProtection="0"/>
    <xf numFmtId="44" fontId="29" fillId="0" borderId="0" applyFont="0" applyFill="0" applyBorder="0" applyAlignment="0" applyProtection="0"/>
    <xf numFmtId="0" fontId="35" fillId="0" borderId="0"/>
    <xf numFmtId="0" fontId="36" fillId="0" borderId="0" applyNumberFormat="0" applyFill="0" applyBorder="0" applyAlignment="0" applyProtection="0"/>
    <xf numFmtId="0" fontId="46" fillId="10" borderId="0" applyNumberFormat="0" applyBorder="0" applyAlignment="0" applyProtection="0"/>
    <xf numFmtId="0" fontId="47" fillId="11" borderId="0" applyNumberFormat="0" applyBorder="0" applyAlignment="0" applyProtection="0"/>
    <xf numFmtId="0" fontId="48" fillId="12" borderId="0" applyNumberFormat="0" applyBorder="0" applyAlignment="0" applyProtection="0"/>
  </cellStyleXfs>
  <cellXfs count="249">
    <xf numFmtId="0" fontId="0" fillId="0" borderId="0" xfId="0"/>
    <xf numFmtId="0" fontId="1" fillId="0" borderId="0" xfId="0" applyFont="1"/>
    <xf numFmtId="0" fontId="2" fillId="0" borderId="0" xfId="1"/>
    <xf numFmtId="0" fontId="3" fillId="0" borderId="0" xfId="1" applyFont="1"/>
    <xf numFmtId="0" fontId="5" fillId="0" borderId="0" xfId="0" applyFont="1"/>
    <xf numFmtId="0" fontId="6" fillId="0" borderId="0" xfId="0" applyFont="1"/>
    <xf numFmtId="164" fontId="8" fillId="0" borderId="0" xfId="0" applyNumberFormat="1" applyFont="1" applyAlignment="1">
      <alignment horizontal="center"/>
    </xf>
    <xf numFmtId="165" fontId="1" fillId="0" borderId="0" xfId="0" applyNumberFormat="1" applyFont="1" applyAlignment="1">
      <alignment horizontal="center"/>
    </xf>
    <xf numFmtId="0" fontId="1" fillId="0" borderId="0" xfId="0" applyFont="1" applyAlignment="1">
      <alignment horizontal="center"/>
    </xf>
    <xf numFmtId="4" fontId="8" fillId="0" borderId="0" xfId="0" applyNumberFormat="1" applyFont="1" applyAlignment="1">
      <alignment horizontal="center"/>
    </xf>
    <xf numFmtId="168" fontId="8" fillId="0" borderId="0" xfId="0" applyNumberFormat="1" applyFont="1" applyAlignment="1">
      <alignment horizontal="center"/>
    </xf>
    <xf numFmtId="3" fontId="8" fillId="0" borderId="0" xfId="0" applyNumberFormat="1" applyFont="1" applyAlignment="1">
      <alignment horizontal="center"/>
    </xf>
    <xf numFmtId="4" fontId="1" fillId="0" borderId="0" xfId="0" applyNumberFormat="1" applyFont="1" applyAlignment="1">
      <alignment horizontal="center"/>
    </xf>
    <xf numFmtId="3" fontId="1" fillId="0" borderId="0" xfId="0" applyNumberFormat="1" applyFont="1" applyAlignment="1">
      <alignment horizontal="center"/>
    </xf>
    <xf numFmtId="0" fontId="1" fillId="0" borderId="1" xfId="0" applyFont="1" applyBorder="1"/>
    <xf numFmtId="0" fontId="3" fillId="0" borderId="1" xfId="1" applyFont="1" applyBorder="1"/>
    <xf numFmtId="0" fontId="8" fillId="0" borderId="0" xfId="0" applyFont="1" applyAlignment="1">
      <alignment horizontal="center"/>
    </xf>
    <xf numFmtId="169" fontId="8" fillId="0" borderId="0" xfId="0" applyNumberFormat="1" applyFont="1" applyAlignment="1">
      <alignment horizontal="center"/>
    </xf>
    <xf numFmtId="2" fontId="8" fillId="0" borderId="0" xfId="0" applyNumberFormat="1" applyFont="1" applyAlignment="1">
      <alignment horizontal="center"/>
    </xf>
    <xf numFmtId="171" fontId="8" fillId="0" borderId="0" xfId="0" applyNumberFormat="1" applyFont="1" applyAlignment="1">
      <alignment horizontal="center"/>
    </xf>
    <xf numFmtId="0" fontId="8" fillId="0" borderId="1" xfId="0" applyFont="1" applyBorder="1" applyAlignment="1">
      <alignment horizontal="center"/>
    </xf>
    <xf numFmtId="169" fontId="1" fillId="0" borderId="0" xfId="0" applyNumberFormat="1" applyFont="1" applyAlignment="1">
      <alignment horizontal="center"/>
    </xf>
    <xf numFmtId="0" fontId="1" fillId="4" borderId="0" xfId="0" applyFont="1" applyFill="1"/>
    <xf numFmtId="0" fontId="7" fillId="4" borderId="0" xfId="0" applyFont="1" applyFill="1"/>
    <xf numFmtId="0" fontId="1" fillId="4" borderId="0" xfId="0" applyFont="1" applyFill="1" applyAlignment="1">
      <alignment horizontal="center"/>
    </xf>
    <xf numFmtId="171" fontId="1" fillId="4" borderId="0" xfId="0" applyNumberFormat="1" applyFont="1" applyFill="1" applyAlignment="1">
      <alignment horizontal="center"/>
    </xf>
    <xf numFmtId="0" fontId="8" fillId="4" borderId="0" xfId="0" applyFont="1" applyFill="1" applyAlignment="1">
      <alignment horizontal="center"/>
    </xf>
    <xf numFmtId="169" fontId="8" fillId="4" borderId="0" xfId="0" applyNumberFormat="1" applyFont="1" applyFill="1" applyAlignment="1">
      <alignment horizontal="center"/>
    </xf>
    <xf numFmtId="0" fontId="3" fillId="4" borderId="0" xfId="1" applyFont="1" applyFill="1" applyBorder="1"/>
    <xf numFmtId="0" fontId="7" fillId="4" borderId="0" xfId="0" applyFont="1" applyFill="1" applyAlignment="1">
      <alignment horizontal="center"/>
    </xf>
    <xf numFmtId="0" fontId="13" fillId="0" borderId="0" xfId="0" applyFont="1"/>
    <xf numFmtId="0" fontId="10" fillId="2" borderId="1" xfId="0" applyFont="1" applyFill="1" applyBorder="1"/>
    <xf numFmtId="0" fontId="10" fillId="2" borderId="1" xfId="0" applyFont="1" applyFill="1" applyBorder="1" applyAlignment="1">
      <alignment horizontal="center"/>
    </xf>
    <xf numFmtId="4" fontId="1" fillId="0" borderId="1" xfId="0" applyNumberFormat="1" applyFont="1" applyBorder="1" applyAlignment="1">
      <alignment horizontal="center"/>
    </xf>
    <xf numFmtId="171" fontId="8" fillId="0" borderId="1" xfId="0" applyNumberFormat="1" applyFont="1" applyBorder="1" applyAlignment="1">
      <alignment horizontal="center"/>
    </xf>
    <xf numFmtId="0" fontId="3" fillId="0" borderId="0" xfId="1" applyFont="1" applyFill="1"/>
    <xf numFmtId="0" fontId="2" fillId="0" borderId="0" xfId="1" applyFill="1"/>
    <xf numFmtId="0" fontId="2" fillId="0" borderId="1" xfId="1" applyFill="1" applyBorder="1"/>
    <xf numFmtId="0" fontId="2" fillId="0" borderId="0" xfId="1" applyFill="1" applyBorder="1"/>
    <xf numFmtId="0" fontId="0" fillId="0" borderId="1" xfId="0" applyBorder="1"/>
    <xf numFmtId="4" fontId="8" fillId="0" borderId="1" xfId="0" applyNumberFormat="1" applyFont="1" applyBorder="1" applyAlignment="1">
      <alignment horizontal="center"/>
    </xf>
    <xf numFmtId="0" fontId="3" fillId="0" borderId="0" xfId="1" applyFont="1" applyFill="1" applyBorder="1"/>
    <xf numFmtId="0" fontId="14" fillId="4" borderId="0" xfId="0" applyFont="1" applyFill="1"/>
    <xf numFmtId="3" fontId="8" fillId="4" borderId="0" xfId="0" applyNumberFormat="1" applyFont="1" applyFill="1" applyAlignment="1">
      <alignment horizontal="center"/>
    </xf>
    <xf numFmtId="0" fontId="3" fillId="4" borderId="0" xfId="1" applyFont="1" applyFill="1"/>
    <xf numFmtId="0" fontId="7" fillId="5" borderId="0" xfId="0" applyFont="1" applyFill="1"/>
    <xf numFmtId="0" fontId="12" fillId="5" borderId="0" xfId="0" applyFont="1" applyFill="1" applyAlignment="1">
      <alignment horizontal="center"/>
    </xf>
    <xf numFmtId="169" fontId="12" fillId="5" borderId="0" xfId="0" applyNumberFormat="1" applyFont="1" applyFill="1" applyAlignment="1">
      <alignment horizontal="center"/>
    </xf>
    <xf numFmtId="0" fontId="16" fillId="5" borderId="0" xfId="1" applyFont="1" applyFill="1" applyBorder="1"/>
    <xf numFmtId="0" fontId="1" fillId="5" borderId="0" xfId="0" applyFont="1" applyFill="1"/>
    <xf numFmtId="0" fontId="8" fillId="5" borderId="0" xfId="0" applyFont="1" applyFill="1" applyAlignment="1">
      <alignment horizontal="center"/>
    </xf>
    <xf numFmtId="169" fontId="8" fillId="5" borderId="0" xfId="0" applyNumberFormat="1" applyFont="1" applyFill="1" applyAlignment="1">
      <alignment horizontal="center"/>
    </xf>
    <xf numFmtId="0" fontId="3" fillId="5" borderId="0" xfId="1" applyFont="1" applyFill="1" applyBorder="1"/>
    <xf numFmtId="164" fontId="12" fillId="5" borderId="0" xfId="0" applyNumberFormat="1" applyFont="1" applyFill="1" applyAlignment="1">
      <alignment horizontal="center"/>
    </xf>
    <xf numFmtId="0" fontId="4" fillId="5" borderId="0" xfId="0" applyFont="1" applyFill="1"/>
    <xf numFmtId="0" fontId="15" fillId="0" borderId="0" xfId="1" applyFont="1" applyFill="1" applyBorder="1"/>
    <xf numFmtId="0" fontId="11" fillId="5" borderId="0" xfId="0" applyFont="1" applyFill="1" applyAlignment="1">
      <alignment horizontal="center"/>
    </xf>
    <xf numFmtId="0" fontId="1" fillId="5" borderId="0" xfId="0" applyFont="1" applyFill="1" applyAlignment="1">
      <alignment horizontal="center"/>
    </xf>
    <xf numFmtId="1" fontId="18" fillId="0" borderId="0" xfId="2" applyNumberFormat="1" applyFont="1"/>
    <xf numFmtId="172" fontId="18" fillId="0" borderId="0" xfId="2" applyNumberFormat="1" applyFont="1" applyAlignment="1">
      <alignment horizontal="left"/>
    </xf>
    <xf numFmtId="172" fontId="18" fillId="0" borderId="0" xfId="2" applyNumberFormat="1" applyFont="1" applyAlignment="1">
      <alignment horizontal="center"/>
    </xf>
    <xf numFmtId="174" fontId="18" fillId="0" borderId="0" xfId="2" applyNumberFormat="1" applyFont="1" applyAlignment="1">
      <alignment horizontal="center"/>
    </xf>
    <xf numFmtId="172" fontId="18" fillId="0" borderId="0" xfId="2" applyNumberFormat="1" applyFont="1"/>
    <xf numFmtId="172" fontId="18" fillId="0" borderId="1" xfId="2" applyNumberFormat="1" applyFont="1" applyBorder="1"/>
    <xf numFmtId="172" fontId="18" fillId="0" borderId="1" xfId="2" applyNumberFormat="1" applyFont="1" applyBorder="1" applyAlignment="1">
      <alignment horizontal="center"/>
    </xf>
    <xf numFmtId="172" fontId="18" fillId="0" borderId="1" xfId="2" applyNumberFormat="1" applyFont="1" applyBorder="1" applyAlignment="1">
      <alignment horizontal="right"/>
    </xf>
    <xf numFmtId="172" fontId="18" fillId="0" borderId="3" xfId="2" applyNumberFormat="1" applyFont="1" applyBorder="1" applyAlignment="1">
      <alignment horizontal="center"/>
    </xf>
    <xf numFmtId="172" fontId="18" fillId="0" borderId="5" xfId="2" applyNumberFormat="1" applyFont="1" applyBorder="1" applyAlignment="1">
      <alignment horizontal="center"/>
    </xf>
    <xf numFmtId="172" fontId="18" fillId="0" borderId="6" xfId="2" applyNumberFormat="1" applyFont="1" applyBorder="1" applyAlignment="1">
      <alignment horizontal="center"/>
    </xf>
    <xf numFmtId="172" fontId="18" fillId="0" borderId="7" xfId="2" applyNumberFormat="1" applyFont="1" applyBorder="1" applyAlignment="1">
      <alignment horizontal="center"/>
    </xf>
    <xf numFmtId="172" fontId="20" fillId="0" borderId="0" xfId="2" applyNumberFormat="1" applyFont="1" applyAlignment="1">
      <alignment horizontal="center"/>
    </xf>
    <xf numFmtId="173" fontId="18" fillId="0" borderId="0" xfId="2" applyNumberFormat="1" applyFont="1" applyAlignment="1">
      <alignment horizontal="right"/>
    </xf>
    <xf numFmtId="1" fontId="18" fillId="0" borderId="0" xfId="2" applyNumberFormat="1" applyFont="1" applyAlignment="1">
      <alignment horizontal="right"/>
    </xf>
    <xf numFmtId="174" fontId="20" fillId="0" borderId="0" xfId="2" applyNumberFormat="1" applyFont="1" applyAlignment="1">
      <alignment horizontal="center"/>
    </xf>
    <xf numFmtId="172" fontId="20" fillId="0" borderId="1" xfId="2" applyNumberFormat="1" applyFont="1" applyBorder="1" applyAlignment="1">
      <alignment horizontal="center"/>
    </xf>
    <xf numFmtId="173" fontId="18" fillId="0" borderId="1" xfId="2" applyNumberFormat="1" applyFont="1" applyBorder="1" applyAlignment="1">
      <alignment horizontal="right"/>
    </xf>
    <xf numFmtId="1" fontId="18" fillId="0" borderId="1" xfId="2" applyNumberFormat="1" applyFont="1" applyBorder="1" applyAlignment="1">
      <alignment horizontal="right"/>
    </xf>
    <xf numFmtId="174" fontId="20" fillId="0" borderId="1" xfId="2" applyNumberFormat="1" applyFont="1" applyBorder="1" applyAlignment="1">
      <alignment horizontal="center"/>
    </xf>
    <xf numFmtId="16" fontId="0" fillId="0" borderId="0" xfId="0" applyNumberFormat="1"/>
    <xf numFmtId="0" fontId="2" fillId="0" borderId="0" xfId="1" applyBorder="1"/>
    <xf numFmtId="172" fontId="20" fillId="3" borderId="0" xfId="2" applyNumberFormat="1" applyFont="1" applyFill="1" applyAlignment="1">
      <alignment horizontal="center"/>
    </xf>
    <xf numFmtId="173" fontId="18" fillId="3" borderId="0" xfId="2" applyNumberFormat="1" applyFont="1" applyFill="1" applyAlignment="1">
      <alignment horizontal="right"/>
    </xf>
    <xf numFmtId="1" fontId="18" fillId="3" borderId="0" xfId="2" applyNumberFormat="1" applyFont="1" applyFill="1" applyAlignment="1">
      <alignment horizontal="right"/>
    </xf>
    <xf numFmtId="174" fontId="20" fillId="3" borderId="0" xfId="2" applyNumberFormat="1" applyFont="1" applyFill="1" applyAlignment="1">
      <alignment horizontal="center"/>
    </xf>
    <xf numFmtId="0" fontId="0" fillId="0" borderId="0" xfId="0" applyAlignment="1">
      <alignment horizontal="center"/>
    </xf>
    <xf numFmtId="0" fontId="8" fillId="0" borderId="0" xfId="0" applyFont="1"/>
    <xf numFmtId="167" fontId="8" fillId="0" borderId="0" xfId="0" applyNumberFormat="1" applyFont="1" applyAlignment="1">
      <alignment horizontal="center"/>
    </xf>
    <xf numFmtId="2" fontId="8" fillId="0" borderId="1" xfId="0" applyNumberFormat="1" applyFont="1" applyBorder="1" applyAlignment="1">
      <alignment horizontal="center"/>
    </xf>
    <xf numFmtId="0" fontId="3" fillId="0" borderId="1" xfId="1" applyFont="1" applyFill="1" applyBorder="1"/>
    <xf numFmtId="0" fontId="21" fillId="0" borderId="0" xfId="0" applyFont="1"/>
    <xf numFmtId="0" fontId="9" fillId="0" borderId="0" xfId="0" applyFont="1"/>
    <xf numFmtId="0" fontId="3" fillId="0" borderId="0" xfId="1" applyFont="1" applyFill="1" applyAlignment="1"/>
    <xf numFmtId="0" fontId="1" fillId="0" borderId="1" xfId="0" applyFont="1" applyBorder="1" applyAlignment="1">
      <alignment horizontal="center"/>
    </xf>
    <xf numFmtId="167" fontId="8" fillId="0" borderId="1" xfId="0" applyNumberFormat="1" applyFont="1" applyBorder="1" applyAlignment="1">
      <alignment horizontal="center"/>
    </xf>
    <xf numFmtId="0" fontId="5" fillId="0" borderId="1" xfId="0" applyFont="1" applyBorder="1"/>
    <xf numFmtId="0" fontId="8" fillId="0" borderId="1" xfId="0" applyFont="1" applyBorder="1"/>
    <xf numFmtId="0" fontId="6" fillId="0" borderId="1" xfId="0" applyFont="1" applyBorder="1"/>
    <xf numFmtId="0" fontId="1" fillId="0" borderId="2" xfId="0" applyFont="1" applyBorder="1"/>
    <xf numFmtId="0" fontId="21" fillId="0" borderId="2" xfId="0" applyFont="1" applyBorder="1"/>
    <xf numFmtId="0" fontId="8" fillId="0" borderId="2" xfId="0" applyFont="1" applyBorder="1" applyAlignment="1">
      <alignment horizontal="center"/>
    </xf>
    <xf numFmtId="0" fontId="8" fillId="0" borderId="2" xfId="0" applyFont="1" applyBorder="1"/>
    <xf numFmtId="0" fontId="15" fillId="0" borderId="2" xfId="1" applyFont="1" applyFill="1" applyBorder="1"/>
    <xf numFmtId="0" fontId="22" fillId="0" borderId="0" xfId="1" applyFont="1" applyFill="1"/>
    <xf numFmtId="0" fontId="22" fillId="0" borderId="0" xfId="1" applyFont="1" applyFill="1" applyBorder="1"/>
    <xf numFmtId="0" fontId="23" fillId="0" borderId="4" xfId="0" applyFont="1" applyBorder="1" applyAlignment="1">
      <alignment horizontal="center" vertical="top"/>
    </xf>
    <xf numFmtId="176" fontId="0" fillId="0" borderId="0" xfId="0" applyNumberFormat="1"/>
    <xf numFmtId="175" fontId="0" fillId="0" borderId="0" xfId="0" applyNumberFormat="1"/>
    <xf numFmtId="0" fontId="0" fillId="0" borderId="0" xfId="0" applyAlignment="1">
      <alignment wrapText="1"/>
    </xf>
    <xf numFmtId="176" fontId="0" fillId="3" borderId="0" xfId="0" applyNumberFormat="1" applyFill="1"/>
    <xf numFmtId="175" fontId="0" fillId="3" borderId="0" xfId="0" applyNumberFormat="1" applyFill="1"/>
    <xf numFmtId="172" fontId="18" fillId="0" borderId="0" xfId="2" applyNumberFormat="1" applyFont="1" applyAlignment="1">
      <alignment horizontal="center" vertical="center"/>
    </xf>
    <xf numFmtId="0" fontId="24" fillId="0" borderId="0" xfId="0" applyFont="1" applyAlignment="1">
      <alignment horizontal="center"/>
    </xf>
    <xf numFmtId="4" fontId="8" fillId="0" borderId="2" xfId="0" applyNumberFormat="1" applyFont="1" applyBorder="1" applyAlignment="1">
      <alignment horizontal="center"/>
    </xf>
    <xf numFmtId="164" fontId="1" fillId="0" borderId="0" xfId="0" applyNumberFormat="1" applyFont="1" applyAlignment="1">
      <alignment horizontal="center"/>
    </xf>
    <xf numFmtId="0" fontId="26" fillId="0" borderId="0" xfId="0" applyFont="1" applyAlignment="1">
      <alignment horizontal="center"/>
    </xf>
    <xf numFmtId="0" fontId="25" fillId="0" borderId="1" xfId="0" applyFont="1" applyBorder="1" applyAlignment="1">
      <alignment horizontal="center"/>
    </xf>
    <xf numFmtId="0" fontId="25" fillId="0" borderId="1" xfId="0" applyFont="1" applyBorder="1"/>
    <xf numFmtId="0" fontId="7" fillId="0" borderId="0" xfId="0" applyFont="1"/>
    <xf numFmtId="0" fontId="1" fillId="3" borderId="0" xfId="0" applyFont="1" applyFill="1" applyAlignment="1">
      <alignment horizontal="center"/>
    </xf>
    <xf numFmtId="170" fontId="8" fillId="0" borderId="0" xfId="0" applyNumberFormat="1" applyFont="1" applyAlignment="1">
      <alignment horizontal="center"/>
    </xf>
    <xf numFmtId="0" fontId="1" fillId="0" borderId="0" xfId="0" applyFont="1" applyAlignment="1">
      <alignment wrapText="1"/>
    </xf>
    <xf numFmtId="0" fontId="2" fillId="0" borderId="1" xfId="1" applyFill="1" applyBorder="1" applyAlignment="1"/>
    <xf numFmtId="0" fontId="22" fillId="0" borderId="1" xfId="1" applyFont="1" applyFill="1" applyBorder="1"/>
    <xf numFmtId="1" fontId="8" fillId="0" borderId="0" xfId="0" applyNumberFormat="1" applyFont="1" applyAlignment="1">
      <alignment horizontal="center"/>
    </xf>
    <xf numFmtId="175" fontId="1" fillId="0" borderId="0" xfId="0" applyNumberFormat="1" applyFont="1" applyAlignment="1">
      <alignment horizontal="center"/>
    </xf>
    <xf numFmtId="165" fontId="8" fillId="0" borderId="0" xfId="0" applyNumberFormat="1" applyFont="1" applyAlignment="1">
      <alignment horizontal="center"/>
    </xf>
    <xf numFmtId="0" fontId="28" fillId="0" borderId="1" xfId="1" applyFont="1" applyFill="1" applyBorder="1"/>
    <xf numFmtId="170" fontId="8" fillId="0" borderId="1" xfId="0" applyNumberFormat="1" applyFont="1" applyBorder="1" applyAlignment="1">
      <alignment horizontal="center"/>
    </xf>
    <xf numFmtId="4" fontId="8" fillId="0" borderId="2" xfId="0" applyNumberFormat="1" applyFont="1" applyBorder="1" applyAlignment="1">
      <alignment horizontal="center" wrapText="1"/>
    </xf>
    <xf numFmtId="166" fontId="8" fillId="0" borderId="1" xfId="0" applyNumberFormat="1" applyFont="1" applyBorder="1" applyAlignment="1">
      <alignment horizontal="center"/>
    </xf>
    <xf numFmtId="169" fontId="8" fillId="0" borderId="1" xfId="0" applyNumberFormat="1" applyFont="1" applyBorder="1" applyAlignment="1">
      <alignment horizontal="center"/>
    </xf>
    <xf numFmtId="0" fontId="7" fillId="0" borderId="1" xfId="0" applyFont="1" applyBorder="1" applyAlignment="1">
      <alignment horizontal="center"/>
    </xf>
    <xf numFmtId="0" fontId="7" fillId="0" borderId="1" xfId="0" applyFont="1" applyBorder="1"/>
    <xf numFmtId="3" fontId="1" fillId="3" borderId="0" xfId="0" applyNumberFormat="1" applyFont="1" applyFill="1" applyAlignment="1">
      <alignment horizontal="center"/>
    </xf>
    <xf numFmtId="0" fontId="0" fillId="7" borderId="0" xfId="0" applyFill="1" applyAlignment="1">
      <alignment horizontal="center"/>
    </xf>
    <xf numFmtId="0" fontId="0" fillId="0" borderId="0" xfId="0" applyAlignment="1">
      <alignment horizontal="left"/>
    </xf>
    <xf numFmtId="0" fontId="0" fillId="0" borderId="1" xfId="0" applyBorder="1" applyAlignment="1">
      <alignment horizontal="left"/>
    </xf>
    <xf numFmtId="0" fontId="30" fillId="0" borderId="1" xfId="0" applyFont="1" applyBorder="1" applyAlignment="1">
      <alignment horizontal="left"/>
    </xf>
    <xf numFmtId="0" fontId="30" fillId="0" borderId="1" xfId="0" applyFont="1" applyBorder="1"/>
    <xf numFmtId="0" fontId="30" fillId="0" borderId="0" xfId="0" applyFont="1"/>
    <xf numFmtId="9" fontId="31" fillId="0" borderId="0" xfId="0" applyNumberFormat="1" applyFont="1" applyAlignment="1">
      <alignment horizontal="center"/>
    </xf>
    <xf numFmtId="4" fontId="31" fillId="0" borderId="0" xfId="0" applyNumberFormat="1" applyFont="1" applyAlignment="1">
      <alignment horizontal="center"/>
    </xf>
    <xf numFmtId="2" fontId="31" fillId="0" borderId="0" xfId="0" applyNumberFormat="1" applyFont="1"/>
    <xf numFmtId="0" fontId="0" fillId="0" borderId="1" xfId="0" applyBorder="1" applyAlignment="1">
      <alignment horizontal="center"/>
    </xf>
    <xf numFmtId="10" fontId="31" fillId="0" borderId="0" xfId="0" applyNumberFormat="1" applyFont="1" applyAlignment="1">
      <alignment horizontal="center"/>
    </xf>
    <xf numFmtId="3" fontId="0" fillId="0" borderId="0" xfId="0" applyNumberFormat="1"/>
    <xf numFmtId="9" fontId="31" fillId="0" borderId="1" xfId="0" applyNumberFormat="1" applyFont="1" applyBorder="1" applyAlignment="1">
      <alignment horizontal="center"/>
    </xf>
    <xf numFmtId="4" fontId="31" fillId="0" borderId="1" xfId="0" applyNumberFormat="1" applyFont="1" applyBorder="1" applyAlignment="1">
      <alignment horizontal="center"/>
    </xf>
    <xf numFmtId="0" fontId="32" fillId="0" borderId="0" xfId="0" applyFont="1" applyAlignment="1">
      <alignment horizontal="left"/>
    </xf>
    <xf numFmtId="0" fontId="35" fillId="0" borderId="0" xfId="5"/>
    <xf numFmtId="177" fontId="35" fillId="0" borderId="0" xfId="5" applyNumberFormat="1"/>
    <xf numFmtId="4" fontId="35" fillId="0" borderId="0" xfId="5" applyNumberFormat="1"/>
    <xf numFmtId="176" fontId="35" fillId="0" borderId="0" xfId="5" applyNumberFormat="1"/>
    <xf numFmtId="0" fontId="36" fillId="0" borderId="0" xfId="6"/>
    <xf numFmtId="0" fontId="23" fillId="0" borderId="4" xfId="5" applyFont="1" applyBorder="1" applyAlignment="1">
      <alignment horizontal="center" vertical="top"/>
    </xf>
    <xf numFmtId="4" fontId="35" fillId="3" borderId="0" xfId="5" applyNumberFormat="1" applyFill="1"/>
    <xf numFmtId="176" fontId="35" fillId="3" borderId="0" xfId="5" applyNumberFormat="1" applyFill="1"/>
    <xf numFmtId="0" fontId="4" fillId="0" borderId="0" xfId="0" applyFont="1"/>
    <xf numFmtId="9" fontId="5" fillId="0" borderId="1" xfId="0" applyNumberFormat="1" applyFont="1" applyBorder="1"/>
    <xf numFmtId="2" fontId="5" fillId="0" borderId="1" xfId="0" applyNumberFormat="1" applyFont="1" applyBorder="1"/>
    <xf numFmtId="0" fontId="4" fillId="0" borderId="1" xfId="0" applyFont="1" applyBorder="1"/>
    <xf numFmtId="0" fontId="1" fillId="0" borderId="1" xfId="0" applyFont="1" applyBorder="1" applyAlignment="1">
      <alignment horizontal="center" wrapText="1"/>
    </xf>
    <xf numFmtId="0" fontId="1" fillId="4" borderId="1" xfId="0" applyFont="1" applyFill="1" applyBorder="1" applyAlignment="1">
      <alignment horizontal="center" wrapText="1"/>
    </xf>
    <xf numFmtId="2" fontId="5" fillId="4" borderId="1" xfId="0" applyNumberFormat="1" applyFont="1" applyFill="1" applyBorder="1" applyAlignment="1">
      <alignment horizontal="center" wrapText="1"/>
    </xf>
    <xf numFmtId="39" fontId="8" fillId="0" borderId="0" xfId="3" applyNumberFormat="1" applyFont="1" applyFill="1" applyAlignment="1">
      <alignment horizontal="center"/>
    </xf>
    <xf numFmtId="2" fontId="8" fillId="4" borderId="0" xfId="0" applyNumberFormat="1" applyFont="1" applyFill="1" applyAlignment="1">
      <alignment horizontal="center"/>
    </xf>
    <xf numFmtId="2" fontId="5" fillId="3" borderId="0" xfId="0" applyNumberFormat="1" applyFont="1" applyFill="1" applyAlignment="1">
      <alignment horizontal="center"/>
    </xf>
    <xf numFmtId="10" fontId="4" fillId="0" borderId="1" xfId="0" applyNumberFormat="1" applyFont="1" applyBorder="1"/>
    <xf numFmtId="44" fontId="5" fillId="0" borderId="1" xfId="4" applyFont="1" applyBorder="1"/>
    <xf numFmtId="9" fontId="4" fillId="0" borderId="0" xfId="0" applyNumberFormat="1" applyFont="1"/>
    <xf numFmtId="2" fontId="5" fillId="0" borderId="0" xfId="0" applyNumberFormat="1" applyFont="1"/>
    <xf numFmtId="10" fontId="4" fillId="0" borderId="0" xfId="0" applyNumberFormat="1" applyFont="1"/>
    <xf numFmtId="0" fontId="38" fillId="0" borderId="0" xfId="0" applyFont="1"/>
    <xf numFmtId="0" fontId="39" fillId="0" borderId="0" xfId="0" applyFont="1"/>
    <xf numFmtId="0" fontId="38" fillId="0" borderId="0" xfId="0" applyFont="1" applyAlignment="1">
      <alignment horizontal="right"/>
    </xf>
    <xf numFmtId="43" fontId="38" fillId="0" borderId="0" xfId="3" applyFont="1" applyAlignment="1">
      <alignment horizontal="center" vertical="center"/>
    </xf>
    <xf numFmtId="43" fontId="38" fillId="0" borderId="0" xfId="3" applyFont="1" applyAlignment="1">
      <alignment horizontal="right"/>
    </xf>
    <xf numFmtId="0" fontId="40" fillId="0" borderId="0" xfId="0" applyFont="1"/>
    <xf numFmtId="0" fontId="41" fillId="0" borderId="0" xfId="0" applyFont="1"/>
    <xf numFmtId="0" fontId="42" fillId="0" borderId="0" xfId="0" applyFont="1"/>
    <xf numFmtId="0" fontId="25" fillId="3" borderId="0" xfId="0" applyFont="1" applyFill="1"/>
    <xf numFmtId="0" fontId="25" fillId="0" borderId="0" xfId="0" applyFont="1"/>
    <xf numFmtId="0" fontId="43" fillId="0" borderId="0" xfId="0" applyFont="1"/>
    <xf numFmtId="0" fontId="44" fillId="0" borderId="0" xfId="0" applyFont="1"/>
    <xf numFmtId="0" fontId="25" fillId="8" borderId="0" xfId="0" applyFont="1" applyFill="1"/>
    <xf numFmtId="0" fontId="0" fillId="8" borderId="0" xfId="0" applyFill="1"/>
    <xf numFmtId="0" fontId="25" fillId="8" borderId="1" xfId="0" applyFont="1" applyFill="1" applyBorder="1"/>
    <xf numFmtId="0" fontId="0" fillId="8" borderId="1" xfId="0" applyFill="1" applyBorder="1"/>
    <xf numFmtId="0" fontId="25" fillId="8" borderId="1" xfId="0" applyFont="1" applyFill="1" applyBorder="1" applyAlignment="1">
      <alignment horizontal="center" wrapText="1"/>
    </xf>
    <xf numFmtId="0" fontId="0" fillId="8" borderId="0" xfId="0" applyFill="1" applyAlignment="1">
      <alignment horizontal="center"/>
    </xf>
    <xf numFmtId="0" fontId="45" fillId="8" borderId="0" xfId="0" applyFont="1" applyFill="1" applyAlignment="1">
      <alignment horizontal="center"/>
    </xf>
    <xf numFmtId="2" fontId="45" fillId="8" borderId="0" xfId="0" applyNumberFormat="1" applyFont="1" applyFill="1" applyAlignment="1">
      <alignment horizontal="center"/>
    </xf>
    <xf numFmtId="0" fontId="25" fillId="8" borderId="1" xfId="0" applyFont="1" applyFill="1" applyBorder="1" applyAlignment="1">
      <alignment horizontal="center"/>
    </xf>
    <xf numFmtId="0" fontId="25" fillId="8" borderId="1" xfId="0" applyFont="1" applyFill="1" applyBorder="1" applyAlignment="1">
      <alignment horizontal="left"/>
    </xf>
    <xf numFmtId="0" fontId="0" fillId="8" borderId="0" xfId="0" applyFill="1" applyAlignment="1">
      <alignment horizontal="left"/>
    </xf>
    <xf numFmtId="0" fontId="0" fillId="8" borderId="1" xfId="0" applyFill="1" applyBorder="1" applyAlignment="1">
      <alignment horizontal="center"/>
    </xf>
    <xf numFmtId="0" fontId="0" fillId="8" borderId="1" xfId="0" applyFill="1" applyBorder="1" applyAlignment="1">
      <alignment horizontal="left"/>
    </xf>
    <xf numFmtId="0" fontId="45" fillId="8" borderId="1" xfId="0" applyFont="1" applyFill="1" applyBorder="1" applyAlignment="1">
      <alignment horizontal="center"/>
    </xf>
    <xf numFmtId="2" fontId="0" fillId="3" borderId="1" xfId="0" applyNumberFormat="1" applyFill="1" applyBorder="1" applyAlignment="1">
      <alignment horizontal="center"/>
    </xf>
    <xf numFmtId="39" fontId="45" fillId="8" borderId="1" xfId="0" applyNumberFormat="1" applyFont="1" applyFill="1" applyBorder="1" applyAlignment="1">
      <alignment horizontal="center"/>
    </xf>
    <xf numFmtId="0" fontId="26" fillId="8" borderId="1" xfId="0" applyFont="1" applyFill="1" applyBorder="1" applyAlignment="1">
      <alignment horizontal="center"/>
    </xf>
    <xf numFmtId="0" fontId="2" fillId="0" borderId="0" xfId="1" applyFill="1" applyAlignment="1"/>
    <xf numFmtId="0" fontId="0" fillId="0" borderId="2" xfId="0" applyBorder="1"/>
    <xf numFmtId="4" fontId="0" fillId="0" borderId="0" xfId="0" applyNumberFormat="1"/>
    <xf numFmtId="4" fontId="0" fillId="0" borderId="1" xfId="0" applyNumberFormat="1" applyBorder="1"/>
    <xf numFmtId="4" fontId="0" fillId="0" borderId="0" xfId="0" applyNumberFormat="1" applyAlignment="1">
      <alignment horizontal="right"/>
    </xf>
    <xf numFmtId="4" fontId="0" fillId="0" borderId="1" xfId="0" applyNumberFormat="1" applyBorder="1" applyAlignment="1">
      <alignment horizontal="right"/>
    </xf>
    <xf numFmtId="0" fontId="25" fillId="0" borderId="2" xfId="0" applyFont="1" applyBorder="1" applyAlignment="1">
      <alignment horizontal="right"/>
    </xf>
    <xf numFmtId="175" fontId="8" fillId="4" borderId="0" xfId="0" applyNumberFormat="1" applyFont="1" applyFill="1" applyAlignment="1">
      <alignment horizontal="center"/>
    </xf>
    <xf numFmtId="175" fontId="8" fillId="0" borderId="0" xfId="0" applyNumberFormat="1" applyFont="1" applyAlignment="1">
      <alignment horizontal="center"/>
    </xf>
    <xf numFmtId="0" fontId="9" fillId="0" borderId="0" xfId="0" applyFont="1" applyAlignment="1">
      <alignment horizontal="center"/>
    </xf>
    <xf numFmtId="165" fontId="9" fillId="0" borderId="0" xfId="0" applyNumberFormat="1" applyFont="1" applyAlignment="1">
      <alignment horizontal="center"/>
    </xf>
    <xf numFmtId="167" fontId="9" fillId="0" borderId="0" xfId="0" applyNumberFormat="1" applyFont="1" applyAlignment="1">
      <alignment horizontal="center"/>
    </xf>
    <xf numFmtId="170" fontId="27" fillId="0" borderId="0" xfId="0" applyNumberFormat="1" applyFont="1" applyAlignment="1">
      <alignment horizontal="center" vertical="center" wrapText="1"/>
    </xf>
    <xf numFmtId="0" fontId="26" fillId="8" borderId="0" xfId="0" applyFont="1" applyFill="1" applyAlignment="1">
      <alignment horizontal="center"/>
    </xf>
    <xf numFmtId="1" fontId="26" fillId="8" borderId="0" xfId="0" applyNumberFormat="1" applyFont="1" applyFill="1" applyAlignment="1">
      <alignment horizontal="center"/>
    </xf>
    <xf numFmtId="169" fontId="26" fillId="8" borderId="0" xfId="0" applyNumberFormat="1" applyFont="1" applyFill="1" applyAlignment="1">
      <alignment horizontal="center"/>
    </xf>
    <xf numFmtId="169" fontId="26" fillId="8" borderId="1" xfId="0" applyNumberFormat="1" applyFont="1" applyFill="1" applyBorder="1" applyAlignment="1">
      <alignment horizontal="center"/>
    </xf>
    <xf numFmtId="0" fontId="3" fillId="3" borderId="0" xfId="1" applyFont="1" applyFill="1" applyBorder="1"/>
    <xf numFmtId="0" fontId="1" fillId="3" borderId="0" xfId="0" applyFont="1" applyFill="1"/>
    <xf numFmtId="0" fontId="49" fillId="0" borderId="0" xfId="0" applyFont="1" applyAlignment="1">
      <alignment horizontal="left" vertical="center"/>
    </xf>
    <xf numFmtId="0" fontId="49" fillId="0" borderId="0" xfId="0" applyFont="1" applyAlignment="1">
      <alignment horizontal="left" vertical="center" wrapText="1"/>
    </xf>
    <xf numFmtId="0" fontId="50" fillId="0" borderId="0" xfId="0" applyFont="1" applyAlignment="1">
      <alignment horizontal="left" vertical="center"/>
    </xf>
    <xf numFmtId="0" fontId="50" fillId="0" borderId="0" xfId="0" applyFont="1" applyAlignment="1">
      <alignment vertical="center"/>
    </xf>
    <xf numFmtId="0" fontId="50" fillId="0" borderId="0" xfId="0" applyFont="1" applyAlignment="1">
      <alignment horizontal="left" vertical="center" wrapText="1"/>
    </xf>
    <xf numFmtId="0" fontId="50" fillId="0" borderId="0" xfId="0" applyFont="1" applyAlignment="1">
      <alignment vertical="center" wrapText="1"/>
    </xf>
    <xf numFmtId="49" fontId="50" fillId="0" borderId="0" xfId="7" applyNumberFormat="1" applyFont="1" applyFill="1" applyBorder="1" applyAlignment="1">
      <alignment horizontal="center" vertical="center" wrapText="1"/>
    </xf>
    <xf numFmtId="0" fontId="50" fillId="0" borderId="0" xfId="0" applyFont="1" applyAlignment="1">
      <alignment horizontal="center" vertical="center"/>
    </xf>
    <xf numFmtId="0" fontId="0" fillId="3" borderId="0" xfId="0" applyFill="1"/>
    <xf numFmtId="169" fontId="0" fillId="3" borderId="0" xfId="0" applyNumberFormat="1" applyFill="1"/>
    <xf numFmtId="0" fontId="50" fillId="0" borderId="0" xfId="8" applyFont="1" applyFill="1" applyBorder="1" applyAlignment="1">
      <alignment horizontal="left" vertical="center" wrapText="1"/>
    </xf>
    <xf numFmtId="0" fontId="50" fillId="0" borderId="0" xfId="8" applyFont="1" applyFill="1" applyBorder="1" applyAlignment="1">
      <alignment horizontal="left" vertical="center"/>
    </xf>
    <xf numFmtId="0" fontId="50" fillId="0" borderId="0" xfId="9" applyFont="1" applyFill="1" applyBorder="1" applyAlignment="1">
      <alignment horizontal="left" vertical="center"/>
    </xf>
    <xf numFmtId="169" fontId="51" fillId="0" borderId="0" xfId="0" applyNumberFormat="1" applyFont="1" applyAlignment="1">
      <alignment horizontal="center"/>
    </xf>
    <xf numFmtId="172" fontId="19" fillId="0" borderId="0" xfId="2" applyNumberFormat="1" applyFont="1" applyAlignment="1">
      <alignment horizontal="center"/>
    </xf>
    <xf numFmtId="172" fontId="18" fillId="0" borderId="4" xfId="2" applyNumberFormat="1" applyFont="1" applyBorder="1" applyAlignment="1">
      <alignment horizontal="center" vertical="center"/>
    </xf>
    <xf numFmtId="0" fontId="1" fillId="9" borderId="8" xfId="0" applyFont="1" applyFill="1" applyBorder="1" applyAlignment="1">
      <alignment horizontal="center" vertical="center"/>
    </xf>
    <xf numFmtId="0" fontId="1" fillId="9" borderId="9" xfId="0" applyFont="1" applyFill="1" applyBorder="1" applyAlignment="1">
      <alignment horizontal="center" vertical="center"/>
    </xf>
    <xf numFmtId="0" fontId="1" fillId="9" borderId="10" xfId="0" applyFont="1" applyFill="1" applyBorder="1" applyAlignment="1">
      <alignment horizontal="center" vertical="center"/>
    </xf>
    <xf numFmtId="0" fontId="1" fillId="9" borderId="7" xfId="0" applyFont="1" applyFill="1" applyBorder="1" applyAlignment="1">
      <alignment horizontal="center" vertical="center"/>
    </xf>
    <xf numFmtId="0" fontId="1" fillId="9" borderId="1" xfId="0" applyFont="1" applyFill="1" applyBorder="1" applyAlignment="1">
      <alignment horizontal="center" vertical="center"/>
    </xf>
    <xf numFmtId="0" fontId="1" fillId="9" borderId="11" xfId="0" applyFont="1" applyFill="1" applyBorder="1" applyAlignment="1">
      <alignment horizontal="center" vertical="center"/>
    </xf>
    <xf numFmtId="0" fontId="37" fillId="6" borderId="0" xfId="0" applyFont="1" applyFill="1" applyAlignment="1">
      <alignment horizontal="center"/>
    </xf>
    <xf numFmtId="0" fontId="0" fillId="6" borderId="0" xfId="0" applyFill="1" applyAlignment="1">
      <alignment horizontal="center"/>
    </xf>
    <xf numFmtId="0" fontId="0" fillId="7" borderId="0" xfId="0" applyFill="1" applyAlignment="1">
      <alignment horizontal="center"/>
    </xf>
    <xf numFmtId="0" fontId="52" fillId="0" borderId="0" xfId="0" applyFont="1"/>
    <xf numFmtId="0" fontId="52" fillId="0" borderId="0" xfId="0" applyFont="1" applyAlignment="1">
      <alignment horizontal="center"/>
    </xf>
    <xf numFmtId="176" fontId="0" fillId="0" borderId="0" xfId="0" applyNumberFormat="1" applyFill="1"/>
    <xf numFmtId="175" fontId="0" fillId="0" borderId="0" xfId="0" applyNumberFormat="1" applyFill="1"/>
  </cellXfs>
  <cellStyles count="10">
    <cellStyle name="Bad" xfId="8" builtinId="27"/>
    <cellStyle name="Comma" xfId="3" builtinId="3"/>
    <cellStyle name="Currency" xfId="4" builtinId="4"/>
    <cellStyle name="Good" xfId="7" builtinId="26"/>
    <cellStyle name="Hyperlink" xfId="1" builtinId="8"/>
    <cellStyle name="Hyperlink 2" xfId="6" xr:uid="{3408EB91-E574-D04F-BC07-81DCE24D13CB}"/>
    <cellStyle name="Neutral" xfId="9" builtinId="28"/>
    <cellStyle name="Normal" xfId="0" builtinId="0"/>
    <cellStyle name="Normal 2" xfId="5" xr:uid="{22AF4891-0B51-F242-B753-0E9AF386DAF4}"/>
    <cellStyle name="Normal_ATEND_TABUAS_COMPLETAS_DE_MORTALIDADE_AMBOS_OS_SEXOS_2007" xfId="2" xr:uid="{A2E8B72B-41F7-A241-A48F-92552573376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706436</xdr:colOff>
      <xdr:row>9</xdr:row>
      <xdr:rowOff>23813</xdr:rowOff>
    </xdr:from>
    <xdr:to>
      <xdr:col>7</xdr:col>
      <xdr:colOff>531812</xdr:colOff>
      <xdr:row>36</xdr:row>
      <xdr:rowOff>158213</xdr:rowOff>
    </xdr:to>
    <xdr:pic>
      <xdr:nvPicPr>
        <xdr:cNvPr id="2" name="Picture 1">
          <a:extLst>
            <a:ext uri="{FF2B5EF4-FFF2-40B4-BE49-F238E27FC236}">
              <a16:creationId xmlns:a16="http://schemas.microsoft.com/office/drawing/2014/main" id="{22A55396-1894-AA4D-8B0D-3B89D91AC955}"/>
            </a:ext>
          </a:extLst>
        </xdr:cNvPr>
        <xdr:cNvPicPr>
          <a:picLocks noChangeAspect="1"/>
        </xdr:cNvPicPr>
      </xdr:nvPicPr>
      <xdr:blipFill>
        <a:blip xmlns:r="http://schemas.openxmlformats.org/officeDocument/2006/relationships" r:embed="rId1"/>
        <a:stretch>
          <a:fillRect/>
        </a:stretch>
      </xdr:blipFill>
      <xdr:spPr>
        <a:xfrm>
          <a:off x="909636" y="2259013"/>
          <a:ext cx="7648576" cy="5620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38099</xdr:colOff>
      <xdr:row>13</xdr:row>
      <xdr:rowOff>50800</xdr:rowOff>
    </xdr:from>
    <xdr:to>
      <xdr:col>5</xdr:col>
      <xdr:colOff>1917700</xdr:colOff>
      <xdr:row>24</xdr:row>
      <xdr:rowOff>101600</xdr:rowOff>
    </xdr:to>
    <xdr:pic>
      <xdr:nvPicPr>
        <xdr:cNvPr id="2" name="Picture 1">
          <a:extLst>
            <a:ext uri="{FF2B5EF4-FFF2-40B4-BE49-F238E27FC236}">
              <a16:creationId xmlns:a16="http://schemas.microsoft.com/office/drawing/2014/main" id="{CCDEB19A-A21E-8D47-ADA8-53C1C9B8A0DB}"/>
            </a:ext>
          </a:extLst>
        </xdr:cNvPr>
        <xdr:cNvPicPr>
          <a:picLocks noChangeAspect="1"/>
        </xdr:cNvPicPr>
      </xdr:nvPicPr>
      <xdr:blipFill>
        <a:blip xmlns:r="http://schemas.openxmlformats.org/officeDocument/2006/relationships" r:embed="rId1"/>
        <a:stretch>
          <a:fillRect/>
        </a:stretch>
      </xdr:blipFill>
      <xdr:spPr>
        <a:xfrm>
          <a:off x="863599" y="2768600"/>
          <a:ext cx="8267701" cy="2476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6" Type="http://schemas.openxmlformats.org/officeDocument/2006/relationships/hyperlink" Target="https://pmc.ncbi.nlm.nih.gov/articles/PMC11182447/" TargetMode="External"/><Relationship Id="rId21" Type="http://schemas.openxmlformats.org/officeDocument/2006/relationships/hyperlink" Target="https://gh.bmj.com/content/9/12/e016648" TargetMode="External"/><Relationship Id="rId34" Type="http://schemas.openxmlformats.org/officeDocument/2006/relationships/hyperlink" Target="https://pmc.ncbi.nlm.nih.gov/articles/PMC11182447/" TargetMode="External"/><Relationship Id="rId42" Type="http://schemas.openxmlformats.org/officeDocument/2006/relationships/hyperlink" Target="https://assets-eu.researchsquare.com/files/rs-1612317/v1/6ea04974-c218-4eb1-b1e9-aee9c6f753af.pdf?c=1697480328" TargetMode="External"/><Relationship Id="rId47" Type="http://schemas.openxmlformats.org/officeDocument/2006/relationships/hyperlink" Target="https://assets-eu.researchsquare.com/files/rs-1612317/v1/6ea04974-c218-4eb1-b1e9-aee9c6f753af.pdf?c=1697480328" TargetMode="External"/><Relationship Id="rId50" Type="http://schemas.openxmlformats.org/officeDocument/2006/relationships/hyperlink" Target="https://pubmed.ncbi.nlm.nih.gov/37321235/" TargetMode="External"/><Relationship Id="rId55" Type="http://schemas.openxmlformats.org/officeDocument/2006/relationships/hyperlink" Target="https://pmc.ncbi.nlm.nih.gov/articles/PMC11182447/" TargetMode="External"/><Relationship Id="rId63" Type="http://schemas.openxmlformats.org/officeDocument/2006/relationships/hyperlink" Target="https://assets-eu.researchsquare.com/files/rs-1612317/v1/6ea04974-c218-4eb1-b1e9-aee9c6f753af.pdf?c=1697480328" TargetMode="External"/><Relationship Id="rId7" Type="http://schemas.openxmlformats.org/officeDocument/2006/relationships/hyperlink" Target="https://hqlo.biomedcentral.com/articles/10.1186/s12955-021-01671-6" TargetMode="External"/><Relationship Id="rId2" Type="http://schemas.openxmlformats.org/officeDocument/2006/relationships/hyperlink" Target="https://www.cdc.gov/yellow-book/hcp/travel-associated-infections-diseases/chikungunya.html" TargetMode="External"/><Relationship Id="rId16" Type="http://schemas.openxmlformats.org/officeDocument/2006/relationships/hyperlink" Target="https://gh.bmj.com/content/9/12/e016648" TargetMode="External"/><Relationship Id="rId29" Type="http://schemas.openxmlformats.org/officeDocument/2006/relationships/hyperlink" Target="https://pmc.ncbi.nlm.nih.gov/articles/PMC11182447/" TargetMode="External"/><Relationship Id="rId11" Type="http://schemas.openxmlformats.org/officeDocument/2006/relationships/hyperlink" Target="https://onlinelibrary.wiley.com/doi/pdf/10.1111/tmi.13810" TargetMode="External"/><Relationship Id="rId24" Type="http://schemas.openxmlformats.org/officeDocument/2006/relationships/hyperlink" Target="https://www.valueinhealthjournal.com/article/S1098-3015(16)01289-4/fulltext" TargetMode="External"/><Relationship Id="rId32" Type="http://schemas.openxmlformats.org/officeDocument/2006/relationships/hyperlink" Target="https://pmc.ncbi.nlm.nih.gov/articles/PMC11182447/" TargetMode="External"/><Relationship Id="rId37" Type="http://schemas.openxmlformats.org/officeDocument/2006/relationships/hyperlink" Target="https://pmc.ncbi.nlm.nih.gov/articles/PMC11182447/" TargetMode="External"/><Relationship Id="rId40" Type="http://schemas.openxmlformats.org/officeDocument/2006/relationships/hyperlink" Target="https://pmc.ncbi.nlm.nih.gov/articles/PMC11182447/" TargetMode="External"/><Relationship Id="rId45" Type="http://schemas.openxmlformats.org/officeDocument/2006/relationships/hyperlink" Target="https://pmc.ncbi.nlm.nih.gov/articles/PMC11182447/" TargetMode="External"/><Relationship Id="rId53" Type="http://schemas.openxmlformats.org/officeDocument/2006/relationships/hyperlink" Target="https://www.thelancet.com/journals/lancet/article/PIIS0140-6736(23)00641-4/fulltext" TargetMode="External"/><Relationship Id="rId58" Type="http://schemas.openxmlformats.org/officeDocument/2006/relationships/hyperlink" Target="https://onlinelibrary.wiley.com/doi/10.1111/tmi.13711" TargetMode="External"/><Relationship Id="rId66" Type="http://schemas.openxmlformats.org/officeDocument/2006/relationships/hyperlink" Target="https://pmc.ncbi.nlm.nih.gov/articles/PMC12304215/pdf/41541_2025_Article_1194.pdf" TargetMode="External"/><Relationship Id="rId5" Type="http://schemas.openxmlformats.org/officeDocument/2006/relationships/hyperlink" Target="https://pmc.ncbi.nlm.nih.gov/articles/PMC7100975/" TargetMode="External"/><Relationship Id="rId61" Type="http://schemas.openxmlformats.org/officeDocument/2006/relationships/hyperlink" Target="https://pubmed.ncbi.nlm.nih.gov/31815561/" TargetMode="External"/><Relationship Id="rId19" Type="http://schemas.openxmlformats.org/officeDocument/2006/relationships/hyperlink" Target="https://gh.bmj.com/content/9/12/e016648" TargetMode="External"/><Relationship Id="rId14" Type="http://schemas.openxmlformats.org/officeDocument/2006/relationships/hyperlink" Target="https://gh.bmj.com/content/9/12/e016648" TargetMode="External"/><Relationship Id="rId22" Type="http://schemas.openxmlformats.org/officeDocument/2006/relationships/hyperlink" Target="https://cdn.who.int/media/docs/default-source/health-economics/who-choice-estimates-of-cost-for-inpatient-and-outpatient-health-service-delivery.pdf?sfvrsn=b814d37e_3&amp;download=true" TargetMode="External"/><Relationship Id="rId27" Type="http://schemas.openxmlformats.org/officeDocument/2006/relationships/hyperlink" Target="https://pmc.ncbi.nlm.nih.gov/articles/PMC11182447/" TargetMode="External"/><Relationship Id="rId30" Type="http://schemas.openxmlformats.org/officeDocument/2006/relationships/hyperlink" Target="https://pmc.ncbi.nlm.nih.gov/articles/PMC11182447/" TargetMode="External"/><Relationship Id="rId35" Type="http://schemas.openxmlformats.org/officeDocument/2006/relationships/hyperlink" Target="https://pmc.ncbi.nlm.nih.gov/articles/PMC11182447/" TargetMode="External"/><Relationship Id="rId43" Type="http://schemas.openxmlformats.org/officeDocument/2006/relationships/hyperlink" Target="https://izajole.springeropen.com/articles/10.1186/s40172-014-0014-0" TargetMode="External"/><Relationship Id="rId48" Type="http://schemas.openxmlformats.org/officeDocument/2006/relationships/hyperlink" Target="https://agenciadenoticias.ibge.gov.br/en/agencia-news/2184-news-agency/news/38187-2022-census-number-of-elderly-persons-in-the-brazilian-population-grew-57-4-in-12-years" TargetMode="External"/><Relationship Id="rId56" Type="http://schemas.openxmlformats.org/officeDocument/2006/relationships/hyperlink" Target="https://academic.oup.com/book/12265/chapter-abstract/317026498?redirectedFrom=fulltext" TargetMode="External"/><Relationship Id="rId64" Type="http://schemas.openxmlformats.org/officeDocument/2006/relationships/hyperlink" Target="https://pmc.ncbi.nlm.nih.gov/articles/PMC12304215/pdf/41541_2025_Article_1194.pdf" TargetMode="External"/><Relationship Id="rId8" Type="http://schemas.openxmlformats.org/officeDocument/2006/relationships/hyperlink" Target="https://www.thelancet.com/journals/lancet/article/PIIS0140-6736(23)00641-4/fulltext" TargetMode="External"/><Relationship Id="rId51" Type="http://schemas.openxmlformats.org/officeDocument/2006/relationships/hyperlink" Target="https://pubmed.ncbi.nlm.nih.gov/40158526/" TargetMode="External"/><Relationship Id="rId3" Type="http://schemas.openxmlformats.org/officeDocument/2006/relationships/hyperlink" Target="https://pubmed.ncbi.nlm.nih.gov/37321235/" TargetMode="External"/><Relationship Id="rId12" Type="http://schemas.openxmlformats.org/officeDocument/2006/relationships/hyperlink" Target="https://onlinelibrary.wiley.com/doi/pdf/10.1111/tmi.13810" TargetMode="External"/><Relationship Id="rId17" Type="http://schemas.openxmlformats.org/officeDocument/2006/relationships/hyperlink" Target="https://gh.bmj.com/content/9/12/e016648" TargetMode="External"/><Relationship Id="rId25" Type="http://schemas.openxmlformats.org/officeDocument/2006/relationships/hyperlink" Target="https://www.valueinhealthjournal.com/article/S1098-3015(16)01289-4/fulltext" TargetMode="External"/><Relationship Id="rId33" Type="http://schemas.openxmlformats.org/officeDocument/2006/relationships/hyperlink" Target="https://pmc.ncbi.nlm.nih.gov/articles/PMC11182447/" TargetMode="External"/><Relationship Id="rId38" Type="http://schemas.openxmlformats.org/officeDocument/2006/relationships/hyperlink" Target="https://pmc.ncbi.nlm.nih.gov/articles/PMC11182447/" TargetMode="External"/><Relationship Id="rId46" Type="http://schemas.openxmlformats.org/officeDocument/2006/relationships/hyperlink" Target="https://assets-eu.researchsquare.com/files/rs-1612317/v1/6ea04974-c218-4eb1-b1e9-aee9c6f753af.pdf?c=1697480328" TargetMode="External"/><Relationship Id="rId59" Type="http://schemas.openxmlformats.org/officeDocument/2006/relationships/hyperlink" Target="https://pmc.ncbi.nlm.nih.gov/articles/PMC12304215/pdf/41541_2025_Article_1194.pdf" TargetMode="External"/><Relationship Id="rId20" Type="http://schemas.openxmlformats.org/officeDocument/2006/relationships/hyperlink" Target="https://gh.bmj.com/content/9/12/e016648" TargetMode="External"/><Relationship Id="rId41" Type="http://schemas.openxmlformats.org/officeDocument/2006/relationships/hyperlink" Target="https://pmc.ncbi.nlm.nih.gov/articles/PMC11182447/" TargetMode="External"/><Relationship Id="rId54" Type="http://schemas.openxmlformats.org/officeDocument/2006/relationships/hyperlink" Target="https://pubmed.ncbi.nlm.nih.gov/40158526/" TargetMode="External"/><Relationship Id="rId62" Type="http://schemas.openxmlformats.org/officeDocument/2006/relationships/hyperlink" Target="https://assets-eu.researchsquare.com/files/rs-1612317/v1/6ea04974-c218-4eb1-b1e9-aee9c6f753af.pdf?c=1697480328" TargetMode="External"/><Relationship Id="rId1" Type="http://schemas.openxmlformats.org/officeDocument/2006/relationships/hyperlink" Target="https://www.cdc.gov/yellow-book/hcp/travel-associated-infections-diseases/chikungunya.html" TargetMode="External"/><Relationship Id="rId6" Type="http://schemas.openxmlformats.org/officeDocument/2006/relationships/hyperlink" Target="https://pmc.ncbi.nlm.nih.gov/articles/PMC7510706/" TargetMode="External"/><Relationship Id="rId15" Type="http://schemas.openxmlformats.org/officeDocument/2006/relationships/hyperlink" Target="https://www.sciencedirect.com/science/article/pii/S141386701830254X?via%3Dihub" TargetMode="External"/><Relationship Id="rId23" Type="http://schemas.openxmlformats.org/officeDocument/2006/relationships/hyperlink" Target="https://onlinelibrary.wiley.com/doi/pdf/10.1111/tmi.13810" TargetMode="External"/><Relationship Id="rId28" Type="http://schemas.openxmlformats.org/officeDocument/2006/relationships/hyperlink" Target="https://pmc.ncbi.nlm.nih.gov/articles/PMC11182447/" TargetMode="External"/><Relationship Id="rId36" Type="http://schemas.openxmlformats.org/officeDocument/2006/relationships/hyperlink" Target="https://pmc.ncbi.nlm.nih.gov/articles/PMC11182447/" TargetMode="External"/><Relationship Id="rId49" Type="http://schemas.openxmlformats.org/officeDocument/2006/relationships/hyperlink" Target="https://agenciadenoticias.ibge.gov.br/en/agencia-press-room/2185-news-agency/releases-en/42777-gdp-grows-3-4-in-2024-and-closes-the-year-at-r-11-7-trillion" TargetMode="External"/><Relationship Id="rId57" Type="http://schemas.openxmlformats.org/officeDocument/2006/relationships/hyperlink" Target="https://onlinelibrary.wiley.com/doi/10.1111/tmi.13711" TargetMode="External"/><Relationship Id="rId10" Type="http://schemas.openxmlformats.org/officeDocument/2006/relationships/hyperlink" Target="https://pubmed.ncbi.nlm.nih.gov/23818719/" TargetMode="External"/><Relationship Id="rId31" Type="http://schemas.openxmlformats.org/officeDocument/2006/relationships/hyperlink" Target="https://pmc.ncbi.nlm.nih.gov/articles/PMC11182447/" TargetMode="External"/><Relationship Id="rId44" Type="http://schemas.openxmlformats.org/officeDocument/2006/relationships/hyperlink" Target="https://www.gov.br/receitafederal/pt-br/assuntos/meu-imposto-de-renda/preenchimento/regimes" TargetMode="External"/><Relationship Id="rId52" Type="http://schemas.openxmlformats.org/officeDocument/2006/relationships/hyperlink" Target="https://pmc.ncbi.nlm.nih.gov/articles/PMC12304215/pdf/41541_2025_Article_1194.pdf" TargetMode="External"/><Relationship Id="rId60" Type="http://schemas.openxmlformats.org/officeDocument/2006/relationships/hyperlink" Target="https://pubmed.ncbi.nlm.nih.gov/31815561/" TargetMode="External"/><Relationship Id="rId65" Type="http://schemas.openxmlformats.org/officeDocument/2006/relationships/hyperlink" Target="https://medicaid.ms.gov/wp-content/uploads/2025/06/Vaccines-Covered-Through-Pharmacy-Billing.pdf" TargetMode="External"/><Relationship Id="rId4" Type="http://schemas.openxmlformats.org/officeDocument/2006/relationships/hyperlink" Target="https://pubmed.ncbi.nlm.nih.gov/30007303/" TargetMode="External"/><Relationship Id="rId9" Type="http://schemas.openxmlformats.org/officeDocument/2006/relationships/hyperlink" Target="https://pubmed.ncbi.nlm.nih.gov/40158526/" TargetMode="External"/><Relationship Id="rId13" Type="http://schemas.openxmlformats.org/officeDocument/2006/relationships/hyperlink" Target="https://onlinelibrary.wiley.com/doi/pdf/10.1111/tmi.13810" TargetMode="External"/><Relationship Id="rId18" Type="http://schemas.openxmlformats.org/officeDocument/2006/relationships/hyperlink" Target="https://gh.bmj.com/content/9/12/e016648" TargetMode="External"/><Relationship Id="rId39" Type="http://schemas.openxmlformats.org/officeDocument/2006/relationships/hyperlink" Target="https://pmc.ncbi.nlm.nih.gov/articles/PMC11182447/"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www.gov.br/conitec/pt-br/midias/relatorios/2023/20230710_relatorio_vacinapcv13_pneumo.pdf"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www.ibge.gov.br/en/statistics/economic/prices-and-costs/17136-national-consumer-pricce-index.html?lang=en-GB&amp;t=series-historicas"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fred.stlouisfed.org/series/BRACPIALLMINMEI"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fred.stlouisfed.org/series/AEXBZU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2E30A-60DB-6249-8D0A-2484D2AE8ACE}">
  <sheetPr>
    <tabColor rgb="FFC00000"/>
  </sheetPr>
  <dimension ref="A1"/>
  <sheetViews>
    <sheetView workbookViewId="0">
      <selection activeCell="F15" sqref="F15"/>
    </sheetView>
  </sheetViews>
  <sheetFormatPr baseColWidth="10" defaultRowHeight="16" x14ac:dyDescent="0.2"/>
  <cols>
    <col min="1" max="16384" width="10.83203125" style="185"/>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8699B-19DF-F44D-9551-821697A20206}">
  <sheetPr>
    <tabColor theme="9" tint="-0.499984740745262"/>
  </sheetPr>
  <dimension ref="A1"/>
  <sheetViews>
    <sheetView workbookViewId="0">
      <selection sqref="A1:XFD1048576"/>
    </sheetView>
  </sheetViews>
  <sheetFormatPr baseColWidth="10" defaultRowHeight="16" x14ac:dyDescent="0.2"/>
  <cols>
    <col min="1" max="16384" width="10.83203125" style="185"/>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50B48-3CC9-DE4C-822F-6C700C11F864}">
  <dimension ref="A1:N179"/>
  <sheetViews>
    <sheetView tabSelected="1" topLeftCell="H90" zoomScale="110" zoomScaleNormal="110" workbookViewId="0">
      <selection activeCell="J106" sqref="J106"/>
    </sheetView>
  </sheetViews>
  <sheetFormatPr baseColWidth="10" defaultRowHeight="16" x14ac:dyDescent="0.2"/>
  <cols>
    <col min="1" max="1" width="2" style="1" customWidth="1"/>
    <col min="2" max="2" width="22.33203125" style="1" customWidth="1"/>
    <col min="3" max="3" width="42" style="1" customWidth="1"/>
    <col min="4" max="4" width="58.5" style="1" customWidth="1"/>
    <col min="5" max="6" width="10.6640625" style="8" customWidth="1"/>
    <col min="7" max="7" width="66.6640625" style="8" customWidth="1"/>
    <col min="8" max="9" width="13.6640625" style="8" customWidth="1"/>
    <col min="10" max="10" width="13.6640625" style="16" customWidth="1"/>
    <col min="11" max="11" width="20.5" style="1" customWidth="1"/>
    <col min="12" max="12" width="26.6640625" style="1" customWidth="1"/>
    <col min="13" max="16384" width="10.83203125" style="1"/>
  </cols>
  <sheetData>
    <row r="1" spans="1:12" s="14" customFormat="1" x14ac:dyDescent="0.2">
      <c r="A1" s="1"/>
      <c r="B1" s="31" t="s">
        <v>67</v>
      </c>
      <c r="C1" s="31" t="s">
        <v>26</v>
      </c>
      <c r="D1" s="31" t="s">
        <v>0</v>
      </c>
      <c r="E1" s="32" t="s">
        <v>65</v>
      </c>
      <c r="F1" s="32" t="s">
        <v>66</v>
      </c>
      <c r="G1" s="32" t="s">
        <v>1</v>
      </c>
      <c r="H1" s="32" t="s">
        <v>23</v>
      </c>
      <c r="I1" s="32" t="s">
        <v>24</v>
      </c>
      <c r="J1" s="32" t="s">
        <v>25</v>
      </c>
      <c r="K1" s="31" t="s">
        <v>9</v>
      </c>
      <c r="L1" s="31" t="s">
        <v>18</v>
      </c>
    </row>
    <row r="2" spans="1:12" s="45" customFormat="1" x14ac:dyDescent="0.2">
      <c r="A2" s="117"/>
      <c r="D2" s="45" t="s">
        <v>183</v>
      </c>
      <c r="E2" s="46"/>
      <c r="F2" s="46"/>
      <c r="G2" s="53"/>
      <c r="H2" s="46"/>
      <c r="I2" s="46"/>
      <c r="J2" s="46"/>
      <c r="L2" s="54"/>
    </row>
    <row r="3" spans="1:12" ht="17" customHeight="1" x14ac:dyDescent="0.2">
      <c r="B3" s="1" t="s">
        <v>78</v>
      </c>
      <c r="C3" s="1" t="s">
        <v>77</v>
      </c>
      <c r="D3" s="1" t="s">
        <v>76</v>
      </c>
      <c r="E3" s="16" t="s">
        <v>41</v>
      </c>
      <c r="F3" s="16" t="s">
        <v>41</v>
      </c>
      <c r="G3" s="11">
        <v>1000</v>
      </c>
      <c r="H3" s="16" t="s">
        <v>41</v>
      </c>
      <c r="I3" s="16" t="s">
        <v>41</v>
      </c>
      <c r="J3" s="16" t="s">
        <v>41</v>
      </c>
      <c r="K3" s="1" t="s">
        <v>13</v>
      </c>
    </row>
    <row r="4" spans="1:12" x14ac:dyDescent="0.2">
      <c r="B4" s="1" t="s">
        <v>79</v>
      </c>
      <c r="C4" s="1" t="s">
        <v>448</v>
      </c>
      <c r="D4" s="1" t="s">
        <v>449</v>
      </c>
      <c r="E4" s="16" t="s">
        <v>41</v>
      </c>
      <c r="F4" s="16" t="s">
        <v>41</v>
      </c>
      <c r="G4" s="6">
        <v>7</v>
      </c>
      <c r="H4" s="16" t="s">
        <v>41</v>
      </c>
      <c r="I4" s="16" t="s">
        <v>41</v>
      </c>
      <c r="J4" s="16" t="s">
        <v>41</v>
      </c>
      <c r="K4" s="1" t="s">
        <v>13</v>
      </c>
      <c r="L4" s="4"/>
    </row>
    <row r="5" spans="1:12" x14ac:dyDescent="0.2">
      <c r="B5" s="1" t="s">
        <v>79</v>
      </c>
      <c r="C5" s="1" t="s">
        <v>638</v>
      </c>
      <c r="D5" s="1" t="s">
        <v>637</v>
      </c>
      <c r="E5" s="16" t="s">
        <v>41</v>
      </c>
      <c r="F5" s="16" t="s">
        <v>41</v>
      </c>
      <c r="G5" s="6">
        <v>10</v>
      </c>
      <c r="H5" s="16">
        <v>1</v>
      </c>
      <c r="I5" s="16">
        <v>20</v>
      </c>
      <c r="J5" s="16" t="s">
        <v>41</v>
      </c>
      <c r="K5" s="1" t="s">
        <v>13</v>
      </c>
      <c r="L5" s="4"/>
    </row>
    <row r="6" spans="1:12" x14ac:dyDescent="0.2">
      <c r="B6" s="1" t="s">
        <v>253</v>
      </c>
      <c r="C6" s="1" t="s">
        <v>252</v>
      </c>
      <c r="D6" s="1" t="s">
        <v>86</v>
      </c>
      <c r="E6" s="16" t="s">
        <v>41</v>
      </c>
      <c r="F6" s="16" t="s">
        <v>41</v>
      </c>
      <c r="G6" s="11">
        <v>1000</v>
      </c>
      <c r="H6" s="16" t="s">
        <v>41</v>
      </c>
      <c r="I6" s="16" t="s">
        <v>41</v>
      </c>
      <c r="J6" s="16" t="s">
        <v>41</v>
      </c>
      <c r="K6" s="1" t="s">
        <v>13</v>
      </c>
      <c r="L6" s="4"/>
    </row>
    <row r="7" spans="1:12" x14ac:dyDescent="0.2">
      <c r="B7" s="1" t="s">
        <v>254</v>
      </c>
      <c r="C7" s="1" t="s">
        <v>250</v>
      </c>
      <c r="D7" s="1" t="s">
        <v>472</v>
      </c>
      <c r="E7" s="16" t="s">
        <v>41</v>
      </c>
      <c r="F7" s="16" t="s">
        <v>41</v>
      </c>
      <c r="G7" s="6">
        <v>38</v>
      </c>
      <c r="H7" s="16">
        <v>15</v>
      </c>
      <c r="I7" s="16">
        <v>64</v>
      </c>
      <c r="J7" s="16" t="s">
        <v>4</v>
      </c>
      <c r="K7" s="79" t="s">
        <v>247</v>
      </c>
      <c r="L7" s="5"/>
    </row>
    <row r="8" spans="1:12" s="45" customFormat="1" x14ac:dyDescent="0.2">
      <c r="A8" s="117"/>
      <c r="B8" s="45" t="s">
        <v>81</v>
      </c>
      <c r="D8" s="45" t="s">
        <v>85</v>
      </c>
      <c r="E8" s="46"/>
      <c r="F8" s="46"/>
      <c r="G8" s="53"/>
      <c r="H8" s="46"/>
      <c r="I8" s="46"/>
      <c r="J8" s="46"/>
      <c r="L8" s="54"/>
    </row>
    <row r="9" spans="1:12" s="117" customFormat="1" x14ac:dyDescent="0.2">
      <c r="B9" s="1" t="s">
        <v>81</v>
      </c>
      <c r="C9" s="1" t="s">
        <v>386</v>
      </c>
      <c r="D9" s="1" t="s">
        <v>385</v>
      </c>
      <c r="E9" s="16" t="s">
        <v>41</v>
      </c>
      <c r="F9" s="16" t="s">
        <v>41</v>
      </c>
      <c r="G9" s="11">
        <v>425773</v>
      </c>
      <c r="H9" s="13">
        <f>_xlfn.CHISQ.INV(0.025,2*G9)/2</f>
        <v>424495.04576002725</v>
      </c>
      <c r="I9" s="13">
        <f>_xlfn.CHISQ.INV(0.975,2*(G9-1))/2</f>
        <v>427051.84704367357</v>
      </c>
      <c r="J9" s="16" t="s">
        <v>389</v>
      </c>
      <c r="K9" s="1" t="s">
        <v>383</v>
      </c>
      <c r="L9" s="4" t="s">
        <v>390</v>
      </c>
    </row>
    <row r="10" spans="1:12" s="117" customFormat="1" x14ac:dyDescent="0.2">
      <c r="B10" s="1" t="s">
        <v>81</v>
      </c>
      <c r="C10" s="1" t="s">
        <v>387</v>
      </c>
      <c r="D10" s="1" t="s">
        <v>384</v>
      </c>
      <c r="E10" s="16" t="s">
        <v>41</v>
      </c>
      <c r="F10" s="16" t="s">
        <v>41</v>
      </c>
      <c r="G10" s="11">
        <f>G9/(200.84/100000)</f>
        <v>211996116.31149173</v>
      </c>
      <c r="H10" s="16" t="s">
        <v>41</v>
      </c>
      <c r="I10" s="16" t="s">
        <v>41</v>
      </c>
      <c r="J10" s="16" t="s">
        <v>41</v>
      </c>
      <c r="K10" s="1" t="s">
        <v>383</v>
      </c>
      <c r="L10" s="4" t="s">
        <v>390</v>
      </c>
    </row>
    <row r="11" spans="1:12" x14ac:dyDescent="0.2">
      <c r="B11" s="1" t="s">
        <v>81</v>
      </c>
      <c r="C11" s="1" t="s">
        <v>8</v>
      </c>
      <c r="D11" s="1" t="s">
        <v>538</v>
      </c>
      <c r="E11" s="16" t="s">
        <v>41</v>
      </c>
      <c r="F11" s="16" t="s">
        <v>41</v>
      </c>
      <c r="G11" s="6">
        <v>3.4</v>
      </c>
      <c r="H11" s="6">
        <v>2.4</v>
      </c>
      <c r="I11" s="6">
        <v>4.2</v>
      </c>
      <c r="J11" s="86" t="s">
        <v>4</v>
      </c>
      <c r="K11" s="41" t="s">
        <v>17</v>
      </c>
      <c r="L11" s="4"/>
    </row>
    <row r="12" spans="1:12" x14ac:dyDescent="0.2">
      <c r="B12" s="1" t="s">
        <v>81</v>
      </c>
      <c r="C12" s="1" t="s">
        <v>628</v>
      </c>
      <c r="D12" s="1" t="s">
        <v>613</v>
      </c>
      <c r="E12" s="16" t="s">
        <v>41</v>
      </c>
      <c r="F12" s="16" t="s">
        <v>41</v>
      </c>
      <c r="G12" s="6">
        <v>1</v>
      </c>
      <c r="H12" s="113">
        <f>G12*(1-0.05)</f>
        <v>0.95</v>
      </c>
      <c r="I12" s="113">
        <f>G12*(1+0.05)</f>
        <v>1.05</v>
      </c>
      <c r="J12" s="86" t="s">
        <v>55</v>
      </c>
      <c r="K12" s="41" t="s">
        <v>13</v>
      </c>
      <c r="L12" s="4"/>
    </row>
    <row r="13" spans="1:12" x14ac:dyDescent="0.2">
      <c r="B13" s="1" t="s">
        <v>81</v>
      </c>
      <c r="C13" s="1" t="s">
        <v>394</v>
      </c>
      <c r="D13" s="1" t="s">
        <v>22</v>
      </c>
      <c r="E13" s="16" t="s">
        <v>41</v>
      </c>
      <c r="F13" s="16" t="s">
        <v>41</v>
      </c>
      <c r="G13" s="10">
        <v>5</v>
      </c>
      <c r="H13" s="10">
        <v>1</v>
      </c>
      <c r="I13" s="10">
        <v>12</v>
      </c>
      <c r="J13" s="86" t="s">
        <v>4</v>
      </c>
      <c r="K13" s="36" t="s">
        <v>632</v>
      </c>
      <c r="L13" s="4" t="s">
        <v>10</v>
      </c>
    </row>
    <row r="14" spans="1:12" x14ac:dyDescent="0.2">
      <c r="B14" s="1" t="s">
        <v>81</v>
      </c>
      <c r="C14" s="1" t="s">
        <v>395</v>
      </c>
      <c r="D14" s="1" t="s">
        <v>20</v>
      </c>
      <c r="E14" s="16" t="s">
        <v>41</v>
      </c>
      <c r="F14" s="16" t="s">
        <v>41</v>
      </c>
      <c r="G14" s="10">
        <v>8.5</v>
      </c>
      <c r="H14" s="10">
        <v>7</v>
      </c>
      <c r="I14" s="10">
        <v>10</v>
      </c>
      <c r="J14" s="86" t="s">
        <v>4</v>
      </c>
      <c r="K14" s="36" t="s">
        <v>632</v>
      </c>
      <c r="L14" s="4" t="s">
        <v>11</v>
      </c>
    </row>
    <row r="15" spans="1:12" x14ac:dyDescent="0.2">
      <c r="B15" s="1" t="s">
        <v>81</v>
      </c>
      <c r="C15" s="1" t="s">
        <v>614</v>
      </c>
      <c r="D15" s="1" t="s">
        <v>582</v>
      </c>
      <c r="E15" s="16" t="s">
        <v>41</v>
      </c>
      <c r="F15" s="16" t="s">
        <v>41</v>
      </c>
      <c r="G15" s="6">
        <v>0.52100000000000002</v>
      </c>
      <c r="H15" s="6">
        <v>0.44500000000000001</v>
      </c>
      <c r="I15" s="6">
        <v>0.59699999999999998</v>
      </c>
      <c r="J15" s="86" t="s">
        <v>4</v>
      </c>
      <c r="K15" s="35" t="s">
        <v>16</v>
      </c>
      <c r="L15" s="36"/>
    </row>
    <row r="16" spans="1:12" x14ac:dyDescent="0.2">
      <c r="B16" s="1" t="s">
        <v>81</v>
      </c>
      <c r="C16" s="1" t="s">
        <v>261</v>
      </c>
      <c r="D16" s="1" t="s">
        <v>75</v>
      </c>
      <c r="E16" s="16" t="s">
        <v>41</v>
      </c>
      <c r="F16" s="16" t="s">
        <v>41</v>
      </c>
      <c r="G16" s="16">
        <v>1.7999999999999999E-2</v>
      </c>
      <c r="H16" s="8">
        <f>(1-0.25)*G16</f>
        <v>1.3499999999999998E-2</v>
      </c>
      <c r="I16" s="8">
        <f>(1+0.25)*G16</f>
        <v>2.2499999999999999E-2</v>
      </c>
      <c r="J16" s="17" t="s">
        <v>2</v>
      </c>
      <c r="K16" s="35" t="s">
        <v>48</v>
      </c>
      <c r="L16" s="1" t="s">
        <v>54</v>
      </c>
    </row>
    <row r="17" spans="2:13" x14ac:dyDescent="0.2">
      <c r="B17" s="1" t="s">
        <v>81</v>
      </c>
      <c r="C17" s="1" t="s">
        <v>477</v>
      </c>
      <c r="D17" s="1" t="s">
        <v>478</v>
      </c>
      <c r="E17" s="16" t="s">
        <v>41</v>
      </c>
      <c r="F17" s="16" t="s">
        <v>41</v>
      </c>
      <c r="G17" s="17">
        <f>(84+1)/(7337+84+2)</f>
        <v>1.1450895864205847E-2</v>
      </c>
      <c r="H17" s="7">
        <f>_xlfn.BETA.INV(0.025, 84+1, 7337+84-84+1)</f>
        <v>9.1577628242355009E-3</v>
      </c>
      <c r="I17" s="7">
        <f>_xlfn.BETA.INV(0.975, 84+1, 7337+84-84+1)</f>
        <v>1.3993175955016257E-2</v>
      </c>
      <c r="J17" s="17" t="s">
        <v>2</v>
      </c>
      <c r="K17" s="35" t="s">
        <v>475</v>
      </c>
      <c r="L17" s="5" t="s">
        <v>476</v>
      </c>
      <c r="M17" s="5"/>
    </row>
    <row r="18" spans="2:13" x14ac:dyDescent="0.2">
      <c r="B18" s="1" t="s">
        <v>81</v>
      </c>
      <c r="C18" s="1" t="s">
        <v>482</v>
      </c>
      <c r="D18" s="1" t="s">
        <v>479</v>
      </c>
      <c r="E18" s="16" t="s">
        <v>41</v>
      </c>
      <c r="F18" s="16" t="s">
        <v>41</v>
      </c>
      <c r="G18" s="123">
        <v>250</v>
      </c>
      <c r="H18" s="13">
        <f>_xlfn.CHISQ.INV(0.025,2*G18)/2</f>
        <v>219.96799563093731</v>
      </c>
      <c r="I18" s="13">
        <f>_xlfn.CHISQ.INV(0.975,2*(G18-1))/2</f>
        <v>280.86370020360192</v>
      </c>
      <c r="J18" s="16" t="s">
        <v>389</v>
      </c>
      <c r="K18" s="35" t="s">
        <v>480</v>
      </c>
      <c r="L18" s="36" t="s">
        <v>481</v>
      </c>
      <c r="M18" s="5"/>
    </row>
    <row r="19" spans="2:13" x14ac:dyDescent="0.2">
      <c r="B19" s="1" t="s">
        <v>81</v>
      </c>
      <c r="C19" s="1" t="s">
        <v>483</v>
      </c>
      <c r="D19" s="1" t="s">
        <v>384</v>
      </c>
      <c r="E19" s="16" t="s">
        <v>41</v>
      </c>
      <c r="F19" s="16" t="s">
        <v>41</v>
      </c>
      <c r="G19" s="11">
        <f>+G18*100000/1.2</f>
        <v>20833333.333333336</v>
      </c>
      <c r="H19" s="16" t="s">
        <v>41</v>
      </c>
      <c r="I19" s="16" t="s">
        <v>41</v>
      </c>
      <c r="J19" s="16" t="s">
        <v>41</v>
      </c>
      <c r="K19" s="35" t="s">
        <v>480</v>
      </c>
      <c r="L19" s="36" t="s">
        <v>481</v>
      </c>
      <c r="M19" s="5"/>
    </row>
    <row r="20" spans="2:13" x14ac:dyDescent="0.2">
      <c r="B20" s="1" t="s">
        <v>81</v>
      </c>
      <c r="C20" s="1" t="s">
        <v>623</v>
      </c>
      <c r="D20" s="1" t="s">
        <v>364</v>
      </c>
      <c r="E20" s="16" t="s">
        <v>41</v>
      </c>
      <c r="F20" s="16" t="s">
        <v>41</v>
      </c>
      <c r="G20" s="6">
        <v>0</v>
      </c>
      <c r="H20" s="6">
        <v>0</v>
      </c>
      <c r="I20" s="6">
        <v>5.2999999999999999E-2</v>
      </c>
      <c r="J20" s="86" t="s">
        <v>2</v>
      </c>
      <c r="K20" s="35" t="s">
        <v>12</v>
      </c>
      <c r="L20" s="4" t="s">
        <v>366</v>
      </c>
    </row>
    <row r="21" spans="2:13" x14ac:dyDescent="0.2">
      <c r="B21" s="1" t="s">
        <v>81</v>
      </c>
      <c r="C21" s="1" t="s">
        <v>624</v>
      </c>
      <c r="D21" s="1" t="s">
        <v>365</v>
      </c>
      <c r="E21" s="16" t="s">
        <v>41</v>
      </c>
      <c r="F21" s="16" t="s">
        <v>41</v>
      </c>
      <c r="G21" s="6">
        <v>0.98399999999999999</v>
      </c>
      <c r="H21" s="6">
        <v>0.95299999999999996</v>
      </c>
      <c r="I21" s="6">
        <v>0.997</v>
      </c>
      <c r="J21" s="86" t="s">
        <v>2</v>
      </c>
      <c r="K21" s="35" t="s">
        <v>12</v>
      </c>
      <c r="L21" s="4" t="s">
        <v>366</v>
      </c>
    </row>
    <row r="22" spans="2:13" x14ac:dyDescent="0.2">
      <c r="B22" s="1" t="s">
        <v>81</v>
      </c>
      <c r="C22" s="1" t="s">
        <v>622</v>
      </c>
      <c r="D22" s="1" t="s">
        <v>419</v>
      </c>
      <c r="E22" s="16" t="s">
        <v>41</v>
      </c>
      <c r="F22" s="16" t="s">
        <v>41</v>
      </c>
      <c r="G22" s="6">
        <v>0.84</v>
      </c>
      <c r="H22" s="6">
        <v>0.81699999999999995</v>
      </c>
      <c r="I22" s="6">
        <v>0.85599999999999998</v>
      </c>
      <c r="J22" s="86" t="s">
        <v>2</v>
      </c>
      <c r="K22" s="88" t="s">
        <v>36</v>
      </c>
      <c r="L22" s="4" t="s">
        <v>363</v>
      </c>
    </row>
    <row r="23" spans="2:13" x14ac:dyDescent="0.2">
      <c r="B23" s="1" t="s">
        <v>81</v>
      </c>
      <c r="C23" s="1" t="s">
        <v>625</v>
      </c>
      <c r="D23" s="1" t="s">
        <v>553</v>
      </c>
      <c r="E23" s="16" t="s">
        <v>41</v>
      </c>
      <c r="F23" s="16" t="s">
        <v>41</v>
      </c>
      <c r="G23" s="6">
        <v>0.8</v>
      </c>
      <c r="H23" s="6">
        <v>0.7</v>
      </c>
      <c r="I23" s="6">
        <v>1</v>
      </c>
      <c r="J23" s="86" t="s">
        <v>41</v>
      </c>
      <c r="K23" s="41" t="s">
        <v>13</v>
      </c>
      <c r="L23" s="4"/>
    </row>
    <row r="24" spans="2:13" x14ac:dyDescent="0.2">
      <c r="B24" s="1" t="s">
        <v>81</v>
      </c>
      <c r="C24" s="1" t="s">
        <v>436</v>
      </c>
      <c r="D24" s="1" t="s">
        <v>420</v>
      </c>
      <c r="E24" s="16" t="s">
        <v>41</v>
      </c>
      <c r="F24" s="16" t="s">
        <v>41</v>
      </c>
      <c r="G24" s="17">
        <f>58/3082</f>
        <v>1.8818948734587931E-2</v>
      </c>
      <c r="H24" s="124">
        <f>_xlfn.BETA.INV(0.025, 58, 3082-58+1)</f>
        <v>1.4320247704488179E-2</v>
      </c>
      <c r="I24" s="124">
        <f>_xlfn.BETA.INV(0.975, 58+1, 3082-58)</f>
        <v>2.426066347872291E-2</v>
      </c>
      <c r="J24" s="16" t="s">
        <v>2</v>
      </c>
      <c r="K24" s="41" t="s">
        <v>35</v>
      </c>
      <c r="L24" s="1" t="s">
        <v>417</v>
      </c>
    </row>
    <row r="25" spans="2:13" x14ac:dyDescent="0.2">
      <c r="B25" s="1" t="s">
        <v>81</v>
      </c>
      <c r="C25" s="1" t="s">
        <v>437</v>
      </c>
      <c r="D25" s="1" t="s">
        <v>421</v>
      </c>
      <c r="E25" s="16" t="s">
        <v>41</v>
      </c>
      <c r="F25" s="16" t="s">
        <v>41</v>
      </c>
      <c r="G25" s="17">
        <f>73/2790</f>
        <v>2.6164874551971327E-2</v>
      </c>
      <c r="H25" s="124">
        <f>_xlfn.BETA.INV(0.025, 73, 2790-73+1)</f>
        <v>2.0563875462144107E-2</v>
      </c>
      <c r="I25" s="124">
        <f>_xlfn.BETA.INV(0.975, 73+1, 2790-73)</f>
        <v>3.2787183574374379E-2</v>
      </c>
      <c r="J25" s="16" t="s">
        <v>2</v>
      </c>
      <c r="K25" s="41" t="s">
        <v>36</v>
      </c>
      <c r="L25" s="1" t="s">
        <v>418</v>
      </c>
    </row>
    <row r="26" spans="2:13" x14ac:dyDescent="0.2">
      <c r="B26" s="1" t="s">
        <v>81</v>
      </c>
      <c r="C26" s="1" t="s">
        <v>438</v>
      </c>
      <c r="D26" s="1" t="s">
        <v>422</v>
      </c>
      <c r="E26" s="16" t="s">
        <v>41</v>
      </c>
      <c r="F26" s="16" t="s">
        <v>41</v>
      </c>
      <c r="G26" s="17">
        <f>2/3082</f>
        <v>6.4892926670992858E-4</v>
      </c>
      <c r="H26" s="124">
        <f>_xlfn.BETA.INV(0.025, 2, 3082-2+1)</f>
        <v>7.8598008528805072E-5</v>
      </c>
      <c r="I26" s="124">
        <f>_xlfn.BETA.INV(0.975, 2+1, 3082-2)</f>
        <v>2.3421695392724651E-3</v>
      </c>
      <c r="J26" s="16" t="s">
        <v>2</v>
      </c>
      <c r="K26" s="41" t="s">
        <v>35</v>
      </c>
      <c r="L26" s="1" t="s">
        <v>416</v>
      </c>
    </row>
    <row r="27" spans="2:13" x14ac:dyDescent="0.2">
      <c r="B27" s="1" t="s">
        <v>81</v>
      </c>
      <c r="C27" s="1" t="s">
        <v>439</v>
      </c>
      <c r="D27" s="1" t="s">
        <v>423</v>
      </c>
      <c r="E27" s="16" t="s">
        <v>41</v>
      </c>
      <c r="F27" s="16" t="s">
        <v>41</v>
      </c>
      <c r="G27" s="17">
        <f>(23-1)/2790</f>
        <v>7.8853046594982087E-3</v>
      </c>
      <c r="H27" s="124">
        <f>_xlfn.BETA.INV(0.025, 23-1, 2790-(23-1)+1)</f>
        <v>4.9480847825384118E-3</v>
      </c>
      <c r="I27" s="124">
        <f>_xlfn.BETA.INV(0.975, 73+1, 2790-73)</f>
        <v>3.2787183574374379E-2</v>
      </c>
      <c r="J27" s="16" t="s">
        <v>2</v>
      </c>
      <c r="K27" s="41" t="s">
        <v>36</v>
      </c>
      <c r="L27" s="1" t="s">
        <v>417</v>
      </c>
    </row>
    <row r="28" spans="2:13" ht="15" customHeight="1" x14ac:dyDescent="0.2">
      <c r="B28" s="1" t="s">
        <v>81</v>
      </c>
      <c r="C28" s="1" t="s">
        <v>618</v>
      </c>
      <c r="D28" s="1" t="s">
        <v>621</v>
      </c>
      <c r="E28" s="16" t="s">
        <v>41</v>
      </c>
      <c r="F28" s="16" t="s">
        <v>41</v>
      </c>
      <c r="G28" s="125">
        <v>0.55000000000000004</v>
      </c>
      <c r="H28" s="125">
        <v>0.51</v>
      </c>
      <c r="I28" s="125">
        <v>0.7</v>
      </c>
      <c r="J28" s="86" t="s">
        <v>55</v>
      </c>
      <c r="K28" s="1" t="s">
        <v>13</v>
      </c>
      <c r="L28" s="120" t="s">
        <v>620</v>
      </c>
    </row>
    <row r="29" spans="2:13" s="90" customFormat="1" x14ac:dyDescent="0.2">
      <c r="B29" s="90" t="s">
        <v>81</v>
      </c>
      <c r="C29" s="90" t="s">
        <v>617</v>
      </c>
      <c r="D29" s="90" t="s">
        <v>619</v>
      </c>
      <c r="E29" s="210" t="s">
        <v>41</v>
      </c>
      <c r="F29" s="210" t="s">
        <v>41</v>
      </c>
      <c r="G29" s="211">
        <v>0.6</v>
      </c>
      <c r="H29" s="211">
        <v>0.4</v>
      </c>
      <c r="I29" s="211">
        <v>0.75</v>
      </c>
      <c r="J29" s="212" t="s">
        <v>55</v>
      </c>
      <c r="K29" s="90" t="s">
        <v>13</v>
      </c>
    </row>
    <row r="30" spans="2:13" s="90" customFormat="1" x14ac:dyDescent="0.2">
      <c r="B30" s="90" t="s">
        <v>81</v>
      </c>
      <c r="C30" s="90" t="s">
        <v>629</v>
      </c>
      <c r="D30" s="90" t="s">
        <v>630</v>
      </c>
      <c r="E30" s="210" t="s">
        <v>41</v>
      </c>
      <c r="F30" s="210" t="s">
        <v>41</v>
      </c>
      <c r="G30" s="211">
        <v>1</v>
      </c>
      <c r="H30" s="211">
        <v>0.5</v>
      </c>
      <c r="I30" s="211">
        <v>1.5</v>
      </c>
      <c r="J30" s="212" t="s">
        <v>55</v>
      </c>
      <c r="K30" s="90" t="s">
        <v>13</v>
      </c>
    </row>
    <row r="31" spans="2:13" x14ac:dyDescent="0.2">
      <c r="B31" s="1" t="s">
        <v>81</v>
      </c>
      <c r="C31" s="1" t="s">
        <v>615</v>
      </c>
      <c r="D31" s="1" t="s">
        <v>616</v>
      </c>
      <c r="E31" s="16" t="s">
        <v>41</v>
      </c>
      <c r="F31" s="16" t="s">
        <v>41</v>
      </c>
      <c r="G31" s="125">
        <v>1</v>
      </c>
      <c r="H31" s="7">
        <v>0.5</v>
      </c>
      <c r="I31" s="7">
        <v>1.2</v>
      </c>
      <c r="J31" s="86" t="s">
        <v>55</v>
      </c>
      <c r="K31" s="41" t="s">
        <v>13</v>
      </c>
      <c r="L31" s="4"/>
      <c r="M31" s="5"/>
    </row>
    <row r="32" spans="2:13" x14ac:dyDescent="0.2">
      <c r="B32" s="1" t="s">
        <v>81</v>
      </c>
      <c r="C32" s="1" t="s">
        <v>609</v>
      </c>
      <c r="D32" s="1" t="s">
        <v>373</v>
      </c>
      <c r="E32" s="16" t="s">
        <v>41</v>
      </c>
      <c r="F32" s="16" t="s">
        <v>41</v>
      </c>
      <c r="G32" s="213">
        <v>2.6401609999999999E-5</v>
      </c>
      <c r="H32" s="213">
        <v>0</v>
      </c>
      <c r="I32" s="213">
        <v>6.9434430000000003E-5</v>
      </c>
      <c r="J32" s="86" t="s">
        <v>359</v>
      </c>
      <c r="K32" s="4" t="s">
        <v>374</v>
      </c>
      <c r="L32" s="4" t="s">
        <v>404</v>
      </c>
    </row>
    <row r="33" spans="1:14" x14ac:dyDescent="0.2">
      <c r="B33" s="1" t="s">
        <v>81</v>
      </c>
      <c r="C33" s="1" t="s">
        <v>610</v>
      </c>
      <c r="D33" s="1" t="s">
        <v>388</v>
      </c>
      <c r="E33" s="16" t="s">
        <v>41</v>
      </c>
      <c r="F33" s="16" t="s">
        <v>41</v>
      </c>
      <c r="G33" s="213">
        <v>8.2986819999999995E-4</v>
      </c>
      <c r="H33" s="213">
        <v>6.7953079999999997E-4</v>
      </c>
      <c r="I33" s="213">
        <v>9.955331999999999E-4</v>
      </c>
      <c r="J33" s="86" t="s">
        <v>359</v>
      </c>
      <c r="K33" s="4" t="s">
        <v>488</v>
      </c>
      <c r="L33" s="4" t="s">
        <v>404</v>
      </c>
    </row>
    <row r="34" spans="1:14" x14ac:dyDescent="0.2">
      <c r="B34" s="1" t="s">
        <v>81</v>
      </c>
      <c r="C34" s="1" t="s">
        <v>396</v>
      </c>
      <c r="D34" s="1" t="s">
        <v>27</v>
      </c>
      <c r="E34" s="16" t="s">
        <v>41</v>
      </c>
      <c r="F34" s="16" t="s">
        <v>41</v>
      </c>
      <c r="G34" s="11">
        <v>365</v>
      </c>
      <c r="H34" s="13">
        <f>(1/3)*G34</f>
        <v>121.66666666666666</v>
      </c>
      <c r="I34" s="13">
        <f>2*G34</f>
        <v>730</v>
      </c>
      <c r="J34" s="86" t="s">
        <v>4</v>
      </c>
      <c r="K34" s="35" t="s">
        <v>14</v>
      </c>
      <c r="L34" s="4" t="s">
        <v>15</v>
      </c>
    </row>
    <row r="35" spans="1:14" s="49" customFormat="1" x14ac:dyDescent="0.2">
      <c r="A35" s="1"/>
      <c r="B35" s="49" t="s">
        <v>80</v>
      </c>
      <c r="D35" s="45" t="s">
        <v>80</v>
      </c>
      <c r="E35" s="50"/>
      <c r="F35" s="50"/>
      <c r="G35" s="51"/>
      <c r="H35" s="51"/>
      <c r="I35" s="51"/>
      <c r="J35" s="50"/>
      <c r="K35" s="52"/>
    </row>
    <row r="36" spans="1:14" x14ac:dyDescent="0.2">
      <c r="B36" s="1" t="s">
        <v>80</v>
      </c>
      <c r="C36" s="1" t="s">
        <v>173</v>
      </c>
      <c r="D36" s="1" t="s">
        <v>28</v>
      </c>
      <c r="E36" s="16" t="s">
        <v>41</v>
      </c>
      <c r="F36" s="16" t="s">
        <v>41</v>
      </c>
      <c r="G36" s="17">
        <v>0.82399999999999995</v>
      </c>
      <c r="H36" s="21">
        <f>G36 - _xlfn.T.INV.2T(0.05, 5774-1) * (0.172 / SQRT(5774))</f>
        <v>0.81956259353910532</v>
      </c>
      <c r="I36" s="21">
        <f>G36 + _xlfn.T.INV.2T(0.05, 5774-1) * (0.172 / SQRT(5774))</f>
        <v>0.82843740646089459</v>
      </c>
      <c r="J36" s="16" t="s">
        <v>2</v>
      </c>
      <c r="K36" s="41" t="s">
        <v>643</v>
      </c>
    </row>
    <row r="37" spans="1:14" x14ac:dyDescent="0.2">
      <c r="B37" s="1" t="s">
        <v>80</v>
      </c>
      <c r="C37" s="1" t="s">
        <v>175</v>
      </c>
      <c r="D37" s="1" t="s">
        <v>33</v>
      </c>
      <c r="E37" s="16" t="s">
        <v>41</v>
      </c>
      <c r="F37" s="16" t="s">
        <v>41</v>
      </c>
      <c r="G37" s="17">
        <v>0</v>
      </c>
      <c r="H37" s="16" t="s">
        <v>41</v>
      </c>
      <c r="I37" s="16" t="s">
        <v>41</v>
      </c>
      <c r="J37" s="16" t="s">
        <v>41</v>
      </c>
      <c r="K37" s="1" t="s">
        <v>13</v>
      </c>
    </row>
    <row r="38" spans="1:14" x14ac:dyDescent="0.2">
      <c r="B38" s="1" t="s">
        <v>80</v>
      </c>
      <c r="C38" s="1" t="s">
        <v>639</v>
      </c>
      <c r="D38" s="1" t="s">
        <v>640</v>
      </c>
      <c r="E38" s="16" t="s">
        <v>41</v>
      </c>
      <c r="F38" s="16" t="s">
        <v>41</v>
      </c>
      <c r="G38" s="233">
        <f>gbd_2023_healthstate_appendix_t!D197</f>
        <v>0.13341151879999999</v>
      </c>
      <c r="H38" s="233">
        <f>gbd_2023_healthstate_appendix_t!E197</f>
        <v>8.8459514999999905E-2</v>
      </c>
      <c r="I38" s="233">
        <f>gbd_2023_healthstate_appendix_t!F197</f>
        <v>0.18950166500000001</v>
      </c>
      <c r="J38" s="16" t="s">
        <v>2</v>
      </c>
      <c r="K38" s="41" t="s">
        <v>641</v>
      </c>
    </row>
    <row r="39" spans="1:14" x14ac:dyDescent="0.2">
      <c r="B39" s="1" t="s">
        <v>80</v>
      </c>
      <c r="C39" s="1" t="s">
        <v>177</v>
      </c>
      <c r="D39" s="1" t="s">
        <v>536</v>
      </c>
      <c r="E39" s="16" t="s">
        <v>41</v>
      </c>
      <c r="F39" s="16" t="s">
        <v>41</v>
      </c>
      <c r="G39" s="17">
        <f>0.85</f>
        <v>0.85</v>
      </c>
      <c r="H39" s="21">
        <f>MAX((1-0.25)*G39, 0)</f>
        <v>0.63749999999999996</v>
      </c>
      <c r="I39" s="21">
        <f>MIN(1, (1+0.25)*G39)</f>
        <v>1</v>
      </c>
      <c r="J39" s="16" t="s">
        <v>2</v>
      </c>
      <c r="K39" s="1" t="s">
        <v>13</v>
      </c>
    </row>
    <row r="40" spans="1:14" x14ac:dyDescent="0.2">
      <c r="B40" s="1" t="s">
        <v>80</v>
      </c>
      <c r="C40" s="1" t="s">
        <v>178</v>
      </c>
      <c r="D40" s="1" t="s">
        <v>535</v>
      </c>
      <c r="E40" s="16" t="s">
        <v>41</v>
      </c>
      <c r="F40" s="16" t="s">
        <v>41</v>
      </c>
      <c r="G40" s="17">
        <f>0.6</f>
        <v>0.6</v>
      </c>
      <c r="H40" s="17">
        <f>G40-((0.19)/SQRT(315))*_xlfn.T.INV.2T(0.05, 315-1)</f>
        <v>0.57893683676003582</v>
      </c>
      <c r="I40" s="17">
        <f>G40+((0.19)/SQRT(315))*_xlfn.T.INV.2T(0.05, 315-1)</f>
        <v>0.62106316323996413</v>
      </c>
      <c r="J40" s="16" t="s">
        <v>2</v>
      </c>
      <c r="K40" s="41" t="s">
        <v>34</v>
      </c>
      <c r="L40" s="1" t="s">
        <v>37</v>
      </c>
    </row>
    <row r="41" spans="1:14" x14ac:dyDescent="0.2">
      <c r="B41" s="1" t="s">
        <v>80</v>
      </c>
      <c r="C41" s="1" t="s">
        <v>414</v>
      </c>
      <c r="D41" s="1" t="s">
        <v>529</v>
      </c>
      <c r="E41" s="16" t="s">
        <v>41</v>
      </c>
      <c r="F41" s="16" t="s">
        <v>41</v>
      </c>
      <c r="G41" s="6">
        <v>0.63</v>
      </c>
      <c r="H41" s="114">
        <v>0.19</v>
      </c>
      <c r="I41" s="6">
        <v>0.91</v>
      </c>
      <c r="J41" s="86" t="s">
        <v>55</v>
      </c>
      <c r="K41" s="218" t="s">
        <v>412</v>
      </c>
      <c r="L41" s="2" t="s">
        <v>409</v>
      </c>
      <c r="M41" s="1" t="s">
        <v>530</v>
      </c>
    </row>
    <row r="42" spans="1:14" ht="19" customHeight="1" x14ac:dyDescent="0.2">
      <c r="B42" s="1" t="s">
        <v>80</v>
      </c>
      <c r="C42" s="1" t="s">
        <v>413</v>
      </c>
      <c r="D42" s="1" t="s">
        <v>531</v>
      </c>
      <c r="E42" s="16" t="s">
        <v>41</v>
      </c>
      <c r="F42" s="16" t="s">
        <v>41</v>
      </c>
      <c r="G42" s="17">
        <v>2E-3</v>
      </c>
      <c r="H42" s="17">
        <v>0</v>
      </c>
      <c r="I42" s="16">
        <v>5.2999999999999999E-2</v>
      </c>
      <c r="J42" s="16" t="s">
        <v>55</v>
      </c>
      <c r="K42" s="219" t="s">
        <v>489</v>
      </c>
      <c r="L42" s="2" t="s">
        <v>409</v>
      </c>
      <c r="M42" s="120" t="s">
        <v>532</v>
      </c>
    </row>
    <row r="43" spans="1:14" ht="18" customHeight="1" x14ac:dyDescent="0.2">
      <c r="B43" s="1" t="s">
        <v>80</v>
      </c>
      <c r="C43" s="1" t="s">
        <v>415</v>
      </c>
      <c r="D43" s="1" t="s">
        <v>534</v>
      </c>
      <c r="E43" s="16" t="s">
        <v>41</v>
      </c>
      <c r="F43" s="16" t="s">
        <v>41</v>
      </c>
      <c r="G43" s="17">
        <v>7.5999999999999998E-2</v>
      </c>
      <c r="H43" s="16">
        <v>5.3999999999999999E-2</v>
      </c>
      <c r="I43" s="17">
        <v>1</v>
      </c>
      <c r="J43" s="16" t="s">
        <v>55</v>
      </c>
      <c r="K43" s="219" t="s">
        <v>490</v>
      </c>
      <c r="L43" s="1" t="s">
        <v>409</v>
      </c>
      <c r="M43" s="120" t="s">
        <v>442</v>
      </c>
      <c r="N43" s="1" t="s">
        <v>533</v>
      </c>
    </row>
    <row r="44" spans="1:14" s="45" customFormat="1" x14ac:dyDescent="0.2">
      <c r="A44" s="117"/>
      <c r="B44" s="45" t="s">
        <v>63</v>
      </c>
      <c r="D44" s="45" t="s">
        <v>63</v>
      </c>
      <c r="E44" s="46"/>
      <c r="F44" s="46"/>
      <c r="G44" s="47"/>
      <c r="H44" s="47"/>
      <c r="I44" s="47"/>
      <c r="J44" s="46"/>
      <c r="K44" s="48"/>
    </row>
    <row r="45" spans="1:14" s="22" customFormat="1" x14ac:dyDescent="0.2">
      <c r="A45" s="1"/>
      <c r="B45" s="22" t="s">
        <v>63</v>
      </c>
      <c r="D45" s="23" t="s">
        <v>82</v>
      </c>
      <c r="E45" s="26"/>
      <c r="F45" s="26"/>
      <c r="G45" s="208"/>
      <c r="H45" s="27">
        <f>G49/G48</f>
        <v>1.25</v>
      </c>
      <c r="I45" s="27"/>
      <c r="J45" s="26"/>
      <c r="K45" s="28"/>
    </row>
    <row r="46" spans="1:14" x14ac:dyDescent="0.2">
      <c r="B46" s="1" t="s">
        <v>63</v>
      </c>
      <c r="C46" s="1" t="s">
        <v>522</v>
      </c>
      <c r="D46" s="1" t="s">
        <v>549</v>
      </c>
      <c r="E46" s="16" t="s">
        <v>73</v>
      </c>
      <c r="F46" s="16">
        <v>2025</v>
      </c>
      <c r="G46" s="9">
        <f>chiqx_price!$I$10</f>
        <v>929.12</v>
      </c>
      <c r="H46" s="9">
        <f>chiqx_price!$I$9</f>
        <v>761.88</v>
      </c>
      <c r="I46" s="9">
        <f>chiqx_price!$I$11</f>
        <v>989.45</v>
      </c>
      <c r="J46" s="16" t="s">
        <v>4</v>
      </c>
      <c r="K46" s="91" t="s">
        <v>524</v>
      </c>
      <c r="L46" s="91" t="s">
        <v>525</v>
      </c>
      <c r="M46" s="91" t="s">
        <v>46</v>
      </c>
    </row>
    <row r="47" spans="1:14" x14ac:dyDescent="0.2">
      <c r="B47" s="1" t="s">
        <v>63</v>
      </c>
      <c r="C47" s="1" t="s">
        <v>523</v>
      </c>
      <c r="D47" s="1" t="s">
        <v>550</v>
      </c>
      <c r="E47" s="16" t="s">
        <v>73</v>
      </c>
      <c r="F47" s="16">
        <v>2025</v>
      </c>
      <c r="G47" s="9">
        <f>chiqx_price!$J$10</f>
        <v>1246.3800000000001</v>
      </c>
      <c r="H47" s="9">
        <f>chiqx_price!$J$9</f>
        <v>1022.03</v>
      </c>
      <c r="I47" s="9">
        <f>chiqx_price!$J$11</f>
        <v>1327.31</v>
      </c>
      <c r="J47" s="16" t="s">
        <v>4</v>
      </c>
      <c r="K47" s="91" t="s">
        <v>524</v>
      </c>
      <c r="L47" s="91" t="s">
        <v>525</v>
      </c>
      <c r="M47" s="91" t="s">
        <v>46</v>
      </c>
    </row>
    <row r="48" spans="1:14" x14ac:dyDescent="0.2">
      <c r="B48" s="1" t="s">
        <v>63</v>
      </c>
      <c r="C48" s="1" t="s">
        <v>602</v>
      </c>
      <c r="D48" s="1" t="s">
        <v>601</v>
      </c>
      <c r="E48" s="16" t="s">
        <v>69</v>
      </c>
      <c r="F48" s="16">
        <v>2025</v>
      </c>
      <c r="G48" s="9">
        <v>209</v>
      </c>
      <c r="H48" s="9">
        <v>160</v>
      </c>
      <c r="I48" s="9">
        <v>275</v>
      </c>
      <c r="J48" s="16" t="s">
        <v>603</v>
      </c>
      <c r="K48" s="201" t="s">
        <v>409</v>
      </c>
      <c r="L48" s="91"/>
      <c r="M48" s="91"/>
    </row>
    <row r="49" spans="1:13" x14ac:dyDescent="0.2">
      <c r="B49" s="1" t="s">
        <v>63</v>
      </c>
      <c r="C49" s="1" t="s">
        <v>604</v>
      </c>
      <c r="D49" s="1" t="s">
        <v>605</v>
      </c>
      <c r="E49" s="16" t="s">
        <v>69</v>
      </c>
      <c r="F49" s="16">
        <v>2025</v>
      </c>
      <c r="G49" s="9">
        <f>+(G48/I48)*I49</f>
        <v>261.25</v>
      </c>
      <c r="H49" s="9">
        <f>+(H48/I48)*I49</f>
        <v>200</v>
      </c>
      <c r="I49" s="9">
        <v>343.75</v>
      </c>
      <c r="J49" s="16" t="s">
        <v>603</v>
      </c>
      <c r="K49" s="201" t="s">
        <v>606</v>
      </c>
      <c r="L49" s="91"/>
      <c r="M49" s="91"/>
    </row>
    <row r="50" spans="1:13" x14ac:dyDescent="0.2">
      <c r="B50" s="1" t="s">
        <v>63</v>
      </c>
      <c r="C50" s="1" t="s">
        <v>626</v>
      </c>
      <c r="D50" s="1" t="s">
        <v>627</v>
      </c>
      <c r="E50" s="16" t="s">
        <v>41</v>
      </c>
      <c r="F50" s="16" t="s">
        <v>41</v>
      </c>
      <c r="G50" s="17">
        <v>0.5</v>
      </c>
      <c r="H50" s="9">
        <v>0</v>
      </c>
      <c r="I50" s="9">
        <v>0.75</v>
      </c>
      <c r="J50" s="16" t="s">
        <v>55</v>
      </c>
      <c r="K50" s="1" t="s">
        <v>43</v>
      </c>
      <c r="L50" s="1" t="s">
        <v>576</v>
      </c>
      <c r="M50" s="91"/>
    </row>
    <row r="51" spans="1:13" x14ac:dyDescent="0.2">
      <c r="B51" s="1" t="s">
        <v>63</v>
      </c>
      <c r="C51" s="1" t="s">
        <v>323</v>
      </c>
      <c r="D51" s="1" t="s">
        <v>64</v>
      </c>
      <c r="E51" s="16" t="s">
        <v>41</v>
      </c>
      <c r="F51" s="16" t="s">
        <v>41</v>
      </c>
      <c r="G51" s="18">
        <v>0.1</v>
      </c>
      <c r="H51" s="18">
        <v>0.05</v>
      </c>
      <c r="I51" s="18">
        <v>0.15</v>
      </c>
      <c r="J51" s="16" t="s">
        <v>55</v>
      </c>
      <c r="K51" s="35" t="s">
        <v>56</v>
      </c>
      <c r="L51" s="1" t="s">
        <v>57</v>
      </c>
    </row>
    <row r="52" spans="1:13" s="14" customFormat="1" x14ac:dyDescent="0.2">
      <c r="A52" s="1"/>
      <c r="B52" s="14" t="s">
        <v>63</v>
      </c>
      <c r="C52" s="14" t="s">
        <v>172</v>
      </c>
      <c r="D52" s="14" t="s">
        <v>58</v>
      </c>
      <c r="E52" s="20" t="s">
        <v>73</v>
      </c>
      <c r="F52" s="20">
        <v>2016</v>
      </c>
      <c r="G52" s="87">
        <v>7.3</v>
      </c>
      <c r="H52" s="92">
        <f>(1-0.25)*G52</f>
        <v>5.4749999999999996</v>
      </c>
      <c r="I52" s="92">
        <f>(1+0.25)*G52</f>
        <v>9.125</v>
      </c>
      <c r="J52" s="20" t="s">
        <v>4</v>
      </c>
      <c r="K52" s="88" t="s">
        <v>56</v>
      </c>
      <c r="L52" s="14" t="s">
        <v>59</v>
      </c>
    </row>
    <row r="53" spans="1:13" s="22" customFormat="1" x14ac:dyDescent="0.2">
      <c r="A53" s="1"/>
      <c r="B53" s="22" t="s">
        <v>63</v>
      </c>
      <c r="D53" s="23" t="s">
        <v>83</v>
      </c>
      <c r="E53" s="29"/>
      <c r="F53" s="29"/>
      <c r="G53" s="25"/>
      <c r="H53" s="25"/>
      <c r="I53" s="25"/>
      <c r="J53" s="26"/>
    </row>
    <row r="54" spans="1:13" x14ac:dyDescent="0.2">
      <c r="B54" s="1" t="s">
        <v>63</v>
      </c>
      <c r="C54" s="1" t="s">
        <v>260</v>
      </c>
      <c r="D54" s="1" t="s">
        <v>68</v>
      </c>
      <c r="E54" s="16" t="s">
        <v>41</v>
      </c>
      <c r="F54" s="16" t="s">
        <v>41</v>
      </c>
      <c r="G54" s="9">
        <v>10.85</v>
      </c>
      <c r="H54" s="118">
        <f t="shared" ref="H54:H58" si="0">(1-0.25)*G54</f>
        <v>8.1374999999999993</v>
      </c>
      <c r="I54" s="118">
        <f t="shared" ref="I54:I58" si="1">(1+0.25)*G54</f>
        <v>13.5625</v>
      </c>
      <c r="J54" s="16" t="s">
        <v>4</v>
      </c>
      <c r="K54" s="35" t="s">
        <v>48</v>
      </c>
      <c r="L54" s="1" t="s">
        <v>52</v>
      </c>
    </row>
    <row r="55" spans="1:13" x14ac:dyDescent="0.2">
      <c r="B55" s="1" t="s">
        <v>63</v>
      </c>
      <c r="C55" s="1" t="s">
        <v>262</v>
      </c>
      <c r="D55" s="1" t="s">
        <v>70</v>
      </c>
      <c r="E55" s="16" t="s">
        <v>41</v>
      </c>
      <c r="F55" s="16" t="s">
        <v>41</v>
      </c>
      <c r="G55" s="18">
        <v>0.75</v>
      </c>
      <c r="H55" s="118">
        <f t="shared" si="0"/>
        <v>0.5625</v>
      </c>
      <c r="I55" s="118">
        <f t="shared" si="1"/>
        <v>0.9375</v>
      </c>
      <c r="J55" s="17" t="s">
        <v>2</v>
      </c>
      <c r="K55" s="35" t="s">
        <v>71</v>
      </c>
      <c r="L55" s="36" t="s">
        <v>409</v>
      </c>
      <c r="M55" s="1" t="s">
        <v>491</v>
      </c>
    </row>
    <row r="56" spans="1:13" x14ac:dyDescent="0.2">
      <c r="B56" s="1" t="s">
        <v>63</v>
      </c>
      <c r="C56" s="1" t="s">
        <v>263</v>
      </c>
      <c r="D56" s="1" t="s">
        <v>72</v>
      </c>
      <c r="E56" s="16" t="s">
        <v>73</v>
      </c>
      <c r="F56" s="16">
        <v>2019</v>
      </c>
      <c r="G56" s="11">
        <v>347.37</v>
      </c>
      <c r="H56" s="133">
        <f t="shared" si="0"/>
        <v>260.52750000000003</v>
      </c>
      <c r="I56" s="133">
        <f t="shared" si="1"/>
        <v>434.21249999999998</v>
      </c>
      <c r="J56" s="16" t="s">
        <v>4</v>
      </c>
      <c r="K56" s="3" t="s">
        <v>49</v>
      </c>
    </row>
    <row r="57" spans="1:13" x14ac:dyDescent="0.2">
      <c r="B57" s="1" t="s">
        <v>63</v>
      </c>
      <c r="C57" s="1" t="s">
        <v>264</v>
      </c>
      <c r="D57" s="1" t="s">
        <v>74</v>
      </c>
      <c r="E57" s="16" t="s">
        <v>73</v>
      </c>
      <c r="F57" s="16">
        <v>2019</v>
      </c>
      <c r="G57" s="11">
        <v>2474.0500000000002</v>
      </c>
      <c r="H57" s="133">
        <f t="shared" si="0"/>
        <v>1855.5375000000001</v>
      </c>
      <c r="I57" s="133">
        <f t="shared" si="1"/>
        <v>3092.5625</v>
      </c>
      <c r="J57" s="16" t="s">
        <v>4</v>
      </c>
      <c r="K57" s="3" t="s">
        <v>49</v>
      </c>
    </row>
    <row r="58" spans="1:13" s="14" customFormat="1" ht="17" customHeight="1" x14ac:dyDescent="0.2">
      <c r="A58" s="1"/>
      <c r="B58" s="14" t="s">
        <v>63</v>
      </c>
      <c r="C58" s="14" t="s">
        <v>265</v>
      </c>
      <c r="D58" s="14" t="s">
        <v>266</v>
      </c>
      <c r="E58" s="20" t="s">
        <v>73</v>
      </c>
      <c r="F58" s="20">
        <v>2019</v>
      </c>
      <c r="G58" s="40">
        <v>23.17</v>
      </c>
      <c r="H58" s="40">
        <f t="shared" si="0"/>
        <v>17.377500000000001</v>
      </c>
      <c r="I58" s="40">
        <f t="shared" si="1"/>
        <v>28.962500000000002</v>
      </c>
      <c r="J58" s="20" t="s">
        <v>4</v>
      </c>
      <c r="K58" s="126" t="s">
        <v>49</v>
      </c>
      <c r="L58" s="122"/>
    </row>
    <row r="59" spans="1:13" s="22" customFormat="1" x14ac:dyDescent="0.2">
      <c r="A59" s="1"/>
      <c r="B59" s="22" t="s">
        <v>63</v>
      </c>
      <c r="D59" s="42" t="s">
        <v>103</v>
      </c>
      <c r="E59" s="26"/>
      <c r="F59" s="26"/>
      <c r="G59" s="43"/>
      <c r="H59" s="43"/>
      <c r="I59" s="43"/>
      <c r="J59" s="26"/>
      <c r="K59" s="44"/>
      <c r="L59" s="44"/>
    </row>
    <row r="60" spans="1:13" x14ac:dyDescent="0.2">
      <c r="B60" s="1" t="s">
        <v>63</v>
      </c>
      <c r="C60" s="1" t="s">
        <v>268</v>
      </c>
      <c r="D60" s="1" t="s">
        <v>100</v>
      </c>
      <c r="E60" s="16" t="s">
        <v>41</v>
      </c>
      <c r="F60" s="16">
        <v>2019</v>
      </c>
      <c r="G60" s="11">
        <v>38830</v>
      </c>
      <c r="H60" s="13">
        <f t="shared" ref="H60" si="2">(1-0.25)*G60</f>
        <v>29122.5</v>
      </c>
      <c r="I60" s="13">
        <f t="shared" ref="I60" si="3">(1+0.25)*G60</f>
        <v>48537.5</v>
      </c>
      <c r="J60" s="16" t="s">
        <v>4</v>
      </c>
      <c r="K60" s="35" t="s">
        <v>49</v>
      </c>
      <c r="L60" s="35"/>
    </row>
    <row r="61" spans="1:13" x14ac:dyDescent="0.2">
      <c r="B61" s="1" t="s">
        <v>63</v>
      </c>
      <c r="C61" s="1" t="s">
        <v>270</v>
      </c>
      <c r="D61" s="1" t="s">
        <v>90</v>
      </c>
      <c r="E61" s="16" t="s">
        <v>41</v>
      </c>
      <c r="F61" s="16" t="s">
        <v>41</v>
      </c>
      <c r="G61" s="11">
        <v>2</v>
      </c>
      <c r="H61" s="19" t="s">
        <v>41</v>
      </c>
      <c r="I61" s="19" t="s">
        <v>41</v>
      </c>
      <c r="J61" s="16" t="s">
        <v>41</v>
      </c>
      <c r="K61" s="35" t="s">
        <v>13</v>
      </c>
      <c r="L61" s="35" t="s">
        <v>91</v>
      </c>
    </row>
    <row r="62" spans="1:13" x14ac:dyDescent="0.2">
      <c r="B62" s="1" t="s">
        <v>63</v>
      </c>
      <c r="C62" s="1" t="s">
        <v>273</v>
      </c>
      <c r="D62" s="1" t="s">
        <v>101</v>
      </c>
      <c r="E62" s="16" t="s">
        <v>41</v>
      </c>
      <c r="F62" s="16" t="s">
        <v>41</v>
      </c>
      <c r="G62" s="9">
        <v>0.47</v>
      </c>
      <c r="H62" s="12">
        <f>(1-0.25)*G62</f>
        <v>0.35249999999999998</v>
      </c>
      <c r="I62" s="12">
        <f>(1+0.25)*G62</f>
        <v>0.58749999999999991</v>
      </c>
      <c r="J62" s="16" t="s">
        <v>2</v>
      </c>
      <c r="K62" s="35" t="s">
        <v>99</v>
      </c>
      <c r="L62" s="35"/>
    </row>
    <row r="63" spans="1:13" x14ac:dyDescent="0.2">
      <c r="B63" s="1" t="s">
        <v>63</v>
      </c>
      <c r="C63" s="1" t="s">
        <v>276</v>
      </c>
      <c r="D63" s="1" t="s">
        <v>94</v>
      </c>
      <c r="E63" s="16" t="s">
        <v>41</v>
      </c>
      <c r="F63" s="16" t="s">
        <v>41</v>
      </c>
      <c r="G63" s="11">
        <v>7</v>
      </c>
      <c r="H63" s="19" t="s">
        <v>41</v>
      </c>
      <c r="I63" s="19" t="s">
        <v>41</v>
      </c>
      <c r="J63" s="16" t="s">
        <v>41</v>
      </c>
      <c r="K63" s="35" t="s">
        <v>49</v>
      </c>
      <c r="L63" s="35"/>
    </row>
    <row r="64" spans="1:13" x14ac:dyDescent="0.2">
      <c r="B64" s="1" t="s">
        <v>63</v>
      </c>
      <c r="C64" s="1" t="s">
        <v>277</v>
      </c>
      <c r="D64" t="s">
        <v>92</v>
      </c>
      <c r="E64" s="16" t="s">
        <v>73</v>
      </c>
      <c r="F64" s="16">
        <v>2019</v>
      </c>
      <c r="G64" s="9">
        <v>4.33</v>
      </c>
      <c r="H64" s="12">
        <f t="shared" ref="H64:H65" si="4">(1-0.25)*G64</f>
        <v>3.2475000000000001</v>
      </c>
      <c r="I64" s="12">
        <f t="shared" ref="I64:I65" si="5">(1+0.25)*G64</f>
        <v>5.4124999999999996</v>
      </c>
      <c r="J64" s="16" t="s">
        <v>4</v>
      </c>
      <c r="K64" s="35" t="s">
        <v>49</v>
      </c>
      <c r="L64" s="35"/>
    </row>
    <row r="65" spans="1:12" x14ac:dyDescent="0.2">
      <c r="B65" s="1" t="s">
        <v>63</v>
      </c>
      <c r="C65" s="1" t="s">
        <v>278</v>
      </c>
      <c r="D65" t="s">
        <v>93</v>
      </c>
      <c r="E65" s="16" t="s">
        <v>73</v>
      </c>
      <c r="F65" s="16">
        <v>2019</v>
      </c>
      <c r="G65" s="9">
        <v>1.1299999999999999</v>
      </c>
      <c r="H65" s="12">
        <f t="shared" si="4"/>
        <v>0.84749999999999992</v>
      </c>
      <c r="I65" s="12">
        <f t="shared" si="5"/>
        <v>1.4124999999999999</v>
      </c>
      <c r="J65" s="16" t="s">
        <v>4</v>
      </c>
      <c r="K65" s="35" t="s">
        <v>49</v>
      </c>
      <c r="L65" s="35"/>
    </row>
    <row r="66" spans="1:12" x14ac:dyDescent="0.2">
      <c r="B66" s="1" t="s">
        <v>63</v>
      </c>
      <c r="C66" s="1" t="s">
        <v>279</v>
      </c>
      <c r="D66" s="1" t="s">
        <v>95</v>
      </c>
      <c r="E66" s="16" t="s">
        <v>41</v>
      </c>
      <c r="F66" s="16" t="s">
        <v>41</v>
      </c>
      <c r="G66" s="11">
        <v>7</v>
      </c>
      <c r="H66" s="19" t="s">
        <v>41</v>
      </c>
      <c r="I66" s="19" t="s">
        <v>41</v>
      </c>
      <c r="J66" s="16" t="s">
        <v>41</v>
      </c>
      <c r="K66" s="35" t="s">
        <v>49</v>
      </c>
      <c r="L66" s="35"/>
    </row>
    <row r="67" spans="1:12" x14ac:dyDescent="0.2">
      <c r="B67" s="1" t="s">
        <v>63</v>
      </c>
      <c r="C67" s="1" t="s">
        <v>280</v>
      </c>
      <c r="D67" t="s">
        <v>96</v>
      </c>
      <c r="E67" s="16" t="s">
        <v>73</v>
      </c>
      <c r="F67" s="16">
        <v>2019</v>
      </c>
      <c r="G67" s="9">
        <v>4.24</v>
      </c>
      <c r="H67" s="12">
        <f t="shared" ref="H67:H69" si="6">(1-0.25)*G67</f>
        <v>3.18</v>
      </c>
      <c r="I67" s="12">
        <f t="shared" ref="I67:I69" si="7">(1+0.25)*G67</f>
        <v>5.3000000000000007</v>
      </c>
      <c r="J67" s="16" t="s">
        <v>4</v>
      </c>
      <c r="K67" s="35" t="s">
        <v>49</v>
      </c>
      <c r="L67" s="35"/>
    </row>
    <row r="68" spans="1:12" x14ac:dyDescent="0.2">
      <c r="B68" s="1" t="s">
        <v>63</v>
      </c>
      <c r="C68" s="1" t="s">
        <v>281</v>
      </c>
      <c r="D68" t="s">
        <v>97</v>
      </c>
      <c r="E68" s="16" t="s">
        <v>73</v>
      </c>
      <c r="F68" s="16">
        <v>2019</v>
      </c>
      <c r="G68" s="9">
        <v>20.95</v>
      </c>
      <c r="H68" s="12">
        <f t="shared" si="6"/>
        <v>15.712499999999999</v>
      </c>
      <c r="I68" s="12">
        <f t="shared" si="7"/>
        <v>26.1875</v>
      </c>
      <c r="J68" s="16" t="s">
        <v>4</v>
      </c>
      <c r="K68" s="35" t="s">
        <v>49</v>
      </c>
      <c r="L68" s="35"/>
    </row>
    <row r="69" spans="1:12" x14ac:dyDescent="0.2">
      <c r="B69" s="1" t="s">
        <v>63</v>
      </c>
      <c r="C69" s="1" t="s">
        <v>282</v>
      </c>
      <c r="D69" s="30" t="s">
        <v>98</v>
      </c>
      <c r="E69" s="16" t="s">
        <v>73</v>
      </c>
      <c r="F69" s="16">
        <v>2019</v>
      </c>
      <c r="G69" s="9">
        <v>89.33</v>
      </c>
      <c r="H69" s="12">
        <f t="shared" si="6"/>
        <v>66.997500000000002</v>
      </c>
      <c r="I69" s="12">
        <f t="shared" si="7"/>
        <v>111.66249999999999</v>
      </c>
      <c r="J69" s="16" t="s">
        <v>4</v>
      </c>
      <c r="K69" s="35" t="s">
        <v>49</v>
      </c>
      <c r="L69" s="35"/>
    </row>
    <row r="70" spans="1:12" s="22" customFormat="1" x14ac:dyDescent="0.2">
      <c r="A70" s="1"/>
      <c r="B70" s="22" t="s">
        <v>63</v>
      </c>
      <c r="D70" s="42" t="s">
        <v>290</v>
      </c>
      <c r="E70" s="26"/>
      <c r="F70" s="26"/>
      <c r="G70" s="43"/>
      <c r="H70" s="43"/>
      <c r="I70" s="43"/>
      <c r="J70" s="26"/>
      <c r="K70" s="44"/>
      <c r="L70" s="44"/>
    </row>
    <row r="71" spans="1:12" x14ac:dyDescent="0.2">
      <c r="B71" s="1" t="s">
        <v>63</v>
      </c>
      <c r="C71" s="1" t="s">
        <v>267</v>
      </c>
      <c r="D71" s="1" t="s">
        <v>106</v>
      </c>
      <c r="E71" s="16" t="s">
        <v>41</v>
      </c>
      <c r="F71" s="16">
        <v>2019</v>
      </c>
      <c r="G71" s="11">
        <v>20852</v>
      </c>
      <c r="H71" s="13">
        <f t="shared" ref="H71" si="8">(1-0.25)*G71</f>
        <v>15639</v>
      </c>
      <c r="I71" s="13">
        <f t="shared" ref="I71" si="9">(1+0.25)*G71</f>
        <v>26065</v>
      </c>
      <c r="J71" s="16" t="s">
        <v>4</v>
      </c>
      <c r="K71" s="35" t="s">
        <v>49</v>
      </c>
      <c r="L71" s="35"/>
    </row>
    <row r="72" spans="1:12" x14ac:dyDescent="0.2">
      <c r="B72" s="1" t="s">
        <v>63</v>
      </c>
      <c r="C72" s="1" t="s">
        <v>271</v>
      </c>
      <c r="D72" s="1" t="s">
        <v>104</v>
      </c>
      <c r="E72" s="16" t="s">
        <v>41</v>
      </c>
      <c r="F72" s="16" t="s">
        <v>41</v>
      </c>
      <c r="G72" s="11">
        <v>3</v>
      </c>
      <c r="H72" s="19" t="s">
        <v>41</v>
      </c>
      <c r="I72" s="19" t="s">
        <v>41</v>
      </c>
      <c r="J72" s="16" t="s">
        <v>41</v>
      </c>
      <c r="K72" s="35" t="s">
        <v>13</v>
      </c>
      <c r="L72" s="35" t="s">
        <v>105</v>
      </c>
    </row>
    <row r="73" spans="1:12" x14ac:dyDescent="0.2">
      <c r="B73" s="1" t="s">
        <v>63</v>
      </c>
      <c r="C73" s="1" t="s">
        <v>274</v>
      </c>
      <c r="D73" s="1" t="s">
        <v>117</v>
      </c>
      <c r="E73" s="16" t="s">
        <v>41</v>
      </c>
      <c r="F73" s="16" t="s">
        <v>41</v>
      </c>
      <c r="G73" s="9">
        <v>0.755</v>
      </c>
      <c r="H73" s="12">
        <f>(1-0.25)*G73</f>
        <v>0.56625000000000003</v>
      </c>
      <c r="I73" s="12">
        <f>(1+0.25)*G73</f>
        <v>0.94374999999999998</v>
      </c>
      <c r="J73" s="16" t="s">
        <v>2</v>
      </c>
      <c r="K73" s="35" t="s">
        <v>99</v>
      </c>
      <c r="L73" s="35"/>
    </row>
    <row r="74" spans="1:12" x14ac:dyDescent="0.2">
      <c r="B74" s="1" t="s">
        <v>63</v>
      </c>
      <c r="C74" s="1" t="s">
        <v>283</v>
      </c>
      <c r="D74" s="1" t="s">
        <v>107</v>
      </c>
      <c r="E74" s="16" t="s">
        <v>73</v>
      </c>
      <c r="F74" s="16">
        <v>2019</v>
      </c>
      <c r="G74" s="12">
        <v>16.28</v>
      </c>
      <c r="H74" s="12">
        <f t="shared" ref="H74:H77" si="10">(1-0.25)*G74</f>
        <v>12.21</v>
      </c>
      <c r="I74" s="12">
        <f t="shared" ref="I74:I77" si="11">(1+0.25)*G74</f>
        <v>20.350000000000001</v>
      </c>
      <c r="J74" s="16" t="s">
        <v>4</v>
      </c>
      <c r="K74" s="35" t="s">
        <v>49</v>
      </c>
      <c r="L74" s="35" t="s">
        <v>112</v>
      </c>
    </row>
    <row r="75" spans="1:12" x14ac:dyDescent="0.2">
      <c r="B75" s="1" t="s">
        <v>63</v>
      </c>
      <c r="C75" s="1" t="s">
        <v>284</v>
      </c>
      <c r="D75" s="1" t="s">
        <v>108</v>
      </c>
      <c r="E75" s="16" t="s">
        <v>73</v>
      </c>
      <c r="F75" s="16">
        <v>2019</v>
      </c>
      <c r="G75" s="12">
        <v>16.100000000000001</v>
      </c>
      <c r="H75" s="12">
        <f t="shared" si="10"/>
        <v>12.075000000000001</v>
      </c>
      <c r="I75" s="12">
        <f t="shared" si="11"/>
        <v>20.125</v>
      </c>
      <c r="J75" s="16" t="s">
        <v>4</v>
      </c>
      <c r="K75" s="35" t="s">
        <v>49</v>
      </c>
      <c r="L75" s="35" t="s">
        <v>113</v>
      </c>
    </row>
    <row r="76" spans="1:12" x14ac:dyDescent="0.2">
      <c r="B76" s="1" t="s">
        <v>63</v>
      </c>
      <c r="C76" s="1" t="s">
        <v>285</v>
      </c>
      <c r="D76" s="1" t="s">
        <v>109</v>
      </c>
      <c r="E76" s="16" t="s">
        <v>73</v>
      </c>
      <c r="F76" s="16">
        <v>2019</v>
      </c>
      <c r="G76" s="12">
        <v>1.06</v>
      </c>
      <c r="H76" s="12">
        <f t="shared" si="10"/>
        <v>0.79500000000000004</v>
      </c>
      <c r="I76" s="12">
        <f t="shared" si="11"/>
        <v>1.3250000000000002</v>
      </c>
      <c r="J76" s="16" t="s">
        <v>4</v>
      </c>
      <c r="K76" s="35" t="s">
        <v>49</v>
      </c>
      <c r="L76" s="35" t="s">
        <v>111</v>
      </c>
    </row>
    <row r="77" spans="1:12" x14ac:dyDescent="0.2">
      <c r="B77" s="1" t="s">
        <v>63</v>
      </c>
      <c r="C77" s="1" t="s">
        <v>286</v>
      </c>
      <c r="D77" s="1" t="s">
        <v>110</v>
      </c>
      <c r="E77" s="16" t="s">
        <v>73</v>
      </c>
      <c r="F77" s="16">
        <v>2019</v>
      </c>
      <c r="G77" s="12">
        <v>9.16</v>
      </c>
      <c r="H77" s="12">
        <f t="shared" si="10"/>
        <v>6.87</v>
      </c>
      <c r="I77" s="12">
        <f t="shared" si="11"/>
        <v>11.45</v>
      </c>
      <c r="J77" s="16" t="s">
        <v>4</v>
      </c>
      <c r="K77" s="35" t="s">
        <v>49</v>
      </c>
      <c r="L77" s="35" t="s">
        <v>111</v>
      </c>
    </row>
    <row r="78" spans="1:12" s="22" customFormat="1" x14ac:dyDescent="0.2">
      <c r="A78" s="1"/>
      <c r="B78" s="22" t="s">
        <v>63</v>
      </c>
      <c r="D78" s="42" t="s">
        <v>118</v>
      </c>
      <c r="E78" s="26"/>
      <c r="F78" s="26"/>
      <c r="G78" s="43"/>
      <c r="H78" s="43"/>
      <c r="I78" s="43"/>
      <c r="J78" s="26"/>
      <c r="K78" s="44"/>
      <c r="L78" s="44"/>
    </row>
    <row r="79" spans="1:12" x14ac:dyDescent="0.2">
      <c r="B79" s="1" t="s">
        <v>63</v>
      </c>
      <c r="C79" s="1" t="s">
        <v>269</v>
      </c>
      <c r="D79" s="1" t="s">
        <v>120</v>
      </c>
      <c r="E79" s="16" t="s">
        <v>41</v>
      </c>
      <c r="F79" s="16">
        <v>2019</v>
      </c>
      <c r="G79" s="11">
        <v>20192</v>
      </c>
      <c r="H79" s="13">
        <f t="shared" ref="H79" si="12">(1-0.25)*G79</f>
        <v>15144</v>
      </c>
      <c r="I79" s="13">
        <f t="shared" ref="I79" si="13">(1+0.25)*G79</f>
        <v>25240</v>
      </c>
      <c r="J79" s="16" t="s">
        <v>4</v>
      </c>
      <c r="K79" s="35" t="s">
        <v>49</v>
      </c>
      <c r="L79" s="35"/>
    </row>
    <row r="80" spans="1:12" x14ac:dyDescent="0.2">
      <c r="B80" s="1" t="s">
        <v>63</v>
      </c>
      <c r="C80" s="1" t="s">
        <v>272</v>
      </c>
      <c r="D80" s="1" t="s">
        <v>121</v>
      </c>
      <c r="E80" s="16" t="s">
        <v>41</v>
      </c>
      <c r="F80" s="16" t="s">
        <v>41</v>
      </c>
      <c r="G80" s="11">
        <v>3</v>
      </c>
      <c r="H80" s="19" t="s">
        <v>41</v>
      </c>
      <c r="I80" s="19" t="s">
        <v>41</v>
      </c>
      <c r="J80" s="16" t="s">
        <v>41</v>
      </c>
      <c r="K80" s="35" t="s">
        <v>13</v>
      </c>
      <c r="L80" s="35" t="s">
        <v>119</v>
      </c>
    </row>
    <row r="81" spans="1:12" x14ac:dyDescent="0.2">
      <c r="B81" s="1" t="s">
        <v>63</v>
      </c>
      <c r="C81" s="1" t="s">
        <v>275</v>
      </c>
      <c r="D81" s="1" t="s">
        <v>127</v>
      </c>
      <c r="E81" s="16" t="s">
        <v>41</v>
      </c>
      <c r="F81" s="16" t="s">
        <v>41</v>
      </c>
      <c r="G81" s="9">
        <v>0.40400000000000003</v>
      </c>
      <c r="H81" s="12">
        <f>(1-0.25)*G81</f>
        <v>0.30300000000000005</v>
      </c>
      <c r="I81" s="12">
        <f>(1+0.25)*G81</f>
        <v>0.505</v>
      </c>
      <c r="J81" s="16" t="s">
        <v>2</v>
      </c>
      <c r="K81" s="35" t="s">
        <v>99</v>
      </c>
      <c r="L81" s="35"/>
    </row>
    <row r="82" spans="1:12" x14ac:dyDescent="0.2">
      <c r="B82" s="1" t="s">
        <v>63</v>
      </c>
      <c r="C82" s="1" t="s">
        <v>287</v>
      </c>
      <c r="D82" s="1" t="s">
        <v>122</v>
      </c>
      <c r="E82" s="16" t="s">
        <v>73</v>
      </c>
      <c r="F82" s="16">
        <v>2019</v>
      </c>
      <c r="G82" s="9">
        <v>244.78</v>
      </c>
      <c r="H82" s="12">
        <f t="shared" ref="H82:H84" si="14">(1-0.25)*G82</f>
        <v>183.58500000000001</v>
      </c>
      <c r="I82" s="12">
        <f t="shared" ref="I82:I84" si="15">(1+0.25)*G82</f>
        <v>305.97500000000002</v>
      </c>
      <c r="J82" s="16" t="s">
        <v>4</v>
      </c>
      <c r="K82" s="35" t="s">
        <v>49</v>
      </c>
      <c r="L82" s="35"/>
    </row>
    <row r="83" spans="1:12" x14ac:dyDescent="0.2">
      <c r="B83" s="1" t="s">
        <v>63</v>
      </c>
      <c r="C83" s="1" t="s">
        <v>288</v>
      </c>
      <c r="D83" s="1" t="s">
        <v>123</v>
      </c>
      <c r="E83" s="16" t="s">
        <v>73</v>
      </c>
      <c r="F83" s="16">
        <v>2019</v>
      </c>
      <c r="G83" s="9">
        <v>109.86</v>
      </c>
      <c r="H83" s="12">
        <f t="shared" si="14"/>
        <v>82.394999999999996</v>
      </c>
      <c r="I83" s="12">
        <f t="shared" si="15"/>
        <v>137.32499999999999</v>
      </c>
      <c r="J83" s="16" t="s">
        <v>4</v>
      </c>
      <c r="K83" s="35" t="s">
        <v>49</v>
      </c>
    </row>
    <row r="84" spans="1:12" x14ac:dyDescent="0.2">
      <c r="B84" s="1" t="s">
        <v>63</v>
      </c>
      <c r="C84" s="1" t="s">
        <v>289</v>
      </c>
      <c r="D84" s="1" t="s">
        <v>124</v>
      </c>
      <c r="E84" s="16" t="s">
        <v>73</v>
      </c>
      <c r="F84" s="16">
        <v>2019</v>
      </c>
      <c r="G84" s="9">
        <v>0.87</v>
      </c>
      <c r="H84" s="12">
        <f t="shared" si="14"/>
        <v>0.65249999999999997</v>
      </c>
      <c r="I84" s="12">
        <f t="shared" si="15"/>
        <v>1.0874999999999999</v>
      </c>
      <c r="J84" s="16" t="s">
        <v>4</v>
      </c>
      <c r="K84" s="35" t="s">
        <v>49</v>
      </c>
      <c r="L84" s="35"/>
    </row>
    <row r="85" spans="1:12" s="22" customFormat="1" x14ac:dyDescent="0.2">
      <c r="A85" s="1"/>
      <c r="B85" s="22" t="s">
        <v>63</v>
      </c>
      <c r="D85" s="23" t="s">
        <v>84</v>
      </c>
      <c r="E85" s="29"/>
      <c r="F85" s="29"/>
      <c r="G85" s="24"/>
      <c r="H85" s="24"/>
      <c r="I85" s="24"/>
      <c r="J85" s="26"/>
    </row>
    <row r="86" spans="1:12" x14ac:dyDescent="0.2">
      <c r="B86" s="1" t="s">
        <v>63</v>
      </c>
      <c r="C86" s="1" t="s">
        <v>160</v>
      </c>
      <c r="D86" s="1" t="s">
        <v>60</v>
      </c>
      <c r="E86" s="16" t="s">
        <v>41</v>
      </c>
      <c r="F86" s="16" t="s">
        <v>41</v>
      </c>
      <c r="G86" s="16">
        <v>20.6</v>
      </c>
      <c r="H86" s="16">
        <v>11.8</v>
      </c>
      <c r="I86" s="16">
        <v>26.6</v>
      </c>
      <c r="J86" s="17" t="s">
        <v>4</v>
      </c>
      <c r="K86" s="3" t="s">
        <v>61</v>
      </c>
      <c r="L86" s="1" t="s">
        <v>461</v>
      </c>
    </row>
    <row r="87" spans="1:12" x14ac:dyDescent="0.2">
      <c r="B87" s="1" t="s">
        <v>63</v>
      </c>
      <c r="C87" s="1" t="s">
        <v>161</v>
      </c>
      <c r="D87" s="1" t="s">
        <v>128</v>
      </c>
      <c r="E87" s="16" t="s">
        <v>41</v>
      </c>
      <c r="F87" s="16" t="s">
        <v>41</v>
      </c>
      <c r="G87" s="16">
        <v>6.24</v>
      </c>
      <c r="H87" s="16">
        <v>0</v>
      </c>
      <c r="I87" s="16">
        <v>21</v>
      </c>
      <c r="J87" s="16" t="s">
        <v>4</v>
      </c>
      <c r="K87" s="35" t="s">
        <v>50</v>
      </c>
      <c r="L87" s="1" t="s">
        <v>462</v>
      </c>
    </row>
    <row r="88" spans="1:12" x14ac:dyDescent="0.2">
      <c r="B88" s="1" t="s">
        <v>63</v>
      </c>
      <c r="C88" s="1" t="s">
        <v>162</v>
      </c>
      <c r="D88" s="1" t="s">
        <v>129</v>
      </c>
      <c r="E88" s="16" t="s">
        <v>41</v>
      </c>
      <c r="F88" s="16" t="s">
        <v>41</v>
      </c>
      <c r="G88" s="16">
        <v>0.89</v>
      </c>
      <c r="H88" s="16">
        <v>0.77800000000000002</v>
      </c>
      <c r="I88" s="16">
        <v>1</v>
      </c>
      <c r="J88" s="16" t="s">
        <v>62</v>
      </c>
      <c r="K88" s="35" t="s">
        <v>50</v>
      </c>
      <c r="L88" s="1" t="s">
        <v>462</v>
      </c>
    </row>
    <row r="89" spans="1:12" s="14" customFormat="1" x14ac:dyDescent="0.2">
      <c r="A89" s="1"/>
      <c r="B89" s="14" t="s">
        <v>63</v>
      </c>
      <c r="C89" s="14" t="s">
        <v>163</v>
      </c>
      <c r="D89" s="14" t="s">
        <v>132</v>
      </c>
      <c r="E89" s="20" t="s">
        <v>41</v>
      </c>
      <c r="F89" s="20" t="s">
        <v>41</v>
      </c>
      <c r="G89" s="20">
        <v>0.87</v>
      </c>
      <c r="H89" s="20">
        <v>0.78400000000000003</v>
      </c>
      <c r="I89" s="20">
        <v>0.94699999999999995</v>
      </c>
      <c r="J89" s="20" t="s">
        <v>62</v>
      </c>
      <c r="K89" s="15" t="s">
        <v>50</v>
      </c>
      <c r="L89" s="14" t="s">
        <v>462</v>
      </c>
    </row>
    <row r="90" spans="1:12" x14ac:dyDescent="0.2">
      <c r="B90" s="1" t="s">
        <v>63</v>
      </c>
      <c r="C90" s="1" t="s">
        <v>255</v>
      </c>
      <c r="D90" s="1" t="s">
        <v>631</v>
      </c>
      <c r="E90" s="16" t="s">
        <v>73</v>
      </c>
      <c r="F90" s="16">
        <v>2024</v>
      </c>
      <c r="G90" s="11">
        <v>55247.45</v>
      </c>
      <c r="H90" s="16" t="s">
        <v>41</v>
      </c>
      <c r="I90" s="16" t="s">
        <v>41</v>
      </c>
      <c r="J90" s="16" t="s">
        <v>41</v>
      </c>
      <c r="K90" s="2" t="s">
        <v>256</v>
      </c>
      <c r="L90" s="4"/>
    </row>
    <row r="91" spans="1:12" x14ac:dyDescent="0.2">
      <c r="B91" s="1" t="s">
        <v>63</v>
      </c>
      <c r="C91" s="1" t="s">
        <v>179</v>
      </c>
      <c r="D91" s="1" t="s">
        <v>145</v>
      </c>
      <c r="E91" s="16" t="s">
        <v>73</v>
      </c>
      <c r="F91" s="16">
        <v>2024</v>
      </c>
      <c r="G91" s="11">
        <v>3057</v>
      </c>
      <c r="H91" s="11" t="s">
        <v>41</v>
      </c>
      <c r="I91" s="11" t="s">
        <v>41</v>
      </c>
      <c r="J91" s="16" t="s">
        <v>41</v>
      </c>
      <c r="K91" s="38" t="s">
        <v>340</v>
      </c>
    </row>
    <row r="92" spans="1:12" x14ac:dyDescent="0.2">
      <c r="B92" s="1" t="s">
        <v>63</v>
      </c>
      <c r="C92" s="1" t="s">
        <v>143</v>
      </c>
      <c r="D92" s="1" t="s">
        <v>144</v>
      </c>
      <c r="E92" s="16" t="s">
        <v>41</v>
      </c>
      <c r="F92" s="16">
        <v>2024</v>
      </c>
      <c r="G92" s="9">
        <v>0.2</v>
      </c>
      <c r="H92" s="16" t="s">
        <v>41</v>
      </c>
      <c r="I92" s="16" t="s">
        <v>41</v>
      </c>
      <c r="J92" s="16" t="s">
        <v>41</v>
      </c>
      <c r="K92" s="38" t="s">
        <v>146</v>
      </c>
    </row>
    <row r="93" spans="1:12" x14ac:dyDescent="0.2">
      <c r="B93" s="1" t="s">
        <v>63</v>
      </c>
      <c r="C93" s="1" t="s">
        <v>180</v>
      </c>
      <c r="D93" s="1" t="s">
        <v>137</v>
      </c>
      <c r="E93" s="16" t="s">
        <v>41</v>
      </c>
      <c r="F93" s="16" t="s">
        <v>41</v>
      </c>
      <c r="G93" s="16">
        <v>0.2</v>
      </c>
      <c r="H93" s="16" t="s">
        <v>41</v>
      </c>
      <c r="I93" s="16" t="s">
        <v>41</v>
      </c>
      <c r="J93" s="16" t="s">
        <v>41</v>
      </c>
      <c r="K93" s="38" t="s">
        <v>136</v>
      </c>
    </row>
    <row r="94" spans="1:12" s="14" customFormat="1" x14ac:dyDescent="0.2">
      <c r="A94" s="1"/>
      <c r="B94" s="14" t="s">
        <v>63</v>
      </c>
      <c r="C94" s="14" t="s">
        <v>181</v>
      </c>
      <c r="D94" s="39" t="s">
        <v>138</v>
      </c>
      <c r="E94" s="20" t="s">
        <v>73</v>
      </c>
      <c r="F94" s="20">
        <v>2024</v>
      </c>
      <c r="G94" s="40">
        <v>16754.34</v>
      </c>
      <c r="H94" s="20" t="s">
        <v>41</v>
      </c>
      <c r="I94" s="20" t="s">
        <v>41</v>
      </c>
      <c r="J94" s="20" t="s">
        <v>41</v>
      </c>
      <c r="K94" s="37" t="s">
        <v>339</v>
      </c>
      <c r="L94" s="37"/>
    </row>
    <row r="95" spans="1:12" x14ac:dyDescent="0.2">
      <c r="B95" s="1" t="s">
        <v>63</v>
      </c>
      <c r="C95" s="1" t="s">
        <v>166</v>
      </c>
      <c r="D95" s="1" t="s">
        <v>130</v>
      </c>
      <c r="E95" s="16" t="s">
        <v>41</v>
      </c>
      <c r="F95" s="16" t="s">
        <v>41</v>
      </c>
      <c r="G95" s="16">
        <v>4.82</v>
      </c>
      <c r="H95" s="16">
        <v>2.08</v>
      </c>
      <c r="I95" s="16">
        <v>7.56</v>
      </c>
      <c r="J95" s="16" t="s">
        <v>4</v>
      </c>
      <c r="K95" s="35" t="s">
        <v>50</v>
      </c>
      <c r="L95" s="1" t="s">
        <v>460</v>
      </c>
    </row>
    <row r="96" spans="1:12" x14ac:dyDescent="0.2">
      <c r="B96" s="1" t="s">
        <v>63</v>
      </c>
      <c r="C96" s="1" t="s">
        <v>167</v>
      </c>
      <c r="D96" s="1" t="s">
        <v>131</v>
      </c>
      <c r="E96" s="16" t="s">
        <v>41</v>
      </c>
      <c r="F96" s="16" t="s">
        <v>41</v>
      </c>
      <c r="G96" s="16">
        <v>0.18</v>
      </c>
      <c r="H96" s="16">
        <v>0.16900000000000001</v>
      </c>
      <c r="I96" s="16">
        <v>0.193</v>
      </c>
      <c r="J96" s="16" t="s">
        <v>62</v>
      </c>
      <c r="K96" s="35" t="s">
        <v>50</v>
      </c>
      <c r="L96" s="1" t="s">
        <v>459</v>
      </c>
    </row>
    <row r="97" spans="1:12" x14ac:dyDescent="0.2">
      <c r="B97" s="1" t="s">
        <v>63</v>
      </c>
      <c r="C97" s="1" t="s">
        <v>168</v>
      </c>
      <c r="D97" s="1" t="s">
        <v>133</v>
      </c>
      <c r="E97" s="16" t="s">
        <v>41</v>
      </c>
      <c r="F97" s="16" t="s">
        <v>41</v>
      </c>
      <c r="G97" s="16">
        <v>11.4</v>
      </c>
      <c r="H97" s="16">
        <v>9.1300000000000008</v>
      </c>
      <c r="I97" s="16">
        <v>13.71</v>
      </c>
      <c r="J97" s="16" t="s">
        <v>4</v>
      </c>
      <c r="K97" s="3" t="s">
        <v>50</v>
      </c>
      <c r="L97" s="1" t="s">
        <v>458</v>
      </c>
    </row>
    <row r="98" spans="1:12" s="14" customFormat="1" x14ac:dyDescent="0.2">
      <c r="A98" s="1"/>
      <c r="B98" s="14" t="s">
        <v>63</v>
      </c>
      <c r="C98" s="14" t="s">
        <v>169</v>
      </c>
      <c r="D98" s="14" t="s">
        <v>134</v>
      </c>
      <c r="E98" s="20" t="s">
        <v>41</v>
      </c>
      <c r="F98" s="20" t="s">
        <v>41</v>
      </c>
      <c r="G98" s="20">
        <v>0.34</v>
      </c>
      <c r="H98" s="20">
        <v>0.29799999999999999</v>
      </c>
      <c r="I98" s="20">
        <v>0.375</v>
      </c>
      <c r="J98" s="20" t="s">
        <v>62</v>
      </c>
      <c r="K98" s="15" t="s">
        <v>50</v>
      </c>
      <c r="L98" s="14" t="s">
        <v>458</v>
      </c>
    </row>
    <row r="99" spans="1:12" x14ac:dyDescent="0.2">
      <c r="B99" s="1" t="s">
        <v>63</v>
      </c>
      <c r="C99" s="1" t="s">
        <v>42</v>
      </c>
      <c r="D99" s="1" t="s">
        <v>182</v>
      </c>
      <c r="E99" s="16" t="s">
        <v>73</v>
      </c>
      <c r="F99" s="16">
        <v>2024</v>
      </c>
      <c r="G99" s="9">
        <v>0</v>
      </c>
      <c r="H99" s="19" t="s">
        <v>41</v>
      </c>
      <c r="I99" s="19" t="s">
        <v>41</v>
      </c>
      <c r="J99" s="19" t="s">
        <v>41</v>
      </c>
      <c r="K99" s="85" t="s">
        <v>43</v>
      </c>
    </row>
    <row r="100" spans="1:12" x14ac:dyDescent="0.2">
      <c r="B100" s="1" t="s">
        <v>63</v>
      </c>
      <c r="C100" s="1" t="s">
        <v>45</v>
      </c>
      <c r="D100" s="1" t="s">
        <v>44</v>
      </c>
      <c r="E100" s="16" t="s">
        <v>73</v>
      </c>
      <c r="F100" s="16">
        <v>2024</v>
      </c>
      <c r="G100" s="9">
        <v>0</v>
      </c>
      <c r="H100" s="19" t="s">
        <v>41</v>
      </c>
      <c r="I100" s="19" t="s">
        <v>41</v>
      </c>
      <c r="J100" s="19" t="s">
        <v>41</v>
      </c>
      <c r="K100" s="85" t="s">
        <v>43</v>
      </c>
    </row>
    <row r="101" spans="1:12" x14ac:dyDescent="0.2">
      <c r="B101" s="1" t="s">
        <v>63</v>
      </c>
      <c r="C101" s="1" t="s">
        <v>47</v>
      </c>
      <c r="D101" s="1" t="s">
        <v>29</v>
      </c>
      <c r="E101" s="16" t="s">
        <v>73</v>
      </c>
      <c r="F101" s="16">
        <v>2024</v>
      </c>
      <c r="G101" s="9">
        <v>0</v>
      </c>
      <c r="H101" s="19" t="s">
        <v>41</v>
      </c>
      <c r="I101" s="19" t="s">
        <v>41</v>
      </c>
      <c r="J101" s="19" t="s">
        <v>41</v>
      </c>
      <c r="K101" s="85" t="s">
        <v>43</v>
      </c>
    </row>
    <row r="102" spans="1:12" s="89" customFormat="1" x14ac:dyDescent="0.2">
      <c r="B102" s="89" t="s">
        <v>63</v>
      </c>
      <c r="C102" s="89" t="s">
        <v>51</v>
      </c>
      <c r="D102" s="89" t="s">
        <v>33</v>
      </c>
      <c r="E102" s="16" t="s">
        <v>73</v>
      </c>
      <c r="F102" s="16">
        <v>2024</v>
      </c>
      <c r="G102" s="9">
        <v>0</v>
      </c>
      <c r="H102" s="19" t="s">
        <v>41</v>
      </c>
      <c r="I102" s="19" t="s">
        <v>41</v>
      </c>
      <c r="J102" s="18" t="s">
        <v>41</v>
      </c>
      <c r="K102" s="85" t="s">
        <v>43</v>
      </c>
      <c r="L102" s="89" t="s">
        <v>198</v>
      </c>
    </row>
    <row r="103" spans="1:12" s="49" customFormat="1" x14ac:dyDescent="0.2">
      <c r="A103" s="1"/>
      <c r="D103" s="45" t="s">
        <v>89</v>
      </c>
      <c r="E103" s="56"/>
      <c r="F103" s="56"/>
      <c r="G103" s="57"/>
      <c r="H103" s="57"/>
      <c r="I103" s="57"/>
      <c r="J103" s="50"/>
    </row>
    <row r="104" spans="1:12" x14ac:dyDescent="0.2">
      <c r="B104" s="1" t="s">
        <v>351</v>
      </c>
      <c r="C104" s="1" t="s">
        <v>600</v>
      </c>
      <c r="D104" s="1" t="s">
        <v>599</v>
      </c>
      <c r="E104" s="16" t="s">
        <v>41</v>
      </c>
      <c r="F104" s="16">
        <v>2010</v>
      </c>
      <c r="G104" s="18">
        <f>1.76</f>
        <v>1.76</v>
      </c>
      <c r="H104" s="16" t="s">
        <v>41</v>
      </c>
      <c r="I104" s="16" t="s">
        <v>41</v>
      </c>
      <c r="J104" s="16" t="s">
        <v>41</v>
      </c>
      <c r="K104" s="35" t="s">
        <v>349</v>
      </c>
      <c r="L104" s="90"/>
    </row>
    <row r="105" spans="1:12" x14ac:dyDescent="0.2">
      <c r="B105" s="1" t="s">
        <v>351</v>
      </c>
      <c r="C105" s="1" t="s">
        <v>3613</v>
      </c>
      <c r="D105" s="1" t="s">
        <v>3612</v>
      </c>
      <c r="E105" s="16" t="s">
        <v>41</v>
      </c>
      <c r="F105" s="16">
        <v>2025</v>
      </c>
      <c r="G105" s="209">
        <f>spot_fx_rate!$B$32</f>
        <v>5.5891000000000002</v>
      </c>
      <c r="H105" s="16" t="s">
        <v>41</v>
      </c>
      <c r="I105" s="16" t="s">
        <v>41</v>
      </c>
      <c r="J105" s="16" t="s">
        <v>41</v>
      </c>
      <c r="K105" s="35" t="s">
        <v>349</v>
      </c>
      <c r="L105" s="90"/>
    </row>
    <row r="106" spans="1:12" x14ac:dyDescent="0.2">
      <c r="B106" s="1" t="s">
        <v>352</v>
      </c>
      <c r="C106" s="1" t="s">
        <v>296</v>
      </c>
      <c r="D106" s="1" t="s">
        <v>293</v>
      </c>
      <c r="E106" s="16" t="s">
        <v>41</v>
      </c>
      <c r="F106" s="16">
        <v>2010</v>
      </c>
      <c r="G106" s="9">
        <f>cpi!D19</f>
        <v>5.91E-2</v>
      </c>
      <c r="H106" s="16" t="s">
        <v>41</v>
      </c>
      <c r="I106" s="16" t="s">
        <v>41</v>
      </c>
      <c r="J106" s="16" t="s">
        <v>41</v>
      </c>
      <c r="K106" s="35" t="s">
        <v>3608</v>
      </c>
      <c r="L106" s="90"/>
    </row>
    <row r="107" spans="1:12" x14ac:dyDescent="0.2">
      <c r="B107" s="1" t="s">
        <v>352</v>
      </c>
      <c r="C107" s="1" t="s">
        <v>300</v>
      </c>
      <c r="D107" s="1" t="s">
        <v>301</v>
      </c>
      <c r="E107" s="16" t="s">
        <v>41</v>
      </c>
      <c r="F107" s="16">
        <v>2016</v>
      </c>
      <c r="G107" s="9">
        <f>cpi!D25</f>
        <v>0.4753</v>
      </c>
      <c r="H107" s="16" t="s">
        <v>41</v>
      </c>
      <c r="I107" s="16" t="s">
        <v>41</v>
      </c>
      <c r="J107" s="16" t="s">
        <v>41</v>
      </c>
      <c r="K107" s="35" t="s">
        <v>3608</v>
      </c>
      <c r="L107" s="90"/>
    </row>
    <row r="108" spans="1:12" x14ac:dyDescent="0.2">
      <c r="B108" s="1" t="s">
        <v>352</v>
      </c>
      <c r="C108" s="1" t="s">
        <v>297</v>
      </c>
      <c r="D108" s="1" t="s">
        <v>294</v>
      </c>
      <c r="E108" s="16" t="s">
        <v>41</v>
      </c>
      <c r="F108" s="16">
        <v>2017</v>
      </c>
      <c r="G108" s="9">
        <f>cpi!D26</f>
        <v>0.50480000000000003</v>
      </c>
      <c r="H108" s="16" t="s">
        <v>41</v>
      </c>
      <c r="I108" s="16" t="s">
        <v>41</v>
      </c>
      <c r="J108" s="16" t="s">
        <v>41</v>
      </c>
      <c r="K108" s="35" t="s">
        <v>3608</v>
      </c>
      <c r="L108" s="90"/>
    </row>
    <row r="109" spans="1:12" x14ac:dyDescent="0.2">
      <c r="B109" s="1" t="s">
        <v>352</v>
      </c>
      <c r="C109" s="1" t="s">
        <v>493</v>
      </c>
      <c r="D109" s="1" t="s">
        <v>492</v>
      </c>
      <c r="E109" s="16" t="s">
        <v>41</v>
      </c>
      <c r="F109" s="16">
        <v>2018</v>
      </c>
      <c r="G109" s="9">
        <f>cpi!D27</f>
        <v>0.5423</v>
      </c>
      <c r="H109" s="16" t="s">
        <v>41</v>
      </c>
      <c r="I109" s="16" t="s">
        <v>41</v>
      </c>
      <c r="J109" s="16" t="s">
        <v>41</v>
      </c>
      <c r="K109" s="35" t="s">
        <v>3608</v>
      </c>
      <c r="L109" s="90"/>
    </row>
    <row r="110" spans="1:12" x14ac:dyDescent="0.2">
      <c r="B110" s="1" t="s">
        <v>352</v>
      </c>
      <c r="C110" s="1" t="s">
        <v>298</v>
      </c>
      <c r="D110" s="1" t="s">
        <v>295</v>
      </c>
      <c r="E110" s="16" t="s">
        <v>41</v>
      </c>
      <c r="F110" s="16">
        <v>2019</v>
      </c>
      <c r="G110" s="9">
        <f>cpi!D28</f>
        <v>0.58540000000000003</v>
      </c>
      <c r="H110" s="16" t="s">
        <v>41</v>
      </c>
      <c r="I110" s="16" t="s">
        <v>41</v>
      </c>
      <c r="J110" s="16" t="s">
        <v>41</v>
      </c>
      <c r="K110" s="35" t="s">
        <v>3608</v>
      </c>
      <c r="L110" s="90"/>
    </row>
    <row r="111" spans="1:12" x14ac:dyDescent="0.2">
      <c r="B111" s="1" t="s">
        <v>352</v>
      </c>
      <c r="C111" s="1" t="s">
        <v>471</v>
      </c>
      <c r="D111" s="1" t="s">
        <v>299</v>
      </c>
      <c r="E111" s="16" t="s">
        <v>41</v>
      </c>
      <c r="F111" s="16">
        <v>2024</v>
      </c>
      <c r="G111" s="9">
        <f>cpi!D33</f>
        <v>0.88360000000000005</v>
      </c>
      <c r="H111" s="16" t="s">
        <v>41</v>
      </c>
      <c r="I111" s="16" t="s">
        <v>41</v>
      </c>
      <c r="J111" s="16" t="s">
        <v>41</v>
      </c>
      <c r="K111" s="35" t="s">
        <v>3608</v>
      </c>
      <c r="L111" s="90"/>
    </row>
    <row r="112" spans="1:12" x14ac:dyDescent="0.2">
      <c r="B112" s="1" t="s">
        <v>352</v>
      </c>
      <c r="C112" s="1" t="s">
        <v>3614</v>
      </c>
      <c r="D112" s="1" t="s">
        <v>519</v>
      </c>
      <c r="E112" s="16" t="s">
        <v>41</v>
      </c>
      <c r="F112" s="16">
        <v>2025</v>
      </c>
      <c r="G112" s="9">
        <f>cpi!D34</f>
        <v>0.92620000000000002</v>
      </c>
      <c r="H112" s="16" t="s">
        <v>41</v>
      </c>
      <c r="I112" s="16" t="s">
        <v>41</v>
      </c>
      <c r="J112" s="16" t="s">
        <v>41</v>
      </c>
      <c r="K112" s="35" t="s">
        <v>3608</v>
      </c>
      <c r="L112" s="90"/>
    </row>
    <row r="113" spans="1:13" s="96" customFormat="1" x14ac:dyDescent="0.2">
      <c r="A113" s="5"/>
      <c r="B113" s="14" t="s">
        <v>353</v>
      </c>
      <c r="C113" s="14" t="s">
        <v>187</v>
      </c>
      <c r="D113" s="14" t="s">
        <v>369</v>
      </c>
      <c r="E113" s="20" t="s">
        <v>41</v>
      </c>
      <c r="F113" s="20" t="s">
        <v>41</v>
      </c>
      <c r="G113" s="40">
        <v>0.05</v>
      </c>
      <c r="H113" s="40">
        <v>0</v>
      </c>
      <c r="I113" s="40">
        <v>0.1</v>
      </c>
      <c r="J113" s="20" t="s">
        <v>2</v>
      </c>
      <c r="K113" s="121" t="s">
        <v>583</v>
      </c>
      <c r="L113" s="96" t="s">
        <v>464</v>
      </c>
    </row>
    <row r="114" spans="1:13" s="49" customFormat="1" x14ac:dyDescent="0.2">
      <c r="A114" s="1"/>
      <c r="D114" s="45" t="s">
        <v>88</v>
      </c>
      <c r="E114" s="56"/>
      <c r="F114" s="56"/>
      <c r="G114" s="57"/>
      <c r="H114" s="57"/>
      <c r="I114" s="57"/>
      <c r="J114" s="50"/>
    </row>
    <row r="115" spans="1:13" x14ac:dyDescent="0.2">
      <c r="B115" s="1" t="s">
        <v>88</v>
      </c>
      <c r="C115" s="1" t="s">
        <v>251</v>
      </c>
      <c r="D115" s="1" t="s">
        <v>87</v>
      </c>
      <c r="E115" s="16" t="s">
        <v>73</v>
      </c>
      <c r="F115" s="16">
        <v>2024</v>
      </c>
      <c r="G115" s="11" t="s">
        <v>255</v>
      </c>
      <c r="H115" s="16" t="s">
        <v>41</v>
      </c>
      <c r="I115" s="16" t="s">
        <v>41</v>
      </c>
      <c r="J115" s="16" t="s">
        <v>41</v>
      </c>
      <c r="K115" s="85" t="s">
        <v>258</v>
      </c>
      <c r="L115" s="5" t="s">
        <v>257</v>
      </c>
      <c r="M115" s="1" t="s">
        <v>259</v>
      </c>
    </row>
    <row r="116" spans="1:13" x14ac:dyDescent="0.2">
      <c r="B116" s="1" t="s">
        <v>88</v>
      </c>
      <c r="C116" s="1" t="s">
        <v>249</v>
      </c>
      <c r="D116" s="1" t="s">
        <v>199</v>
      </c>
      <c r="E116" s="16" t="s">
        <v>41</v>
      </c>
      <c r="F116" s="16">
        <v>2023</v>
      </c>
      <c r="G116" s="6">
        <v>41.4</v>
      </c>
      <c r="H116" s="16" t="s">
        <v>41</v>
      </c>
      <c r="I116" s="16" t="s">
        <v>41</v>
      </c>
      <c r="J116" s="16" t="s">
        <v>41</v>
      </c>
      <c r="K116" s="85" t="s">
        <v>248</v>
      </c>
      <c r="L116" s="5"/>
    </row>
    <row r="117" spans="1:13" s="14" customFormat="1" x14ac:dyDescent="0.2">
      <c r="A117" s="1"/>
      <c r="B117" s="14" t="s">
        <v>88</v>
      </c>
      <c r="C117" s="14" t="s">
        <v>393</v>
      </c>
      <c r="D117" s="14" t="s">
        <v>6</v>
      </c>
      <c r="E117" s="20" t="s">
        <v>41</v>
      </c>
      <c r="F117" s="20" t="s">
        <v>41</v>
      </c>
      <c r="G117" s="129">
        <v>4.1567445021262202E-5</v>
      </c>
      <c r="H117" s="20" t="s">
        <v>41</v>
      </c>
      <c r="I117" s="20" t="s">
        <v>41</v>
      </c>
      <c r="J117" s="20" t="s">
        <v>41</v>
      </c>
      <c r="K117" s="95" t="s">
        <v>248</v>
      </c>
      <c r="L117" s="96"/>
    </row>
    <row r="118" spans="1:13" s="117" customFormat="1" x14ac:dyDescent="0.2">
      <c r="B118" s="1" t="s">
        <v>88</v>
      </c>
      <c r="C118" s="1" t="s">
        <v>392</v>
      </c>
      <c r="D118" s="1" t="s">
        <v>391</v>
      </c>
      <c r="E118" s="16" t="s">
        <v>41</v>
      </c>
      <c r="F118" s="16" t="s">
        <v>41</v>
      </c>
      <c r="G118" s="6" t="s">
        <v>451</v>
      </c>
      <c r="H118" s="16" t="s">
        <v>41</v>
      </c>
      <c r="I118" s="16" t="s">
        <v>41</v>
      </c>
      <c r="J118" s="16" t="s">
        <v>41</v>
      </c>
      <c r="K118" s="1" t="s">
        <v>19</v>
      </c>
      <c r="L118" s="4"/>
    </row>
    <row r="119" spans="1:13" x14ac:dyDescent="0.2">
      <c r="B119" s="1" t="s">
        <v>88</v>
      </c>
      <c r="C119" s="1" t="s">
        <v>473</v>
      </c>
      <c r="D119" s="1" t="s">
        <v>484</v>
      </c>
      <c r="E119" s="16" t="s">
        <v>41</v>
      </c>
      <c r="F119" s="16" t="s">
        <v>41</v>
      </c>
      <c r="G119" s="16" t="s">
        <v>486</v>
      </c>
      <c r="H119" s="16" t="s">
        <v>41</v>
      </c>
      <c r="I119" s="16" t="s">
        <v>41</v>
      </c>
      <c r="J119" s="16" t="s">
        <v>41</v>
      </c>
      <c r="K119" s="35" t="s">
        <v>19</v>
      </c>
      <c r="L119" s="5"/>
      <c r="M119" s="5"/>
    </row>
    <row r="120" spans="1:13" x14ac:dyDescent="0.2">
      <c r="B120" s="1" t="s">
        <v>88</v>
      </c>
      <c r="C120" s="1" t="s">
        <v>474</v>
      </c>
      <c r="D120" s="1" t="s">
        <v>485</v>
      </c>
      <c r="E120" s="16" t="s">
        <v>41</v>
      </c>
      <c r="F120" s="16" t="s">
        <v>41</v>
      </c>
      <c r="G120" s="16" t="s">
        <v>487</v>
      </c>
      <c r="H120" s="16" t="s">
        <v>41</v>
      </c>
      <c r="I120" s="16" t="s">
        <v>41</v>
      </c>
      <c r="J120" s="16" t="s">
        <v>41</v>
      </c>
      <c r="K120" s="35" t="s">
        <v>19</v>
      </c>
      <c r="L120" s="5"/>
      <c r="M120" s="5"/>
    </row>
    <row r="121" spans="1:13" x14ac:dyDescent="0.2">
      <c r="B121" s="1" t="s">
        <v>88</v>
      </c>
      <c r="C121" s="1" t="s">
        <v>397</v>
      </c>
      <c r="D121" s="1" t="s">
        <v>368</v>
      </c>
      <c r="E121" s="16" t="s">
        <v>41</v>
      </c>
      <c r="F121" s="16" t="s">
        <v>41</v>
      </c>
      <c r="G121" s="6" t="s">
        <v>367</v>
      </c>
      <c r="H121" s="6" t="s">
        <v>41</v>
      </c>
      <c r="I121" s="6" t="s">
        <v>41</v>
      </c>
      <c r="J121" s="86" t="s">
        <v>41</v>
      </c>
      <c r="K121" s="4" t="s">
        <v>19</v>
      </c>
      <c r="L121" s="4" t="s">
        <v>361</v>
      </c>
    </row>
    <row r="122" spans="1:13" x14ac:dyDescent="0.2">
      <c r="B122" s="1" t="s">
        <v>88</v>
      </c>
      <c r="C122" s="1" t="s">
        <v>398</v>
      </c>
      <c r="D122" s="1" t="s">
        <v>360</v>
      </c>
      <c r="E122" s="16" t="s">
        <v>41</v>
      </c>
      <c r="F122" s="16" t="s">
        <v>41</v>
      </c>
      <c r="G122" s="6" t="s">
        <v>450</v>
      </c>
      <c r="H122" s="86" t="s">
        <v>41</v>
      </c>
      <c r="I122" s="86" t="s">
        <v>41</v>
      </c>
      <c r="J122" s="86" t="s">
        <v>41</v>
      </c>
      <c r="K122" s="4" t="s">
        <v>19</v>
      </c>
      <c r="L122" s="4"/>
    </row>
    <row r="123" spans="1:13" x14ac:dyDescent="0.2">
      <c r="B123" s="1" t="s">
        <v>88</v>
      </c>
      <c r="C123" s="1" t="s">
        <v>399</v>
      </c>
      <c r="D123" s="1" t="s">
        <v>360</v>
      </c>
      <c r="E123" s="16" t="s">
        <v>41</v>
      </c>
      <c r="F123" s="16" t="s">
        <v>41</v>
      </c>
      <c r="G123" s="6" t="s">
        <v>452</v>
      </c>
      <c r="H123" s="86" t="s">
        <v>41</v>
      </c>
      <c r="I123" s="86" t="s">
        <v>41</v>
      </c>
      <c r="J123" s="86" t="s">
        <v>41</v>
      </c>
      <c r="K123" s="4" t="s">
        <v>19</v>
      </c>
      <c r="L123" s="4"/>
    </row>
    <row r="124" spans="1:13" x14ac:dyDescent="0.2">
      <c r="B124" s="1" t="s">
        <v>88</v>
      </c>
      <c r="C124" s="1" t="s">
        <v>400</v>
      </c>
      <c r="D124" s="1" t="s">
        <v>403</v>
      </c>
      <c r="E124" s="16" t="s">
        <v>41</v>
      </c>
      <c r="F124" s="16" t="s">
        <v>41</v>
      </c>
      <c r="G124" s="16" t="s">
        <v>611</v>
      </c>
      <c r="H124" s="86" t="s">
        <v>41</v>
      </c>
      <c r="I124" s="86" t="s">
        <v>41</v>
      </c>
      <c r="J124" s="86" t="s">
        <v>41</v>
      </c>
      <c r="K124" s="4" t="s">
        <v>19</v>
      </c>
      <c r="L124" s="4"/>
    </row>
    <row r="125" spans="1:13" x14ac:dyDescent="0.2">
      <c r="B125" s="1" t="s">
        <v>88</v>
      </c>
      <c r="C125" s="1" t="s">
        <v>401</v>
      </c>
      <c r="D125" s="1" t="s">
        <v>402</v>
      </c>
      <c r="E125" s="16" t="s">
        <v>41</v>
      </c>
      <c r="F125" s="16" t="s">
        <v>41</v>
      </c>
      <c r="G125" s="16" t="s">
        <v>612</v>
      </c>
      <c r="H125" s="86" t="s">
        <v>41</v>
      </c>
      <c r="I125" s="86" t="s">
        <v>41</v>
      </c>
      <c r="J125" s="86" t="s">
        <v>41</v>
      </c>
      <c r="K125" s="4" t="s">
        <v>19</v>
      </c>
      <c r="L125" s="4"/>
    </row>
    <row r="126" spans="1:13" x14ac:dyDescent="0.2">
      <c r="B126" s="1" t="s">
        <v>88</v>
      </c>
      <c r="C126" s="1" t="s">
        <v>405</v>
      </c>
      <c r="D126" s="1" t="s">
        <v>5</v>
      </c>
      <c r="E126" s="16" t="s">
        <v>41</v>
      </c>
      <c r="F126" s="16" t="s">
        <v>41</v>
      </c>
      <c r="G126" s="125" t="s">
        <v>453</v>
      </c>
      <c r="H126" s="86" t="s">
        <v>41</v>
      </c>
      <c r="I126" s="86" t="s">
        <v>41</v>
      </c>
      <c r="J126" s="86" t="s">
        <v>41</v>
      </c>
      <c r="K126" s="4" t="s">
        <v>19</v>
      </c>
      <c r="L126" s="4"/>
      <c r="M126" s="5"/>
    </row>
    <row r="127" spans="1:13" x14ac:dyDescent="0.2">
      <c r="B127" s="1" t="s">
        <v>88</v>
      </c>
      <c r="C127" s="1" t="s">
        <v>584</v>
      </c>
      <c r="D127" s="1" t="s">
        <v>594</v>
      </c>
      <c r="E127" s="16" t="s">
        <v>41</v>
      </c>
      <c r="F127" s="16" t="s">
        <v>41</v>
      </c>
      <c r="G127" s="6" t="s">
        <v>585</v>
      </c>
      <c r="H127" s="16" t="s">
        <v>41</v>
      </c>
      <c r="I127" s="16" t="s">
        <v>41</v>
      </c>
      <c r="J127" s="16" t="s">
        <v>41</v>
      </c>
      <c r="K127" s="35" t="s">
        <v>19</v>
      </c>
      <c r="L127" s="2"/>
    </row>
    <row r="128" spans="1:13" x14ac:dyDescent="0.2">
      <c r="B128" s="1" t="s">
        <v>88</v>
      </c>
      <c r="C128" s="1" t="s">
        <v>586</v>
      </c>
      <c r="D128" s="1" t="s">
        <v>595</v>
      </c>
      <c r="E128" s="16" t="s">
        <v>41</v>
      </c>
      <c r="F128" s="16" t="s">
        <v>41</v>
      </c>
      <c r="G128" s="6" t="s">
        <v>587</v>
      </c>
      <c r="H128" s="16" t="s">
        <v>41</v>
      </c>
      <c r="I128" s="16" t="s">
        <v>41</v>
      </c>
      <c r="J128" s="16" t="s">
        <v>41</v>
      </c>
      <c r="K128" s="35" t="s">
        <v>19</v>
      </c>
      <c r="L128" s="2"/>
    </row>
    <row r="129" spans="1:12" x14ac:dyDescent="0.2">
      <c r="B129" s="1" t="s">
        <v>88</v>
      </c>
      <c r="C129" s="1" t="s">
        <v>588</v>
      </c>
      <c r="D129" s="1" t="s">
        <v>596</v>
      </c>
      <c r="E129" s="16" t="s">
        <v>41</v>
      </c>
      <c r="F129" s="16" t="s">
        <v>41</v>
      </c>
      <c r="G129" s="6" t="s">
        <v>589</v>
      </c>
      <c r="H129" s="16" t="s">
        <v>41</v>
      </c>
      <c r="I129" s="16" t="s">
        <v>41</v>
      </c>
      <c r="J129" s="16" t="s">
        <v>41</v>
      </c>
      <c r="K129" s="35" t="s">
        <v>19</v>
      </c>
      <c r="L129" s="2"/>
    </row>
    <row r="130" spans="1:12" x14ac:dyDescent="0.2">
      <c r="B130" s="1" t="s">
        <v>88</v>
      </c>
      <c r="C130" s="1" t="s">
        <v>590</v>
      </c>
      <c r="D130" s="1" t="s">
        <v>597</v>
      </c>
      <c r="E130" s="16" t="s">
        <v>41</v>
      </c>
      <c r="F130" s="16" t="s">
        <v>41</v>
      </c>
      <c r="G130" s="6" t="s">
        <v>592</v>
      </c>
      <c r="H130" s="16" t="s">
        <v>41</v>
      </c>
      <c r="I130" s="16" t="s">
        <v>41</v>
      </c>
      <c r="J130" s="16" t="s">
        <v>41</v>
      </c>
      <c r="K130" s="35" t="s">
        <v>19</v>
      </c>
      <c r="L130" s="2"/>
    </row>
    <row r="131" spans="1:12" x14ac:dyDescent="0.2">
      <c r="B131" s="1" t="s">
        <v>88</v>
      </c>
      <c r="C131" s="1" t="s">
        <v>591</v>
      </c>
      <c r="D131" s="1" t="s">
        <v>598</v>
      </c>
      <c r="E131" s="16" t="s">
        <v>41</v>
      </c>
      <c r="F131" s="16" t="s">
        <v>41</v>
      </c>
      <c r="G131" s="6" t="s">
        <v>593</v>
      </c>
      <c r="H131" s="16" t="s">
        <v>41</v>
      </c>
      <c r="I131" s="16" t="s">
        <v>41</v>
      </c>
      <c r="J131" s="16" t="s">
        <v>41</v>
      </c>
      <c r="K131" s="35" t="s">
        <v>19</v>
      </c>
      <c r="L131" s="2"/>
    </row>
    <row r="132" spans="1:12" x14ac:dyDescent="0.2">
      <c r="B132" s="1" t="s">
        <v>88</v>
      </c>
      <c r="C132" s="1" t="s">
        <v>406</v>
      </c>
      <c r="D132" s="1" t="s">
        <v>3</v>
      </c>
      <c r="E132" s="16" t="s">
        <v>41</v>
      </c>
      <c r="F132" s="16" t="s">
        <v>41</v>
      </c>
      <c r="G132" s="17" t="s">
        <v>454</v>
      </c>
      <c r="H132" s="86" t="s">
        <v>41</v>
      </c>
      <c r="I132" s="86" t="s">
        <v>41</v>
      </c>
      <c r="J132" s="86" t="s">
        <v>41</v>
      </c>
      <c r="K132" s="4" t="s">
        <v>19</v>
      </c>
      <c r="L132" s="4"/>
    </row>
    <row r="133" spans="1:12" x14ac:dyDescent="0.2">
      <c r="B133" s="1" t="s">
        <v>88</v>
      </c>
      <c r="C133" s="1" t="s">
        <v>407</v>
      </c>
      <c r="D133" s="1" t="s">
        <v>21</v>
      </c>
      <c r="E133" s="16" t="s">
        <v>41</v>
      </c>
      <c r="F133" s="16" t="s">
        <v>41</v>
      </c>
      <c r="G133" s="17" t="s">
        <v>455</v>
      </c>
      <c r="H133" s="86" t="s">
        <v>41</v>
      </c>
      <c r="I133" s="86" t="s">
        <v>41</v>
      </c>
      <c r="J133" s="86" t="s">
        <v>41</v>
      </c>
      <c r="K133" s="4" t="s">
        <v>19</v>
      </c>
    </row>
    <row r="134" spans="1:12" s="14" customFormat="1" x14ac:dyDescent="0.2">
      <c r="A134" s="1"/>
      <c r="B134" s="14" t="s">
        <v>88</v>
      </c>
      <c r="C134" s="14" t="s">
        <v>408</v>
      </c>
      <c r="D134" s="14" t="s">
        <v>7</v>
      </c>
      <c r="E134" s="20" t="s">
        <v>41</v>
      </c>
      <c r="F134" s="20" t="s">
        <v>41</v>
      </c>
      <c r="G134" s="130" t="s">
        <v>456</v>
      </c>
      <c r="H134" s="93" t="s">
        <v>41</v>
      </c>
      <c r="I134" s="93" t="s">
        <v>41</v>
      </c>
      <c r="J134" s="20" t="s">
        <v>41</v>
      </c>
      <c r="K134" s="94" t="s">
        <v>19</v>
      </c>
    </row>
    <row r="135" spans="1:12" x14ac:dyDescent="0.2">
      <c r="B135" s="1" t="s">
        <v>88</v>
      </c>
      <c r="C135" s="1" t="s">
        <v>176</v>
      </c>
      <c r="D135" s="1" t="s">
        <v>537</v>
      </c>
      <c r="E135" s="16" t="s">
        <v>41</v>
      </c>
      <c r="F135" s="16" t="s">
        <v>41</v>
      </c>
      <c r="G135" s="17" t="s">
        <v>642</v>
      </c>
      <c r="H135" s="17" t="s">
        <v>41</v>
      </c>
      <c r="I135" s="17" t="s">
        <v>41</v>
      </c>
      <c r="J135" s="16" t="s">
        <v>41</v>
      </c>
      <c r="K135" s="1" t="s">
        <v>19</v>
      </c>
    </row>
    <row r="136" spans="1:12" x14ac:dyDescent="0.2">
      <c r="B136" s="1" t="s">
        <v>88</v>
      </c>
      <c r="C136" s="1" t="s">
        <v>184</v>
      </c>
      <c r="D136" s="1" t="s">
        <v>38</v>
      </c>
      <c r="E136" s="16" t="s">
        <v>41</v>
      </c>
      <c r="F136" s="16" t="s">
        <v>41</v>
      </c>
      <c r="G136" s="17" t="s">
        <v>311</v>
      </c>
      <c r="H136" s="17" t="s">
        <v>41</v>
      </c>
      <c r="I136" s="17" t="s">
        <v>41</v>
      </c>
      <c r="J136" s="16" t="s">
        <v>41</v>
      </c>
      <c r="K136" s="1" t="s">
        <v>19</v>
      </c>
    </row>
    <row r="137" spans="1:12" x14ac:dyDescent="0.2">
      <c r="B137" s="1" t="s">
        <v>88</v>
      </c>
      <c r="C137" s="1" t="s">
        <v>185</v>
      </c>
      <c r="D137" s="1" t="s">
        <v>39</v>
      </c>
      <c r="E137" s="16" t="s">
        <v>41</v>
      </c>
      <c r="F137" s="16" t="s">
        <v>41</v>
      </c>
      <c r="G137" s="17" t="s">
        <v>312</v>
      </c>
      <c r="H137" s="17" t="s">
        <v>41</v>
      </c>
      <c r="I137" s="17" t="s">
        <v>41</v>
      </c>
      <c r="J137" s="16" t="s">
        <v>41</v>
      </c>
      <c r="K137" s="1" t="s">
        <v>19</v>
      </c>
    </row>
    <row r="138" spans="1:12" x14ac:dyDescent="0.2">
      <c r="B138" s="1" t="s">
        <v>88</v>
      </c>
      <c r="C138" s="1" t="s">
        <v>186</v>
      </c>
      <c r="D138" s="1" t="s">
        <v>40</v>
      </c>
      <c r="E138" s="16" t="s">
        <v>41</v>
      </c>
      <c r="F138" s="16" t="s">
        <v>41</v>
      </c>
      <c r="G138" s="17" t="s">
        <v>313</v>
      </c>
      <c r="H138" s="17" t="s">
        <v>41</v>
      </c>
      <c r="I138" s="17" t="s">
        <v>41</v>
      </c>
      <c r="J138" s="16" t="s">
        <v>41</v>
      </c>
      <c r="K138" s="1" t="s">
        <v>19</v>
      </c>
    </row>
    <row r="139" spans="1:12" x14ac:dyDescent="0.2">
      <c r="B139" s="1" t="s">
        <v>88</v>
      </c>
      <c r="C139" s="1" t="s">
        <v>174</v>
      </c>
      <c r="D139" s="1" t="s">
        <v>31</v>
      </c>
      <c r="E139" s="16" t="s">
        <v>41</v>
      </c>
      <c r="F139" s="16" t="s">
        <v>41</v>
      </c>
      <c r="G139" s="16" t="s">
        <v>173</v>
      </c>
      <c r="H139" s="16" t="s">
        <v>41</v>
      </c>
      <c r="I139" s="16" t="s">
        <v>41</v>
      </c>
      <c r="J139" s="16" t="s">
        <v>41</v>
      </c>
      <c r="K139" s="1" t="s">
        <v>19</v>
      </c>
    </row>
    <row r="140" spans="1:12" x14ac:dyDescent="0.2">
      <c r="B140" s="1" t="s">
        <v>88</v>
      </c>
      <c r="C140" s="1" t="s">
        <v>411</v>
      </c>
      <c r="D140" s="1" t="s">
        <v>410</v>
      </c>
      <c r="E140" s="16" t="s">
        <v>41</v>
      </c>
      <c r="F140" s="16" t="s">
        <v>41</v>
      </c>
      <c r="G140" s="6" t="s">
        <v>443</v>
      </c>
      <c r="H140" s="17" t="s">
        <v>41</v>
      </c>
      <c r="I140" s="17" t="s">
        <v>41</v>
      </c>
      <c r="J140" s="16" t="s">
        <v>41</v>
      </c>
      <c r="K140" s="1" t="s">
        <v>19</v>
      </c>
      <c r="L140" s="4"/>
    </row>
    <row r="141" spans="1:12" x14ac:dyDescent="0.2">
      <c r="B141" s="1" t="s">
        <v>88</v>
      </c>
      <c r="C141" s="1" t="s">
        <v>424</v>
      </c>
      <c r="D141" s="1" t="s">
        <v>428</v>
      </c>
      <c r="E141" s="16" t="s">
        <v>41</v>
      </c>
      <c r="F141" s="16" t="s">
        <v>41</v>
      </c>
      <c r="G141" s="17" t="s">
        <v>444</v>
      </c>
      <c r="H141" s="119" t="s">
        <v>41</v>
      </c>
      <c r="I141" s="119" t="s">
        <v>41</v>
      </c>
      <c r="J141" s="16" t="s">
        <v>41</v>
      </c>
      <c r="K141" s="1" t="s">
        <v>19</v>
      </c>
      <c r="L141" s="1" t="s">
        <v>409</v>
      </c>
    </row>
    <row r="142" spans="1:12" x14ac:dyDescent="0.2">
      <c r="B142" s="1" t="s">
        <v>88</v>
      </c>
      <c r="C142" s="1" t="s">
        <v>425</v>
      </c>
      <c r="D142" s="1" t="s">
        <v>429</v>
      </c>
      <c r="E142" s="16" t="s">
        <v>41</v>
      </c>
      <c r="F142" s="16" t="s">
        <v>41</v>
      </c>
      <c r="G142" s="17" t="s">
        <v>445</v>
      </c>
      <c r="H142" s="119" t="s">
        <v>41</v>
      </c>
      <c r="I142" s="119" t="s">
        <v>41</v>
      </c>
      <c r="J142" s="16" t="s">
        <v>41</v>
      </c>
      <c r="K142" s="1" t="s">
        <v>19</v>
      </c>
      <c r="L142" s="1" t="s">
        <v>409</v>
      </c>
    </row>
    <row r="143" spans="1:12" x14ac:dyDescent="0.2">
      <c r="B143" s="1" t="s">
        <v>88</v>
      </c>
      <c r="C143" s="1" t="s">
        <v>426</v>
      </c>
      <c r="D143" s="1" t="s">
        <v>427</v>
      </c>
      <c r="E143" s="16" t="s">
        <v>41</v>
      </c>
      <c r="F143" s="16" t="s">
        <v>41</v>
      </c>
      <c r="G143" s="16" t="s">
        <v>440</v>
      </c>
      <c r="H143" s="119" t="s">
        <v>41</v>
      </c>
      <c r="I143" s="119" t="s">
        <v>41</v>
      </c>
      <c r="J143" s="16" t="s">
        <v>41</v>
      </c>
      <c r="K143" s="1" t="s">
        <v>19</v>
      </c>
      <c r="L143" s="1" t="s">
        <v>409</v>
      </c>
    </row>
    <row r="144" spans="1:12" x14ac:dyDescent="0.2">
      <c r="B144" s="1" t="s">
        <v>88</v>
      </c>
      <c r="C144" s="1" t="s">
        <v>433</v>
      </c>
      <c r="D144" s="1" t="s">
        <v>432</v>
      </c>
      <c r="E144" s="16" t="s">
        <v>41</v>
      </c>
      <c r="F144" s="16" t="s">
        <v>41</v>
      </c>
      <c r="G144" s="17" t="s">
        <v>446</v>
      </c>
      <c r="H144" s="119" t="s">
        <v>41</v>
      </c>
      <c r="I144" s="119" t="s">
        <v>41</v>
      </c>
      <c r="J144" s="16" t="s">
        <v>41</v>
      </c>
      <c r="K144" s="1" t="s">
        <v>19</v>
      </c>
      <c r="L144" s="1" t="s">
        <v>409</v>
      </c>
    </row>
    <row r="145" spans="1:12" x14ac:dyDescent="0.2">
      <c r="B145" s="1" t="s">
        <v>88</v>
      </c>
      <c r="C145" s="1" t="s">
        <v>434</v>
      </c>
      <c r="D145" s="1" t="s">
        <v>431</v>
      </c>
      <c r="E145" s="16" t="s">
        <v>41</v>
      </c>
      <c r="F145" s="16" t="s">
        <v>41</v>
      </c>
      <c r="G145" s="17" t="s">
        <v>447</v>
      </c>
      <c r="H145" s="119" t="s">
        <v>41</v>
      </c>
      <c r="I145" s="119" t="s">
        <v>41</v>
      </c>
      <c r="J145" s="16" t="s">
        <v>41</v>
      </c>
      <c r="K145" s="1" t="s">
        <v>19</v>
      </c>
      <c r="L145" s="1" t="s">
        <v>409</v>
      </c>
    </row>
    <row r="146" spans="1:12" s="14" customFormat="1" x14ac:dyDescent="0.2">
      <c r="A146" s="1"/>
      <c r="B146" s="14" t="s">
        <v>88</v>
      </c>
      <c r="C146" s="14" t="s">
        <v>435</v>
      </c>
      <c r="D146" s="14" t="s">
        <v>430</v>
      </c>
      <c r="E146" s="20" t="s">
        <v>41</v>
      </c>
      <c r="F146" s="20" t="s">
        <v>41</v>
      </c>
      <c r="G146" s="20" t="s">
        <v>441</v>
      </c>
      <c r="H146" s="127" t="s">
        <v>41</v>
      </c>
      <c r="I146" s="127" t="s">
        <v>41</v>
      </c>
      <c r="J146" s="20" t="s">
        <v>41</v>
      </c>
      <c r="K146" s="14" t="s">
        <v>19</v>
      </c>
      <c r="L146" s="14" t="s">
        <v>409</v>
      </c>
    </row>
    <row r="147" spans="1:12" x14ac:dyDescent="0.2">
      <c r="B147" s="1" t="s">
        <v>88</v>
      </c>
      <c r="C147" s="1" t="s">
        <v>330</v>
      </c>
      <c r="D147" s="1" t="s">
        <v>333</v>
      </c>
      <c r="E147" s="16" t="s">
        <v>41</v>
      </c>
      <c r="F147" s="16" t="s">
        <v>41</v>
      </c>
      <c r="G147" s="85" t="s">
        <v>336</v>
      </c>
      <c r="H147" s="17" t="s">
        <v>41</v>
      </c>
      <c r="I147" s="17" t="s">
        <v>41</v>
      </c>
      <c r="J147" s="16" t="s">
        <v>41</v>
      </c>
      <c r="K147" s="1" t="s">
        <v>19</v>
      </c>
    </row>
    <row r="148" spans="1:12" x14ac:dyDescent="0.2">
      <c r="B148" s="1" t="s">
        <v>88</v>
      </c>
      <c r="C148" s="1" t="s">
        <v>331</v>
      </c>
      <c r="D148" s="1" t="s">
        <v>334</v>
      </c>
      <c r="E148" s="16" t="s">
        <v>41</v>
      </c>
      <c r="F148" s="16" t="s">
        <v>41</v>
      </c>
      <c r="G148" s="85" t="s">
        <v>337</v>
      </c>
      <c r="H148" s="17" t="s">
        <v>41</v>
      </c>
      <c r="I148" s="17" t="s">
        <v>41</v>
      </c>
      <c r="J148" s="16" t="s">
        <v>41</v>
      </c>
      <c r="K148" s="1" t="s">
        <v>19</v>
      </c>
    </row>
    <row r="149" spans="1:12" x14ac:dyDescent="0.2">
      <c r="B149" s="1" t="s">
        <v>88</v>
      </c>
      <c r="C149" s="1" t="s">
        <v>332</v>
      </c>
      <c r="D149" s="1" t="s">
        <v>335</v>
      </c>
      <c r="E149" s="16" t="s">
        <v>41</v>
      </c>
      <c r="F149" s="16" t="s">
        <v>41</v>
      </c>
      <c r="G149" s="85" t="s">
        <v>338</v>
      </c>
      <c r="H149" s="17" t="s">
        <v>41</v>
      </c>
      <c r="I149" s="17" t="s">
        <v>41</v>
      </c>
      <c r="J149" s="16" t="s">
        <v>41</v>
      </c>
      <c r="K149" s="1" t="s">
        <v>19</v>
      </c>
    </row>
    <row r="150" spans="1:12" x14ac:dyDescent="0.2">
      <c r="B150" s="1" t="s">
        <v>88</v>
      </c>
      <c r="C150" s="1" t="s">
        <v>302</v>
      </c>
      <c r="D150" s="1" t="s">
        <v>53</v>
      </c>
      <c r="E150" s="16" t="s">
        <v>73</v>
      </c>
      <c r="F150" s="16">
        <v>2024</v>
      </c>
      <c r="G150" s="11" t="s">
        <v>314</v>
      </c>
      <c r="H150" s="19" t="s">
        <v>41</v>
      </c>
      <c r="I150" s="19" t="s">
        <v>41</v>
      </c>
      <c r="J150" s="16" t="s">
        <v>41</v>
      </c>
      <c r="K150" s="35" t="s">
        <v>19</v>
      </c>
    </row>
    <row r="151" spans="1:12" x14ac:dyDescent="0.2">
      <c r="B151" s="1" t="s">
        <v>88</v>
      </c>
      <c r="C151" s="1" t="s">
        <v>306</v>
      </c>
      <c r="D151" s="1" t="s">
        <v>115</v>
      </c>
      <c r="E151" s="16" t="s">
        <v>73</v>
      </c>
      <c r="F151" s="16">
        <v>2024</v>
      </c>
      <c r="G151" s="9" t="s">
        <v>465</v>
      </c>
      <c r="H151" s="19" t="s">
        <v>41</v>
      </c>
      <c r="I151" s="19" t="s">
        <v>41</v>
      </c>
      <c r="J151" s="16" t="s">
        <v>41</v>
      </c>
      <c r="K151" s="41" t="s">
        <v>19</v>
      </c>
      <c r="L151" s="41" t="s">
        <v>102</v>
      </c>
    </row>
    <row r="152" spans="1:12" x14ac:dyDescent="0.2">
      <c r="B152" s="1" t="s">
        <v>88</v>
      </c>
      <c r="C152" s="1" t="s">
        <v>305</v>
      </c>
      <c r="D152" s="1" t="s">
        <v>116</v>
      </c>
      <c r="E152" s="16" t="s">
        <v>73</v>
      </c>
      <c r="F152" s="16">
        <v>2024</v>
      </c>
      <c r="G152" s="9" t="s">
        <v>466</v>
      </c>
      <c r="H152" s="19" t="s">
        <v>41</v>
      </c>
      <c r="I152" s="19" t="s">
        <v>41</v>
      </c>
      <c r="J152" s="16" t="s">
        <v>41</v>
      </c>
      <c r="K152" s="41" t="s">
        <v>19</v>
      </c>
      <c r="L152" s="41" t="s">
        <v>114</v>
      </c>
    </row>
    <row r="153" spans="1:12" s="14" customFormat="1" x14ac:dyDescent="0.2">
      <c r="A153" s="1"/>
      <c r="B153" s="14" t="s">
        <v>88</v>
      </c>
      <c r="C153" s="14" t="s">
        <v>307</v>
      </c>
      <c r="D153" s="14" t="s">
        <v>125</v>
      </c>
      <c r="E153" s="20" t="s">
        <v>73</v>
      </c>
      <c r="F153" s="20">
        <v>2024</v>
      </c>
      <c r="G153" s="40" t="s">
        <v>467</v>
      </c>
      <c r="H153" s="34" t="s">
        <v>41</v>
      </c>
      <c r="I153" s="34" t="s">
        <v>41</v>
      </c>
      <c r="J153" s="20" t="s">
        <v>41</v>
      </c>
      <c r="K153" s="88" t="s">
        <v>19</v>
      </c>
      <c r="L153" s="88" t="s">
        <v>126</v>
      </c>
    </row>
    <row r="154" spans="1:12" x14ac:dyDescent="0.2">
      <c r="B154" s="1" t="s">
        <v>88</v>
      </c>
      <c r="C154" s="1" t="s">
        <v>140</v>
      </c>
      <c r="D154" s="1" t="s">
        <v>139</v>
      </c>
      <c r="E154" s="16" t="s">
        <v>73</v>
      </c>
      <c r="F154" s="16">
        <v>2024</v>
      </c>
      <c r="G154" s="11" t="s">
        <v>316</v>
      </c>
      <c r="H154" s="16" t="s">
        <v>41</v>
      </c>
      <c r="I154" s="16" t="s">
        <v>41</v>
      </c>
      <c r="J154" s="16" t="s">
        <v>41</v>
      </c>
      <c r="K154" s="38" t="s">
        <v>19</v>
      </c>
    </row>
    <row r="155" spans="1:12" x14ac:dyDescent="0.2">
      <c r="B155" s="1" t="s">
        <v>88</v>
      </c>
      <c r="C155" s="1" t="s">
        <v>141</v>
      </c>
      <c r="D155" s="1" t="s">
        <v>148</v>
      </c>
      <c r="E155" s="16" t="s">
        <v>73</v>
      </c>
      <c r="F155" s="16">
        <v>2024</v>
      </c>
      <c r="G155" s="16" t="s">
        <v>317</v>
      </c>
      <c r="H155" s="16" t="s">
        <v>41</v>
      </c>
      <c r="I155" s="16" t="s">
        <v>41</v>
      </c>
      <c r="J155" s="16" t="s">
        <v>41</v>
      </c>
      <c r="K155" s="38" t="s">
        <v>19</v>
      </c>
    </row>
    <row r="156" spans="1:12" x14ac:dyDescent="0.2">
      <c r="B156" s="1" t="s">
        <v>88</v>
      </c>
      <c r="C156" s="1" t="s">
        <v>142</v>
      </c>
      <c r="D156" s="1" t="s">
        <v>147</v>
      </c>
      <c r="E156" s="16" t="s">
        <v>73</v>
      </c>
      <c r="F156" s="16">
        <v>2024</v>
      </c>
      <c r="G156" s="11" t="s">
        <v>318</v>
      </c>
      <c r="H156" s="16" t="s">
        <v>41</v>
      </c>
      <c r="I156" s="16" t="s">
        <v>41</v>
      </c>
      <c r="J156" s="16" t="s">
        <v>41</v>
      </c>
      <c r="K156" s="38" t="s">
        <v>19</v>
      </c>
    </row>
    <row r="157" spans="1:12" x14ac:dyDescent="0.2">
      <c r="B157" s="1" t="s">
        <v>88</v>
      </c>
      <c r="C157" s="1" t="s">
        <v>196</v>
      </c>
      <c r="D157" s="1" t="s">
        <v>150</v>
      </c>
      <c r="E157" s="16" t="s">
        <v>41</v>
      </c>
      <c r="F157" s="16">
        <v>2024</v>
      </c>
      <c r="G157" s="16" t="s">
        <v>358</v>
      </c>
      <c r="H157" s="16" t="s">
        <v>41</v>
      </c>
      <c r="I157" s="16" t="s">
        <v>41</v>
      </c>
      <c r="J157" s="16" t="s">
        <v>41</v>
      </c>
      <c r="K157" s="38" t="s">
        <v>19</v>
      </c>
      <c r="L157" s="38" t="s">
        <v>197</v>
      </c>
    </row>
    <row r="158" spans="1:12" x14ac:dyDescent="0.2">
      <c r="B158" s="1" t="s">
        <v>88</v>
      </c>
      <c r="C158" s="1" t="s">
        <v>159</v>
      </c>
      <c r="D158" s="1" t="s">
        <v>149</v>
      </c>
      <c r="E158" s="16" t="s">
        <v>73</v>
      </c>
      <c r="F158" s="16">
        <v>2024</v>
      </c>
      <c r="G158" s="16" t="s">
        <v>319</v>
      </c>
      <c r="H158" s="16" t="s">
        <v>41</v>
      </c>
      <c r="I158" s="16" t="s">
        <v>41</v>
      </c>
      <c r="J158" s="16" t="s">
        <v>41</v>
      </c>
      <c r="K158" s="38" t="s">
        <v>19</v>
      </c>
    </row>
    <row r="159" spans="1:12" x14ac:dyDescent="0.2">
      <c r="B159" s="1" t="s">
        <v>88</v>
      </c>
      <c r="C159" s="1" t="s">
        <v>158</v>
      </c>
      <c r="D159" s="1" t="s">
        <v>157</v>
      </c>
      <c r="E159" s="16" t="s">
        <v>73</v>
      </c>
      <c r="F159" s="16">
        <v>2024</v>
      </c>
      <c r="G159" s="11" t="s">
        <v>320</v>
      </c>
      <c r="H159" s="16" t="s">
        <v>41</v>
      </c>
      <c r="I159" s="16" t="s">
        <v>41</v>
      </c>
      <c r="J159" s="16" t="s">
        <v>41</v>
      </c>
      <c r="K159" s="38" t="s">
        <v>19</v>
      </c>
    </row>
    <row r="160" spans="1:12" x14ac:dyDescent="0.2">
      <c r="B160" s="1" t="s">
        <v>88</v>
      </c>
      <c r="C160" s="1" t="s">
        <v>165</v>
      </c>
      <c r="D160" s="1" t="s">
        <v>164</v>
      </c>
      <c r="E160" s="16" t="s">
        <v>73</v>
      </c>
      <c r="F160" s="16">
        <v>2024</v>
      </c>
      <c r="G160" s="9" t="s">
        <v>321</v>
      </c>
      <c r="H160" s="16" t="s">
        <v>41</v>
      </c>
      <c r="I160" s="16" t="s">
        <v>41</v>
      </c>
      <c r="J160" s="16" t="s">
        <v>41</v>
      </c>
      <c r="K160" s="38" t="s">
        <v>19</v>
      </c>
    </row>
    <row r="161" spans="1:13" s="14" customFormat="1" x14ac:dyDescent="0.2">
      <c r="A161" s="1"/>
      <c r="B161" s="14" t="s">
        <v>88</v>
      </c>
      <c r="C161" s="14" t="s">
        <v>310</v>
      </c>
      <c r="D161" s="14" t="s">
        <v>135</v>
      </c>
      <c r="E161" s="20" t="s">
        <v>41</v>
      </c>
      <c r="F161" s="20" t="s">
        <v>41</v>
      </c>
      <c r="G161" s="20" t="s">
        <v>315</v>
      </c>
      <c r="H161" s="20" t="s">
        <v>41</v>
      </c>
      <c r="I161" s="20" t="s">
        <v>41</v>
      </c>
      <c r="J161" s="20" t="s">
        <v>41</v>
      </c>
      <c r="K161" s="88" t="s">
        <v>19</v>
      </c>
    </row>
    <row r="162" spans="1:13" s="98" customFormat="1" ht="15" customHeight="1" x14ac:dyDescent="0.2">
      <c r="A162" s="89"/>
      <c r="B162" s="97" t="s">
        <v>88</v>
      </c>
      <c r="C162" s="98" t="s">
        <v>291</v>
      </c>
      <c r="D162" s="98" t="s">
        <v>292</v>
      </c>
      <c r="E162" s="99" t="s">
        <v>73</v>
      </c>
      <c r="F162" s="99">
        <v>2024</v>
      </c>
      <c r="G162" s="128" t="s">
        <v>470</v>
      </c>
      <c r="H162" s="99" t="s">
        <v>41</v>
      </c>
      <c r="I162" s="99" t="s">
        <v>41</v>
      </c>
      <c r="J162" s="99" t="s">
        <v>41</v>
      </c>
      <c r="K162" s="100" t="s">
        <v>19</v>
      </c>
    </row>
    <row r="163" spans="1:13" s="97" customFormat="1" x14ac:dyDescent="0.2">
      <c r="A163" s="1"/>
      <c r="B163" s="97" t="s">
        <v>88</v>
      </c>
      <c r="C163" s="97" t="s">
        <v>171</v>
      </c>
      <c r="D163" s="97" t="s">
        <v>170</v>
      </c>
      <c r="E163" s="99" t="s">
        <v>73</v>
      </c>
      <c r="F163" s="99">
        <v>2024</v>
      </c>
      <c r="G163" s="112" t="s">
        <v>463</v>
      </c>
      <c r="H163" s="99" t="s">
        <v>41</v>
      </c>
      <c r="I163" s="99" t="s">
        <v>41</v>
      </c>
      <c r="J163" s="99" t="s">
        <v>41</v>
      </c>
      <c r="K163" s="101" t="s">
        <v>19</v>
      </c>
      <c r="L163" s="101"/>
    </row>
    <row r="164" spans="1:13" x14ac:dyDescent="0.2">
      <c r="B164" s="1" t="s">
        <v>88</v>
      </c>
      <c r="C164" s="1" t="s">
        <v>303</v>
      </c>
      <c r="D164" s="1" t="s">
        <v>308</v>
      </c>
      <c r="E164" s="16" t="s">
        <v>73</v>
      </c>
      <c r="F164" s="16">
        <v>2024</v>
      </c>
      <c r="G164" s="9" t="s">
        <v>322</v>
      </c>
      <c r="H164" s="19" t="s">
        <v>41</v>
      </c>
      <c r="I164" s="19" t="s">
        <v>41</v>
      </c>
      <c r="J164" s="16" t="s">
        <v>41</v>
      </c>
      <c r="K164" s="1" t="s">
        <v>19</v>
      </c>
    </row>
    <row r="165" spans="1:13" s="14" customFormat="1" x14ac:dyDescent="0.2">
      <c r="A165" s="1"/>
      <c r="B165" s="14" t="s">
        <v>88</v>
      </c>
      <c r="C165" s="14" t="s">
        <v>304</v>
      </c>
      <c r="D165" s="14" t="s">
        <v>309</v>
      </c>
      <c r="E165" s="20" t="s">
        <v>73</v>
      </c>
      <c r="F165" s="20">
        <v>2024</v>
      </c>
      <c r="G165" s="40" t="s">
        <v>457</v>
      </c>
      <c r="H165" s="34" t="s">
        <v>41</v>
      </c>
      <c r="I165" s="34" t="s">
        <v>41</v>
      </c>
      <c r="J165" s="20" t="s">
        <v>41</v>
      </c>
      <c r="K165" s="14" t="s">
        <v>19</v>
      </c>
    </row>
    <row r="166" spans="1:13" x14ac:dyDescent="0.2">
      <c r="B166" s="1" t="s">
        <v>88</v>
      </c>
      <c r="C166" s="1" t="s">
        <v>188</v>
      </c>
      <c r="D166" s="1" t="s">
        <v>182</v>
      </c>
      <c r="E166" s="16" t="s">
        <v>73</v>
      </c>
      <c r="F166" s="16">
        <v>2024</v>
      </c>
      <c r="G166" s="9">
        <v>0</v>
      </c>
      <c r="H166" s="19" t="s">
        <v>41</v>
      </c>
      <c r="I166" s="19" t="s">
        <v>41</v>
      </c>
      <c r="J166" s="19" t="s">
        <v>41</v>
      </c>
      <c r="K166" s="55" t="s">
        <v>19</v>
      </c>
    </row>
    <row r="167" spans="1:13" x14ac:dyDescent="0.2">
      <c r="B167" s="1" t="s">
        <v>88</v>
      </c>
      <c r="C167" s="1" t="s">
        <v>194</v>
      </c>
      <c r="D167" s="1" t="s">
        <v>44</v>
      </c>
      <c r="E167" s="16" t="s">
        <v>73</v>
      </c>
      <c r="F167" s="16">
        <v>2024</v>
      </c>
      <c r="G167" s="9">
        <v>0</v>
      </c>
      <c r="H167" s="19" t="s">
        <v>41</v>
      </c>
      <c r="I167" s="19" t="s">
        <v>41</v>
      </c>
      <c r="J167" s="19" t="s">
        <v>41</v>
      </c>
      <c r="K167" s="55" t="s">
        <v>19</v>
      </c>
    </row>
    <row r="168" spans="1:13" x14ac:dyDescent="0.2">
      <c r="B168" s="1" t="s">
        <v>88</v>
      </c>
      <c r="C168" s="1" t="s">
        <v>324</v>
      </c>
      <c r="D168" s="1" t="s">
        <v>526</v>
      </c>
      <c r="E168" s="16" t="s">
        <v>41</v>
      </c>
      <c r="F168" s="16" t="s">
        <v>41</v>
      </c>
      <c r="G168" s="16" t="s">
        <v>578</v>
      </c>
      <c r="H168" s="19" t="s">
        <v>41</v>
      </c>
      <c r="I168" s="19" t="s">
        <v>41</v>
      </c>
      <c r="J168" s="19" t="s">
        <v>41</v>
      </c>
      <c r="K168" s="55" t="s">
        <v>19</v>
      </c>
    </row>
    <row r="169" spans="1:13" x14ac:dyDescent="0.2">
      <c r="B169" s="1" t="s">
        <v>88</v>
      </c>
      <c r="C169" s="1" t="s">
        <v>551</v>
      </c>
      <c r="D169" s="1" t="s">
        <v>552</v>
      </c>
      <c r="E169" s="16" t="s">
        <v>41</v>
      </c>
      <c r="F169" s="16" t="s">
        <v>41</v>
      </c>
      <c r="G169" s="9" t="s">
        <v>607</v>
      </c>
      <c r="H169" s="16" t="s">
        <v>41</v>
      </c>
      <c r="I169" s="16" t="s">
        <v>41</v>
      </c>
      <c r="J169" s="16" t="s">
        <v>41</v>
      </c>
      <c r="K169" s="1" t="s">
        <v>13</v>
      </c>
      <c r="L169" s="91"/>
      <c r="M169" s="91"/>
    </row>
    <row r="170" spans="1:13" x14ac:dyDescent="0.2">
      <c r="B170" s="1" t="s">
        <v>88</v>
      </c>
      <c r="C170" s="1" t="s">
        <v>520</v>
      </c>
      <c r="D170" s="1" t="s">
        <v>539</v>
      </c>
      <c r="E170" s="16" t="s">
        <v>41</v>
      </c>
      <c r="F170" s="16" t="s">
        <v>41</v>
      </c>
      <c r="G170" s="18" t="s">
        <v>577</v>
      </c>
      <c r="H170" s="9" t="s">
        <v>41</v>
      </c>
      <c r="I170" s="9" t="s">
        <v>41</v>
      </c>
      <c r="J170" s="9" t="s">
        <v>41</v>
      </c>
      <c r="K170" s="1" t="s">
        <v>43</v>
      </c>
      <c r="M170" s="91"/>
    </row>
    <row r="171" spans="1:13" x14ac:dyDescent="0.2">
      <c r="B171" s="1" t="s">
        <v>88</v>
      </c>
      <c r="C171" s="1" t="s">
        <v>521</v>
      </c>
      <c r="D171" s="1" t="s">
        <v>540</v>
      </c>
      <c r="E171" s="16" t="s">
        <v>41</v>
      </c>
      <c r="F171" s="16" t="s">
        <v>41</v>
      </c>
      <c r="G171" s="18" t="s">
        <v>579</v>
      </c>
      <c r="H171" s="9" t="s">
        <v>41</v>
      </c>
      <c r="I171" s="9" t="s">
        <v>41</v>
      </c>
      <c r="J171" s="9" t="s">
        <v>41</v>
      </c>
      <c r="K171" s="1" t="s">
        <v>43</v>
      </c>
      <c r="M171" s="91"/>
    </row>
    <row r="172" spans="1:13" x14ac:dyDescent="0.2">
      <c r="B172" s="1" t="s">
        <v>88</v>
      </c>
      <c r="C172" s="1" t="s">
        <v>325</v>
      </c>
      <c r="D172" s="1" t="s">
        <v>527</v>
      </c>
      <c r="E172" s="16" t="s">
        <v>41</v>
      </c>
      <c r="F172" s="16" t="s">
        <v>41</v>
      </c>
      <c r="G172" s="16" t="s">
        <v>528</v>
      </c>
      <c r="H172" s="19" t="s">
        <v>41</v>
      </c>
      <c r="I172" s="19" t="s">
        <v>41</v>
      </c>
      <c r="J172" s="19" t="s">
        <v>41</v>
      </c>
      <c r="K172" s="55" t="s">
        <v>19</v>
      </c>
    </row>
    <row r="173" spans="1:13" x14ac:dyDescent="0.2">
      <c r="B173" s="1" t="s">
        <v>88</v>
      </c>
      <c r="C173" s="1" t="s">
        <v>329</v>
      </c>
      <c r="D173" s="1" t="s">
        <v>44</v>
      </c>
      <c r="E173" s="16" t="s">
        <v>41</v>
      </c>
      <c r="F173" s="16" t="s">
        <v>41</v>
      </c>
      <c r="G173" s="9" t="s">
        <v>327</v>
      </c>
      <c r="H173" s="19" t="s">
        <v>41</v>
      </c>
      <c r="I173" s="19" t="s">
        <v>41</v>
      </c>
      <c r="J173" s="19" t="s">
        <v>41</v>
      </c>
      <c r="K173" s="55" t="s">
        <v>19</v>
      </c>
    </row>
    <row r="174" spans="1:13" x14ac:dyDescent="0.2">
      <c r="B174" s="1" t="s">
        <v>88</v>
      </c>
      <c r="C174" s="1" t="s">
        <v>328</v>
      </c>
      <c r="D174" s="1" t="s">
        <v>44</v>
      </c>
      <c r="E174" s="16" t="s">
        <v>41</v>
      </c>
      <c r="F174" s="16" t="s">
        <v>41</v>
      </c>
      <c r="G174" s="9" t="s">
        <v>326</v>
      </c>
      <c r="H174" s="19" t="s">
        <v>41</v>
      </c>
      <c r="I174" s="19" t="s">
        <v>41</v>
      </c>
      <c r="J174" s="19" t="s">
        <v>41</v>
      </c>
      <c r="K174" s="55" t="s">
        <v>19</v>
      </c>
    </row>
    <row r="175" spans="1:13" x14ac:dyDescent="0.2">
      <c r="B175" s="1" t="s">
        <v>88</v>
      </c>
      <c r="C175" s="1" t="s">
        <v>189</v>
      </c>
      <c r="D175" s="1" t="s">
        <v>29</v>
      </c>
      <c r="E175" s="16" t="s">
        <v>41</v>
      </c>
      <c r="F175" s="16" t="s">
        <v>41</v>
      </c>
      <c r="G175" s="9">
        <v>0</v>
      </c>
      <c r="H175" s="19" t="s">
        <v>41</v>
      </c>
      <c r="I175" s="19" t="s">
        <v>41</v>
      </c>
      <c r="J175" s="19" t="s">
        <v>41</v>
      </c>
      <c r="K175" s="55" t="s">
        <v>19</v>
      </c>
    </row>
    <row r="176" spans="1:13" x14ac:dyDescent="0.2">
      <c r="B176" s="1" t="s">
        <v>88</v>
      </c>
      <c r="C176" s="1" t="s">
        <v>190</v>
      </c>
      <c r="D176" s="1" t="s">
        <v>30</v>
      </c>
      <c r="E176" s="16" t="s">
        <v>41</v>
      </c>
      <c r="F176" s="16" t="s">
        <v>41</v>
      </c>
      <c r="G176" s="19" t="s">
        <v>469</v>
      </c>
      <c r="H176" s="19" t="s">
        <v>41</v>
      </c>
      <c r="I176" s="19" t="s">
        <v>41</v>
      </c>
      <c r="J176" s="18" t="s">
        <v>41</v>
      </c>
      <c r="K176" s="102" t="s">
        <v>19</v>
      </c>
      <c r="L176" s="102"/>
    </row>
    <row r="177" spans="1:12" x14ac:dyDescent="0.2">
      <c r="B177" s="1" t="s">
        <v>88</v>
      </c>
      <c r="C177" s="1" t="s">
        <v>191</v>
      </c>
      <c r="D177" s="1" t="s">
        <v>31</v>
      </c>
      <c r="E177" s="16" t="s">
        <v>41</v>
      </c>
      <c r="F177" s="16" t="s">
        <v>41</v>
      </c>
      <c r="G177" s="9">
        <v>0</v>
      </c>
      <c r="H177" s="19" t="s">
        <v>41</v>
      </c>
      <c r="I177" s="19" t="s">
        <v>41</v>
      </c>
      <c r="J177" s="18" t="s">
        <v>41</v>
      </c>
      <c r="K177" s="102" t="s">
        <v>19</v>
      </c>
    </row>
    <row r="178" spans="1:12" x14ac:dyDescent="0.2">
      <c r="B178" s="1" t="s">
        <v>88</v>
      </c>
      <c r="C178" s="1" t="s">
        <v>192</v>
      </c>
      <c r="D178" s="1" t="s">
        <v>32</v>
      </c>
      <c r="E178" s="16" t="s">
        <v>41</v>
      </c>
      <c r="F178" s="16" t="s">
        <v>41</v>
      </c>
      <c r="G178" s="19" t="s">
        <v>468</v>
      </c>
      <c r="H178" s="19" t="s">
        <v>41</v>
      </c>
      <c r="I178" s="19" t="s">
        <v>41</v>
      </c>
      <c r="J178" s="18" t="s">
        <v>41</v>
      </c>
      <c r="K178" s="103" t="s">
        <v>19</v>
      </c>
      <c r="L178" s="103"/>
    </row>
    <row r="179" spans="1:12" s="14" customFormat="1" x14ac:dyDescent="0.2">
      <c r="A179" s="1"/>
      <c r="B179" s="14" t="s">
        <v>88</v>
      </c>
      <c r="C179" s="14" t="s">
        <v>195</v>
      </c>
      <c r="D179" s="14" t="s">
        <v>193</v>
      </c>
      <c r="E179" s="20" t="s">
        <v>41</v>
      </c>
      <c r="F179" s="20" t="s">
        <v>41</v>
      </c>
      <c r="G179" s="40" t="s">
        <v>51</v>
      </c>
      <c r="H179" s="34" t="s">
        <v>41</v>
      </c>
      <c r="I179" s="34" t="s">
        <v>41</v>
      </c>
      <c r="J179" s="87" t="s">
        <v>41</v>
      </c>
      <c r="K179" s="122" t="s">
        <v>19</v>
      </c>
      <c r="L179" s="122"/>
    </row>
  </sheetData>
  <hyperlinks>
    <hyperlink ref="K13" r:id="rId1" xr:uid="{FD7AD3CE-2010-1548-8773-4334E935873D}"/>
    <hyperlink ref="K14" r:id="rId2" xr:uid="{AAEC7152-B72C-204A-82AD-AF3B359BC308}"/>
    <hyperlink ref="K21" r:id="rId3" display="https://pubmed.ncbi.nlm.nih.gov/37321235/" xr:uid="{66261750-C362-6746-828E-228644B08436}"/>
    <hyperlink ref="K34" r:id="rId4" display="https://pubmed.ncbi.nlm.nih.gov/30007303/" xr:uid="{0ECFDDB9-D3B1-714F-B5C8-3A3A7B47985E}"/>
    <hyperlink ref="K15" r:id="rId5" display="https://pmc.ncbi.nlm.nih.gov/articles/PMC7100975/" xr:uid="{E13E83E0-6EF9-164E-891B-D432949C3572}"/>
    <hyperlink ref="K11" r:id="rId6" display="https://pmc.ncbi.nlm.nih.gov/articles/PMC7510706/" xr:uid="{4E50376E-DB15-8D40-80C4-C06518F33A28}"/>
    <hyperlink ref="K36" r:id="rId7" display="Santos M, et al. 2021" xr:uid="{EA8EA5F0-1850-2440-B3CC-BE7D63443F72}"/>
    <hyperlink ref="K24" r:id="rId8" xr:uid="{A538F768-AFA5-F644-8270-3598DD85DD10}"/>
    <hyperlink ref="K25" r:id="rId9" xr:uid="{F490E0E9-6F8C-C447-9B51-225C99A247CF}"/>
    <hyperlink ref="K40" r:id="rId10" xr:uid="{0F98D078-90D5-174C-9036-54C756B28E2C}"/>
    <hyperlink ref="K54" r:id="rId11" xr:uid="{E4404A8F-73F6-1441-A59D-1C5ECDA5D8BD}"/>
    <hyperlink ref="K150" r:id="rId12" display="de Andrade, et al. 2022" xr:uid="{13B12211-F95C-094A-AC64-541C3763901A}"/>
    <hyperlink ref="K176" r:id="rId13" display="https://onlinelibrary.wiley.com/doi/pdf/10.1111/tmi.13810" xr:uid="{F9F2628E-59ED-924A-8B74-30A393734C2D}"/>
    <hyperlink ref="K87" r:id="rId14" location="T1" xr:uid="{C91D9658-6ABD-4147-A47C-429AB2C2935A}"/>
    <hyperlink ref="K86" r:id="rId15" xr:uid="{05DA7E6A-1719-9549-AC6F-D634BC7222E0}"/>
    <hyperlink ref="K88" r:id="rId16" location="T1" display="https://gh.bmj.com/content/9/12/e016648 - T1" xr:uid="{290E205D-20A6-4640-A485-2AE617F0949A}"/>
    <hyperlink ref="K95" r:id="rId17" location="T1" display="https://gh.bmj.com/content/9/12/e016648 - T1" xr:uid="{20948A76-327E-E849-BBB5-1384A4EA65EA}"/>
    <hyperlink ref="K96" r:id="rId18" location="T1" display="https://gh.bmj.com/content/9/12/e016648 - T1" xr:uid="{F134FD99-50CE-FD48-A255-15F1C4F3ABBE}"/>
    <hyperlink ref="K89" r:id="rId19" location="T1" display="https://gh.bmj.com/content/9/12/e016648 - T1" xr:uid="{058BABBF-67EC-3E42-8F38-203D99F47F10}"/>
    <hyperlink ref="K97" r:id="rId20" location="T1" display="https://gh.bmj.com/content/9/12/e016648 - T1" xr:uid="{86F6F3EB-C367-0D4E-9CA0-BE654BD51CFD}"/>
    <hyperlink ref="K98" r:id="rId21" location="T1" display="https://gh.bmj.com/content/9/12/e016648 - T1" xr:uid="{C46D19B1-359E-DF4B-A004-2D347794FF29}"/>
    <hyperlink ref="K177" r:id="rId22" display="WHO-CHOICE" xr:uid="{A7351C1C-B3D0-B445-BDEE-F5FA283FAC2C}"/>
    <hyperlink ref="K16" r:id="rId23" xr:uid="{E63E3734-00D8-0347-8484-E4688EA0E55D}"/>
    <hyperlink ref="K51" r:id="rId24" xr:uid="{DE23EE88-24C8-474B-A15A-A0F349FBCCCE}"/>
    <hyperlink ref="K52" r:id="rId25" xr:uid="{08D18822-D1B5-2D41-A9C6-36078AF2E00F}"/>
    <hyperlink ref="K56" r:id="rId26" xr:uid="{A43AA2FC-3265-264C-8F77-EE77EE79A099}"/>
    <hyperlink ref="K57" r:id="rId27" xr:uid="{175038AE-3908-BF4A-BBD2-7E0106B15A19}"/>
    <hyperlink ref="K60" r:id="rId28" xr:uid="{396015A5-4F0E-0447-B715-896E20B7E068}"/>
    <hyperlink ref="K63" r:id="rId29" xr:uid="{AEE50F4D-76C6-934F-95F0-72BC8E46FEE1}"/>
    <hyperlink ref="K66" r:id="rId30" xr:uid="{8B0DDFC3-B39C-3145-AED5-DF262B7C94F3}"/>
    <hyperlink ref="K67" r:id="rId31" xr:uid="{B2A38D56-A8AB-8E47-B6CF-7FD604291681}"/>
    <hyperlink ref="K68" r:id="rId32" xr:uid="{9A56B8B3-8EF6-4043-8138-FC5519E356B4}"/>
    <hyperlink ref="K69" r:id="rId33" xr:uid="{44F69AC8-6C54-6D4E-868B-D55D759647D6}"/>
    <hyperlink ref="K64" r:id="rId34" xr:uid="{6408BCD8-E0C7-C646-B842-BB0C7C34BFEB}"/>
    <hyperlink ref="K65" r:id="rId35" xr:uid="{E332246E-DC02-7647-BC73-1B87A4A425E4}"/>
    <hyperlink ref="K71" r:id="rId36" xr:uid="{C05396B3-BA31-C345-80F5-DADEF601B904}"/>
    <hyperlink ref="K74:K77" r:id="rId37" display="Gonçalves, et al. 2024" xr:uid="{7D256838-8E6E-B74B-88BC-CC2224979AC8}"/>
    <hyperlink ref="K79" r:id="rId38" xr:uid="{65AC8C47-B912-4241-A0C6-78051B2ADDB3}"/>
    <hyperlink ref="K82" r:id="rId39" xr:uid="{DA996AAC-7056-6045-BB84-F9A258949E30}"/>
    <hyperlink ref="K83" r:id="rId40" xr:uid="{7DF5D0AE-C36A-774E-B439-C799CE346459}"/>
    <hyperlink ref="K84" r:id="rId41" xr:uid="{A166ECA9-5C40-A34E-B54B-CFC40AD17222}"/>
    <hyperlink ref="K163" r:id="rId42" display="https://assets-eu.researchsquare.com/files/rs-1612317/v1/6ea04974-c218-4eb1-b1e9-aee9c6f753af.pdf?c=1697480328" xr:uid="{E32C0F2B-EBD1-644C-80C8-2829DFCE475A}"/>
    <hyperlink ref="K93" r:id="rId43" xr:uid="{6080E997-3759-ED47-A58B-913434AE2B3F}"/>
    <hyperlink ref="K92" r:id="rId44" xr:uid="{6C8C5A53-580B-5C4C-AC91-E4A89D8BB6A4}"/>
    <hyperlink ref="K178" r:id="rId45" display="Gonçalves, et al. 2024" xr:uid="{CB44FBC8-4D63-DA43-8719-FD987B5B3015}"/>
    <hyperlink ref="K166:K175" r:id="rId46" display="https://assets-eu.researchsquare.com/files/rs-1612317/v1/6ea04974-c218-4eb1-b1e9-aee9c6f753af.pdf?c=1697480328" xr:uid="{74579A78-BAE2-354C-A156-B5C595813C60}"/>
    <hyperlink ref="K167" r:id="rId47" display="https://assets-eu.researchsquare.com/files/rs-1612317/v1/6ea04974-c218-4eb1-b1e9-aee9c6f753af.pdf?c=1697480328" xr:uid="{888E6AC5-FC00-E640-871E-B33A15836418}"/>
    <hyperlink ref="K7" r:id="rId48" xr:uid="{6D1BBA47-7337-7441-A51A-07D82447CB33}"/>
    <hyperlink ref="K90" r:id="rId49" xr:uid="{BB319C70-7247-744E-8387-0074B4422202}"/>
    <hyperlink ref="K20" r:id="rId50" display="https://pubmed.ncbi.nlm.nih.gov/37321235/" xr:uid="{C6E2055D-1699-F449-A818-1F4D2DC2F040}"/>
    <hyperlink ref="K22" r:id="rId51" xr:uid="{FC4DA1B6-6757-2447-A26E-E81B905B8036}"/>
    <hyperlink ref="L41" r:id="rId52" xr:uid="{D71DE9C9-EA60-A146-BE55-A474E147FE89}"/>
    <hyperlink ref="K26" r:id="rId53" xr:uid="{4E7E6BA3-CB64-E142-A1D0-0DA16566C06F}"/>
    <hyperlink ref="K27" r:id="rId54" xr:uid="{71A2C5FE-C175-6E4C-B394-961A75650AB8}"/>
    <hyperlink ref="K58" r:id="rId55" xr:uid="{8C32E4AA-3510-CC47-B553-92BD195F6879}"/>
    <hyperlink ref="K113" r:id="rId56" display="https://academic.oup.com/book/12265/chapter-abstract/317026498?redirectedFrom=fulltext" xr:uid="{B702FA2A-D1AD-5747-8043-6210D160D29C}"/>
    <hyperlink ref="L18" r:id="rId57" xr:uid="{B538EFC9-0EDA-3F4E-B3EF-1522F3DF2879}"/>
    <hyperlink ref="L19" r:id="rId58" xr:uid="{A128FFAB-00DA-734E-9A72-61B62B9E6899}"/>
    <hyperlink ref="L55" r:id="rId59" xr:uid="{B3721051-77D7-AA49-9650-7B155B41B868}"/>
    <hyperlink ref="M46" r:id="rId60" display="Sarmento T, et al. 2022" xr:uid="{A0A0650B-0D95-A645-8A41-30A23B133FAF}"/>
    <hyperlink ref="M47" r:id="rId61" display="Sarmento T, et al. 2022" xr:uid="{27D5CE73-2E2E-794B-952A-D611E55E1A47}"/>
    <hyperlink ref="K168" r:id="rId62" display="https://assets-eu.researchsquare.com/files/rs-1612317/v1/6ea04974-c218-4eb1-b1e9-aee9c6f753af.pdf?c=1697480328" xr:uid="{EC3338D5-2739-6942-A1CF-FD4CC4A285DC}"/>
    <hyperlink ref="K172" r:id="rId63" display="https://assets-eu.researchsquare.com/files/rs-1612317/v1/6ea04974-c218-4eb1-b1e9-aee9c6f753af.pdf?c=1697480328" xr:uid="{70B2CE46-F052-6642-90EE-A411CB70EE63}"/>
    <hyperlink ref="K48" r:id="rId64" xr:uid="{CE25B51B-990C-7540-8500-FC3C6A3DB65F}"/>
    <hyperlink ref="K49" r:id="rId65" xr:uid="{20164A1A-759B-6847-AF90-C536D187186D}"/>
    <hyperlink ref="L42" r:id="rId66" xr:uid="{88ED66C3-1099-F848-81E1-91AD5A32F8E0}"/>
  </hyperlink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DE526-2635-CE44-AB5E-CB6BDECDA741}">
  <dimension ref="A1:F2335"/>
  <sheetViews>
    <sheetView topLeftCell="A184" workbookViewId="0">
      <selection activeCell="D197" sqref="D197"/>
    </sheetView>
  </sheetViews>
  <sheetFormatPr baseColWidth="10" defaultColWidth="8.83203125" defaultRowHeight="16" x14ac:dyDescent="0.2"/>
  <cols>
    <col min="1" max="1" width="53.83203125" customWidth="1"/>
    <col min="2" max="2" width="45.1640625" customWidth="1"/>
    <col min="3" max="3" width="55" customWidth="1"/>
  </cols>
  <sheetData>
    <row r="1" spans="1:6" x14ac:dyDescent="0.2">
      <c r="A1" s="220" t="s">
        <v>644</v>
      </c>
      <c r="B1" s="220" t="s">
        <v>645</v>
      </c>
      <c r="C1" s="221" t="s">
        <v>646</v>
      </c>
      <c r="D1" s="221" t="s">
        <v>647</v>
      </c>
      <c r="E1" s="221" t="s">
        <v>152</v>
      </c>
      <c r="F1" s="221" t="s">
        <v>151</v>
      </c>
    </row>
    <row r="2" spans="1:6" ht="32" x14ac:dyDescent="0.2">
      <c r="A2" s="222" t="s">
        <v>648</v>
      </c>
      <c r="B2" s="223" t="s">
        <v>649</v>
      </c>
      <c r="C2" s="224" t="s">
        <v>650</v>
      </c>
      <c r="D2" s="225">
        <v>0.40845920429999899</v>
      </c>
      <c r="E2" s="226">
        <v>0.27357894249999998</v>
      </c>
      <c r="F2" s="227">
        <v>0.54946450499999999</v>
      </c>
    </row>
    <row r="3" spans="1:6" x14ac:dyDescent="0.2">
      <c r="A3" t="s">
        <v>651</v>
      </c>
      <c r="B3" t="s">
        <v>652</v>
      </c>
      <c r="C3" t="s">
        <v>653</v>
      </c>
      <c r="D3">
        <v>0.41069636034036</v>
      </c>
      <c r="E3">
        <v>0.27806277030604898</v>
      </c>
      <c r="F3">
        <v>0.55068573930158304</v>
      </c>
    </row>
    <row r="4" spans="1:6" x14ac:dyDescent="0.2">
      <c r="A4" t="s">
        <v>654</v>
      </c>
      <c r="B4" t="s">
        <v>655</v>
      </c>
      <c r="C4" t="s">
        <v>653</v>
      </c>
      <c r="D4">
        <v>0.43866320998543701</v>
      </c>
      <c r="E4">
        <v>0.30654567321234999</v>
      </c>
      <c r="F4">
        <v>0.57724936794849202</v>
      </c>
    </row>
    <row r="5" spans="1:6" x14ac:dyDescent="0.2">
      <c r="A5" t="s">
        <v>656</v>
      </c>
      <c r="B5" t="s">
        <v>657</v>
      </c>
      <c r="C5" t="s">
        <v>653</v>
      </c>
      <c r="D5">
        <v>0.49482700365224902</v>
      </c>
      <c r="E5">
        <v>0.35294456669518398</v>
      </c>
      <c r="F5">
        <v>0.64020241358095098</v>
      </c>
    </row>
    <row r="6" spans="1:6" x14ac:dyDescent="0.2">
      <c r="A6" t="s">
        <v>658</v>
      </c>
      <c r="B6" t="s">
        <v>649</v>
      </c>
      <c r="C6" t="s">
        <v>650</v>
      </c>
      <c r="D6">
        <v>0.40845920429999899</v>
      </c>
      <c r="E6">
        <v>0.27357894249999998</v>
      </c>
      <c r="F6">
        <v>0.54946450499999999</v>
      </c>
    </row>
    <row r="7" spans="1:6" x14ac:dyDescent="0.2">
      <c r="A7" t="s">
        <v>659</v>
      </c>
      <c r="B7" t="s">
        <v>652</v>
      </c>
      <c r="C7" t="s">
        <v>653</v>
      </c>
      <c r="D7">
        <v>0.41069636034036</v>
      </c>
      <c r="E7">
        <v>0.27806277030604898</v>
      </c>
      <c r="F7">
        <v>0.55068573930158304</v>
      </c>
    </row>
    <row r="8" spans="1:6" x14ac:dyDescent="0.2">
      <c r="A8" t="s">
        <v>660</v>
      </c>
      <c r="B8" t="s">
        <v>655</v>
      </c>
      <c r="C8" t="s">
        <v>653</v>
      </c>
      <c r="D8">
        <v>0.43866320998543701</v>
      </c>
      <c r="E8">
        <v>0.30654567321234999</v>
      </c>
      <c r="F8">
        <v>0.57724936794849202</v>
      </c>
    </row>
    <row r="9" spans="1:6" x14ac:dyDescent="0.2">
      <c r="A9" t="s">
        <v>661</v>
      </c>
      <c r="B9" t="s">
        <v>657</v>
      </c>
      <c r="C9" t="s">
        <v>653</v>
      </c>
      <c r="D9">
        <v>0.49482700365224902</v>
      </c>
      <c r="E9">
        <v>0.35294456669518398</v>
      </c>
      <c r="F9">
        <v>0.64020241358095098</v>
      </c>
    </row>
    <row r="10" spans="1:6" x14ac:dyDescent="0.2">
      <c r="A10" t="s">
        <v>662</v>
      </c>
      <c r="B10" t="s">
        <v>649</v>
      </c>
      <c r="C10" t="s">
        <v>650</v>
      </c>
      <c r="D10">
        <v>0.40845920429999899</v>
      </c>
      <c r="E10">
        <v>0.27357894249999998</v>
      </c>
      <c r="F10">
        <v>0.54946450499999999</v>
      </c>
    </row>
    <row r="11" spans="1:6" x14ac:dyDescent="0.2">
      <c r="A11" t="s">
        <v>663</v>
      </c>
      <c r="B11" t="s">
        <v>652</v>
      </c>
      <c r="C11" t="s">
        <v>653</v>
      </c>
      <c r="D11">
        <v>0.41069636034036</v>
      </c>
      <c r="E11">
        <v>0.27806277030604898</v>
      </c>
      <c r="F11">
        <v>0.55068573930158304</v>
      </c>
    </row>
    <row r="12" spans="1:6" x14ac:dyDescent="0.2">
      <c r="A12" t="s">
        <v>664</v>
      </c>
      <c r="B12" t="s">
        <v>655</v>
      </c>
      <c r="C12" t="s">
        <v>653</v>
      </c>
      <c r="D12">
        <v>0.43866320998543701</v>
      </c>
      <c r="E12">
        <v>0.30654567321234999</v>
      </c>
      <c r="F12">
        <v>0.57724936794849202</v>
      </c>
    </row>
    <row r="13" spans="1:6" x14ac:dyDescent="0.2">
      <c r="A13" t="s">
        <v>665</v>
      </c>
      <c r="B13" t="s">
        <v>657</v>
      </c>
      <c r="C13" t="s">
        <v>653</v>
      </c>
      <c r="D13">
        <v>0.49482700365224902</v>
      </c>
      <c r="E13">
        <v>0.35294456669518398</v>
      </c>
      <c r="F13">
        <v>0.64020241358095098</v>
      </c>
    </row>
    <row r="14" spans="1:6" x14ac:dyDescent="0.2">
      <c r="A14" t="s">
        <v>666</v>
      </c>
      <c r="B14" t="s">
        <v>667</v>
      </c>
      <c r="C14" t="s">
        <v>668</v>
      </c>
      <c r="D14">
        <v>0.27447870489999998</v>
      </c>
      <c r="E14">
        <v>0.18435854499999901</v>
      </c>
      <c r="F14">
        <v>0.37709576249999999</v>
      </c>
    </row>
    <row r="15" spans="1:6" x14ac:dyDescent="0.2">
      <c r="A15" t="s">
        <v>669</v>
      </c>
      <c r="B15" t="s">
        <v>670</v>
      </c>
      <c r="C15" t="s">
        <v>671</v>
      </c>
      <c r="D15">
        <v>0.58159008999999995</v>
      </c>
      <c r="E15">
        <v>0.4055435</v>
      </c>
      <c r="F15">
        <v>0.74260550250000001</v>
      </c>
    </row>
    <row r="16" spans="1:6" x14ac:dyDescent="0.2">
      <c r="A16" t="s">
        <v>672</v>
      </c>
      <c r="B16" t="s">
        <v>673</v>
      </c>
      <c r="C16" t="s">
        <v>674</v>
      </c>
      <c r="D16">
        <v>1.24408307999999E-2</v>
      </c>
      <c r="E16">
        <v>6.1947475000000002E-3</v>
      </c>
      <c r="F16">
        <v>2.2708942499999999E-2</v>
      </c>
    </row>
    <row r="17" spans="1:6" x14ac:dyDescent="0.2">
      <c r="A17" t="s">
        <v>675</v>
      </c>
      <c r="B17" t="s">
        <v>676</v>
      </c>
      <c r="D17">
        <v>1.60833307242591E-2</v>
      </c>
      <c r="E17">
        <v>7.5953950137811503E-3</v>
      </c>
      <c r="F17">
        <v>3.0998712879199499E-2</v>
      </c>
    </row>
    <row r="18" spans="1:6" x14ac:dyDescent="0.2">
      <c r="A18" t="s">
        <v>677</v>
      </c>
      <c r="B18" t="s">
        <v>678</v>
      </c>
      <c r="D18">
        <v>6.3305862468731003E-2</v>
      </c>
      <c r="E18">
        <v>3.9980344684223498E-2</v>
      </c>
      <c r="F18">
        <v>9.4802634065244903E-2</v>
      </c>
    </row>
    <row r="19" spans="1:6" x14ac:dyDescent="0.2">
      <c r="A19" t="s">
        <v>679</v>
      </c>
      <c r="B19" t="s">
        <v>680</v>
      </c>
      <c r="D19">
        <v>0.15932514528590999</v>
      </c>
      <c r="E19">
        <v>0.10850395436709399</v>
      </c>
      <c r="F19">
        <v>0.22044928265000199</v>
      </c>
    </row>
    <row r="20" spans="1:6" x14ac:dyDescent="0.2">
      <c r="A20" t="s">
        <v>681</v>
      </c>
      <c r="B20" t="s">
        <v>682</v>
      </c>
      <c r="C20" t="s">
        <v>653</v>
      </c>
      <c r="D20">
        <v>0.27718121817781199</v>
      </c>
      <c r="E20">
        <v>0.188503300832356</v>
      </c>
      <c r="F20">
        <v>0.37914754894346903</v>
      </c>
    </row>
    <row r="21" spans="1:6" x14ac:dyDescent="0.2">
      <c r="A21" t="s">
        <v>683</v>
      </c>
      <c r="B21" t="s">
        <v>684</v>
      </c>
      <c r="C21" t="s">
        <v>653</v>
      </c>
      <c r="D21">
        <v>0.31158531850967103</v>
      </c>
      <c r="E21">
        <v>0.21665628873092099</v>
      </c>
      <c r="F21">
        <v>0.41803402362325198</v>
      </c>
    </row>
    <row r="22" spans="1:6" x14ac:dyDescent="0.2">
      <c r="A22" t="s">
        <v>685</v>
      </c>
      <c r="B22" t="s">
        <v>686</v>
      </c>
      <c r="C22" t="s">
        <v>653</v>
      </c>
      <c r="D22">
        <v>0.38114762405040398</v>
      </c>
      <c r="E22">
        <v>0.26857990585767499</v>
      </c>
      <c r="F22">
        <v>0.50458202537932995</v>
      </c>
    </row>
    <row r="23" spans="1:6" x14ac:dyDescent="0.2">
      <c r="A23" t="s">
        <v>687</v>
      </c>
      <c r="B23" t="s">
        <v>688</v>
      </c>
      <c r="C23" t="s">
        <v>653</v>
      </c>
      <c r="D23">
        <v>0.58321626696497497</v>
      </c>
      <c r="E23">
        <v>0.40917473821748002</v>
      </c>
      <c r="F23">
        <v>0.74297647003911105</v>
      </c>
    </row>
    <row r="24" spans="1:6" x14ac:dyDescent="0.2">
      <c r="A24" t="s">
        <v>689</v>
      </c>
      <c r="B24" t="s">
        <v>690</v>
      </c>
      <c r="C24" t="s">
        <v>653</v>
      </c>
      <c r="D24">
        <v>0.60291260952461101</v>
      </c>
      <c r="E24">
        <v>0.43024704008973802</v>
      </c>
      <c r="F24">
        <v>0.75831273562561297</v>
      </c>
    </row>
    <row r="25" spans="1:6" x14ac:dyDescent="0.2">
      <c r="A25" t="s">
        <v>691</v>
      </c>
      <c r="B25" t="s">
        <v>692</v>
      </c>
      <c r="C25" t="s">
        <v>653</v>
      </c>
      <c r="D25">
        <v>0.64201905045320695</v>
      </c>
      <c r="E25">
        <v>0.47004963415107098</v>
      </c>
      <c r="F25">
        <v>0.79216009372961504</v>
      </c>
    </row>
    <row r="26" spans="1:6" x14ac:dyDescent="0.2">
      <c r="A26" t="s">
        <v>693</v>
      </c>
      <c r="B26" t="s">
        <v>694</v>
      </c>
      <c r="C26" t="s">
        <v>695</v>
      </c>
      <c r="D26">
        <v>7.8017329199999999E-2</v>
      </c>
      <c r="E26">
        <v>5.2124289999999997E-2</v>
      </c>
      <c r="F26">
        <v>0.111066657499999</v>
      </c>
    </row>
    <row r="27" spans="1:6" x14ac:dyDescent="0.2">
      <c r="A27" t="s">
        <v>696</v>
      </c>
      <c r="B27" t="s">
        <v>697</v>
      </c>
      <c r="C27" t="s">
        <v>653</v>
      </c>
      <c r="D27">
        <v>8.1413316308707503E-2</v>
      </c>
      <c r="E27">
        <v>5.4154642832087402E-2</v>
      </c>
      <c r="F27">
        <v>0.115741057355396</v>
      </c>
    </row>
    <row r="28" spans="1:6" x14ac:dyDescent="0.2">
      <c r="A28" t="s">
        <v>698</v>
      </c>
      <c r="B28" t="s">
        <v>699</v>
      </c>
      <c r="C28" t="s">
        <v>653</v>
      </c>
      <c r="D28">
        <v>0.12539263604668499</v>
      </c>
      <c r="E28">
        <v>8.4764613661447899E-2</v>
      </c>
      <c r="F28">
        <v>0.17641450284368199</v>
      </c>
    </row>
    <row r="29" spans="1:6" x14ac:dyDescent="0.2">
      <c r="A29" t="s">
        <v>700</v>
      </c>
      <c r="B29" t="s">
        <v>701</v>
      </c>
      <c r="C29" t="s">
        <v>653</v>
      </c>
      <c r="D29">
        <v>0.214818632701928</v>
      </c>
      <c r="E29">
        <v>0.14811105746702299</v>
      </c>
      <c r="F29">
        <v>0.29504815013240798</v>
      </c>
    </row>
    <row r="30" spans="1:6" x14ac:dyDescent="0.2">
      <c r="A30" t="s">
        <v>702</v>
      </c>
      <c r="B30" t="s">
        <v>703</v>
      </c>
      <c r="D30">
        <v>0</v>
      </c>
      <c r="E30">
        <v>0</v>
      </c>
      <c r="F30">
        <v>0</v>
      </c>
    </row>
    <row r="31" spans="1:6" x14ac:dyDescent="0.2">
      <c r="A31" t="s">
        <v>704</v>
      </c>
      <c r="B31" t="s">
        <v>705</v>
      </c>
      <c r="C31" t="s">
        <v>706</v>
      </c>
      <c r="D31">
        <v>5.0594945799999902E-2</v>
      </c>
      <c r="E31">
        <v>3.2378222499999998E-2</v>
      </c>
      <c r="F31">
        <v>7.4050449999999907E-2</v>
      </c>
    </row>
    <row r="32" spans="1:6" x14ac:dyDescent="0.2">
      <c r="A32" t="s">
        <v>707</v>
      </c>
      <c r="B32" t="s">
        <v>708</v>
      </c>
      <c r="C32" t="s">
        <v>709</v>
      </c>
      <c r="D32">
        <v>0.20294601349999999</v>
      </c>
      <c r="E32">
        <v>0.13394816000000001</v>
      </c>
      <c r="F32">
        <v>0.28958335000000002</v>
      </c>
    </row>
    <row r="33" spans="1:6" x14ac:dyDescent="0.2">
      <c r="A33" t="s">
        <v>710</v>
      </c>
      <c r="B33" t="s">
        <v>711</v>
      </c>
      <c r="C33" t="s">
        <v>712</v>
      </c>
      <c r="D33">
        <v>1.10162523999999E-2</v>
      </c>
      <c r="E33">
        <v>5.2397625E-3</v>
      </c>
      <c r="F33">
        <v>2.06195424999999E-2</v>
      </c>
    </row>
    <row r="34" spans="1:6" x14ac:dyDescent="0.2">
      <c r="A34" t="s">
        <v>713</v>
      </c>
      <c r="B34" t="s">
        <v>711</v>
      </c>
      <c r="C34" t="s">
        <v>712</v>
      </c>
      <c r="D34">
        <v>1.10162523999999E-2</v>
      </c>
      <c r="E34">
        <v>5.2397625E-3</v>
      </c>
      <c r="F34">
        <v>2.06195424999999E-2</v>
      </c>
    </row>
    <row r="35" spans="1:6" x14ac:dyDescent="0.2">
      <c r="A35" t="s">
        <v>714</v>
      </c>
      <c r="B35" t="s">
        <v>715</v>
      </c>
      <c r="C35" t="s">
        <v>716</v>
      </c>
      <c r="D35">
        <v>7.9861649000000003E-3</v>
      </c>
      <c r="E35">
        <v>3.5925099999999902E-3</v>
      </c>
      <c r="F35">
        <v>1.54907825E-2</v>
      </c>
    </row>
    <row r="36" spans="1:6" x14ac:dyDescent="0.2">
      <c r="A36" t="s">
        <v>717</v>
      </c>
      <c r="B36" t="s">
        <v>703</v>
      </c>
      <c r="D36">
        <v>0</v>
      </c>
      <c r="E36">
        <v>0</v>
      </c>
      <c r="F36">
        <v>0</v>
      </c>
    </row>
    <row r="37" spans="1:6" x14ac:dyDescent="0.2">
      <c r="A37" t="s">
        <v>718</v>
      </c>
      <c r="B37" t="s">
        <v>719</v>
      </c>
      <c r="C37" t="s">
        <v>720</v>
      </c>
      <c r="D37">
        <v>5.7864971999999903E-3</v>
      </c>
      <c r="E37">
        <v>2.29985E-3</v>
      </c>
      <c r="F37">
        <v>1.2109072499999899E-2</v>
      </c>
    </row>
    <row r="38" spans="1:6" x14ac:dyDescent="0.2">
      <c r="A38" t="s">
        <v>721</v>
      </c>
      <c r="B38" t="s">
        <v>703</v>
      </c>
      <c r="D38">
        <v>0</v>
      </c>
      <c r="E38">
        <v>0</v>
      </c>
      <c r="F38">
        <v>0</v>
      </c>
    </row>
    <row r="39" spans="1:6" x14ac:dyDescent="0.2">
      <c r="A39" t="s">
        <v>722</v>
      </c>
      <c r="B39" t="s">
        <v>705</v>
      </c>
      <c r="C39" t="s">
        <v>706</v>
      </c>
      <c r="D39">
        <v>5.0594945799999902E-2</v>
      </c>
      <c r="E39">
        <v>3.2378222499999998E-2</v>
      </c>
      <c r="F39">
        <v>7.4050449999999907E-2</v>
      </c>
    </row>
    <row r="40" spans="1:6" x14ac:dyDescent="0.2">
      <c r="A40" t="s">
        <v>723</v>
      </c>
      <c r="B40" t="s">
        <v>724</v>
      </c>
      <c r="C40" t="s">
        <v>725</v>
      </c>
      <c r="D40">
        <v>0.40479053700000001</v>
      </c>
      <c r="E40">
        <v>0.27450637750000001</v>
      </c>
      <c r="F40">
        <v>0.54553343499999996</v>
      </c>
    </row>
    <row r="41" spans="1:6" x14ac:dyDescent="0.2">
      <c r="A41" t="s">
        <v>726</v>
      </c>
      <c r="B41" t="s">
        <v>708</v>
      </c>
      <c r="C41" t="s">
        <v>709</v>
      </c>
      <c r="D41">
        <v>0.20294601349999999</v>
      </c>
      <c r="E41">
        <v>0.13394816000000001</v>
      </c>
      <c r="F41">
        <v>0.28958335000000002</v>
      </c>
    </row>
    <row r="42" spans="1:6" x14ac:dyDescent="0.2">
      <c r="A42" t="s">
        <v>727</v>
      </c>
      <c r="B42" t="s">
        <v>728</v>
      </c>
      <c r="C42" t="s">
        <v>653</v>
      </c>
      <c r="D42">
        <v>0.24302714956393101</v>
      </c>
      <c r="E42">
        <v>0.168002830906056</v>
      </c>
      <c r="F42">
        <v>0.33310621849768102</v>
      </c>
    </row>
    <row r="43" spans="1:6" x14ac:dyDescent="0.2">
      <c r="A43" t="s">
        <v>729</v>
      </c>
      <c r="B43" t="s">
        <v>730</v>
      </c>
      <c r="C43" t="s">
        <v>653</v>
      </c>
      <c r="D43">
        <v>0.43462257170202701</v>
      </c>
      <c r="E43">
        <v>0.305652484586317</v>
      </c>
      <c r="F43">
        <v>0.57131696582490898</v>
      </c>
    </row>
    <row r="44" spans="1:6" x14ac:dyDescent="0.2">
      <c r="A44" t="s">
        <v>731</v>
      </c>
      <c r="B44" t="s">
        <v>732</v>
      </c>
      <c r="C44" t="s">
        <v>653</v>
      </c>
      <c r="D44">
        <v>0.523209748983538</v>
      </c>
      <c r="E44">
        <v>0.37841876680380399</v>
      </c>
      <c r="F44">
        <v>0.66937713286530098</v>
      </c>
    </row>
    <row r="45" spans="1:6" x14ac:dyDescent="0.2">
      <c r="A45" t="s">
        <v>733</v>
      </c>
      <c r="B45" t="s">
        <v>734</v>
      </c>
      <c r="C45" t="s">
        <v>653</v>
      </c>
      <c r="D45">
        <v>0.54696594901024198</v>
      </c>
      <c r="E45">
        <v>0.40205748756085102</v>
      </c>
      <c r="F45">
        <v>0.69074739226205195</v>
      </c>
    </row>
    <row r="46" spans="1:6" x14ac:dyDescent="0.2">
      <c r="A46" t="s">
        <v>735</v>
      </c>
      <c r="B46" t="s">
        <v>703</v>
      </c>
      <c r="D46">
        <v>0</v>
      </c>
      <c r="E46">
        <v>0</v>
      </c>
      <c r="F46">
        <v>0</v>
      </c>
    </row>
    <row r="47" spans="1:6" x14ac:dyDescent="0.2">
      <c r="A47" t="s">
        <v>736</v>
      </c>
      <c r="B47" t="s">
        <v>719</v>
      </c>
      <c r="C47" t="s">
        <v>720</v>
      </c>
      <c r="D47">
        <v>5.7864971999999903E-3</v>
      </c>
      <c r="E47">
        <v>2.29985E-3</v>
      </c>
      <c r="F47">
        <v>1.2109072499999899E-2</v>
      </c>
    </row>
    <row r="48" spans="1:6" x14ac:dyDescent="0.2">
      <c r="A48" t="s">
        <v>737</v>
      </c>
      <c r="B48" t="s">
        <v>738</v>
      </c>
      <c r="C48" t="s">
        <v>739</v>
      </c>
      <c r="D48">
        <v>0.128124532799999</v>
      </c>
      <c r="E48">
        <v>8.6099004999999895E-2</v>
      </c>
      <c r="F48">
        <v>0.18045061999999901</v>
      </c>
    </row>
    <row r="49" spans="1:6" x14ac:dyDescent="0.2">
      <c r="A49" t="s">
        <v>740</v>
      </c>
      <c r="B49" t="s">
        <v>741</v>
      </c>
      <c r="C49" t="s">
        <v>742</v>
      </c>
      <c r="D49">
        <v>7.5640454000000003E-3</v>
      </c>
      <c r="E49">
        <v>3.3355575E-3</v>
      </c>
      <c r="F49">
        <v>1.5242127499999999E-2</v>
      </c>
    </row>
    <row r="50" spans="1:6" x14ac:dyDescent="0.2">
      <c r="A50" t="s">
        <v>743</v>
      </c>
      <c r="B50" t="s">
        <v>744</v>
      </c>
      <c r="C50" t="s">
        <v>745</v>
      </c>
      <c r="D50">
        <v>5.14515299999999E-3</v>
      </c>
      <c r="E50">
        <v>2.0020575E-3</v>
      </c>
      <c r="F50">
        <v>1.10252224999999E-2</v>
      </c>
    </row>
    <row r="51" spans="1:6" x14ac:dyDescent="0.2">
      <c r="A51" t="s">
        <v>746</v>
      </c>
      <c r="B51" t="s">
        <v>747</v>
      </c>
      <c r="C51" t="s">
        <v>748</v>
      </c>
      <c r="D51">
        <v>0.114339967</v>
      </c>
      <c r="E51">
        <v>7.7947084999999999E-2</v>
      </c>
      <c r="F51">
        <v>0.15867681249999999</v>
      </c>
    </row>
    <row r="52" spans="1:6" x14ac:dyDescent="0.2">
      <c r="A52" t="s">
        <v>749</v>
      </c>
      <c r="B52" t="s">
        <v>750</v>
      </c>
      <c r="C52" t="s">
        <v>751</v>
      </c>
      <c r="D52">
        <v>0.32424655079999898</v>
      </c>
      <c r="E52">
        <v>0.21972131750000001</v>
      </c>
      <c r="F52">
        <v>0.44180473999999997</v>
      </c>
    </row>
    <row r="53" spans="1:6" x14ac:dyDescent="0.2">
      <c r="A53" t="s">
        <v>752</v>
      </c>
      <c r="B53" t="s">
        <v>703</v>
      </c>
      <c r="D53">
        <v>0</v>
      </c>
      <c r="E53">
        <v>0</v>
      </c>
      <c r="F53">
        <v>0</v>
      </c>
    </row>
    <row r="54" spans="1:6" x14ac:dyDescent="0.2">
      <c r="A54" t="s">
        <v>753</v>
      </c>
      <c r="B54" t="s">
        <v>719</v>
      </c>
      <c r="C54" t="s">
        <v>720</v>
      </c>
      <c r="D54">
        <v>5.7864971999999903E-3</v>
      </c>
      <c r="E54">
        <v>2.29985E-3</v>
      </c>
      <c r="F54">
        <v>1.2109072499999899E-2</v>
      </c>
    </row>
    <row r="55" spans="1:6" x14ac:dyDescent="0.2">
      <c r="A55" t="s">
        <v>754</v>
      </c>
      <c r="B55" t="s">
        <v>738</v>
      </c>
      <c r="C55" t="s">
        <v>739</v>
      </c>
      <c r="D55">
        <v>0.128124532799999</v>
      </c>
      <c r="E55">
        <v>8.6099004999999895E-2</v>
      </c>
      <c r="F55">
        <v>0.18045061999999901</v>
      </c>
    </row>
    <row r="56" spans="1:6" x14ac:dyDescent="0.2">
      <c r="A56" t="s">
        <v>755</v>
      </c>
      <c r="B56" t="s">
        <v>741</v>
      </c>
      <c r="C56" t="s">
        <v>742</v>
      </c>
      <c r="D56">
        <v>7.5640454000000003E-3</v>
      </c>
      <c r="E56">
        <v>3.3355575E-3</v>
      </c>
      <c r="F56">
        <v>1.5242127499999999E-2</v>
      </c>
    </row>
    <row r="57" spans="1:6" x14ac:dyDescent="0.2">
      <c r="A57" t="s">
        <v>756</v>
      </c>
      <c r="B57" t="s">
        <v>744</v>
      </c>
      <c r="C57" t="s">
        <v>745</v>
      </c>
      <c r="D57">
        <v>5.14515299999999E-3</v>
      </c>
      <c r="E57">
        <v>2.0020575E-3</v>
      </c>
      <c r="F57">
        <v>1.10252224999999E-2</v>
      </c>
    </row>
    <row r="58" spans="1:6" x14ac:dyDescent="0.2">
      <c r="A58" t="s">
        <v>757</v>
      </c>
      <c r="B58" t="s">
        <v>747</v>
      </c>
      <c r="C58" t="s">
        <v>748</v>
      </c>
      <c r="D58">
        <v>0.114339967</v>
      </c>
      <c r="E58">
        <v>7.7947084999999999E-2</v>
      </c>
      <c r="F58">
        <v>0.15867681249999999</v>
      </c>
    </row>
    <row r="59" spans="1:6" x14ac:dyDescent="0.2">
      <c r="A59" t="s">
        <v>758</v>
      </c>
      <c r="B59" t="s">
        <v>750</v>
      </c>
      <c r="C59" t="s">
        <v>751</v>
      </c>
      <c r="D59">
        <v>0.32424655079999898</v>
      </c>
      <c r="E59">
        <v>0.21972131750000001</v>
      </c>
      <c r="F59">
        <v>0.44180473999999997</v>
      </c>
    </row>
    <row r="60" spans="1:6" x14ac:dyDescent="0.2">
      <c r="A60" t="s">
        <v>759</v>
      </c>
      <c r="B60" t="s">
        <v>703</v>
      </c>
      <c r="D60">
        <v>0</v>
      </c>
      <c r="E60">
        <v>0</v>
      </c>
      <c r="F60">
        <v>0</v>
      </c>
    </row>
    <row r="61" spans="1:6" x14ac:dyDescent="0.2">
      <c r="A61" t="s">
        <v>760</v>
      </c>
      <c r="B61" t="s">
        <v>719</v>
      </c>
      <c r="C61" t="s">
        <v>720</v>
      </c>
      <c r="D61">
        <v>5.7864971999999903E-3</v>
      </c>
      <c r="E61">
        <v>2.29985E-3</v>
      </c>
      <c r="F61">
        <v>1.2109072499999899E-2</v>
      </c>
    </row>
    <row r="62" spans="1:6" x14ac:dyDescent="0.2">
      <c r="A62" t="s">
        <v>761</v>
      </c>
      <c r="B62" t="s">
        <v>703</v>
      </c>
      <c r="D62">
        <v>0</v>
      </c>
      <c r="E62">
        <v>0</v>
      </c>
      <c r="F62">
        <v>0</v>
      </c>
    </row>
    <row r="63" spans="1:6" x14ac:dyDescent="0.2">
      <c r="A63" t="s">
        <v>762</v>
      </c>
      <c r="B63" t="s">
        <v>719</v>
      </c>
      <c r="C63" t="s">
        <v>720</v>
      </c>
      <c r="D63">
        <v>5.7864971999999903E-3</v>
      </c>
      <c r="E63">
        <v>2.29985E-3</v>
      </c>
      <c r="F63">
        <v>1.2109072499999899E-2</v>
      </c>
    </row>
    <row r="64" spans="1:6" x14ac:dyDescent="0.2">
      <c r="A64" t="s">
        <v>763</v>
      </c>
      <c r="B64" t="s">
        <v>705</v>
      </c>
      <c r="C64" t="s">
        <v>706</v>
      </c>
      <c r="D64">
        <v>5.0594945799999902E-2</v>
      </c>
      <c r="E64">
        <v>3.2378222499999998E-2</v>
      </c>
      <c r="F64">
        <v>7.4050449999999907E-2</v>
      </c>
    </row>
    <row r="65" spans="1:6" x14ac:dyDescent="0.2">
      <c r="A65" t="s">
        <v>764</v>
      </c>
      <c r="B65" t="s">
        <v>741</v>
      </c>
      <c r="C65" t="s">
        <v>742</v>
      </c>
      <c r="D65">
        <v>7.5640454000000003E-3</v>
      </c>
      <c r="E65">
        <v>3.3355575E-3</v>
      </c>
      <c r="F65">
        <v>1.5242127499999999E-2</v>
      </c>
    </row>
    <row r="66" spans="1:6" x14ac:dyDescent="0.2">
      <c r="A66" t="s">
        <v>765</v>
      </c>
      <c r="B66" t="s">
        <v>744</v>
      </c>
      <c r="C66" t="s">
        <v>745</v>
      </c>
      <c r="D66">
        <v>5.14515299999999E-3</v>
      </c>
      <c r="E66">
        <v>2.0020575E-3</v>
      </c>
      <c r="F66">
        <v>1.10252224999999E-2</v>
      </c>
    </row>
    <row r="67" spans="1:6" x14ac:dyDescent="0.2">
      <c r="A67" t="s">
        <v>766</v>
      </c>
      <c r="B67" t="s">
        <v>747</v>
      </c>
      <c r="C67" t="s">
        <v>748</v>
      </c>
      <c r="D67">
        <v>0.114339967</v>
      </c>
      <c r="E67">
        <v>7.7947084999999999E-2</v>
      </c>
      <c r="F67">
        <v>0.15867681249999999</v>
      </c>
    </row>
    <row r="68" spans="1:6" x14ac:dyDescent="0.2">
      <c r="A68" t="s">
        <v>767</v>
      </c>
      <c r="B68" t="s">
        <v>750</v>
      </c>
      <c r="C68" t="s">
        <v>751</v>
      </c>
      <c r="D68">
        <v>0.32424655079999898</v>
      </c>
      <c r="E68">
        <v>0.21972131750000001</v>
      </c>
      <c r="F68">
        <v>0.44180473999999997</v>
      </c>
    </row>
    <row r="69" spans="1:6" x14ac:dyDescent="0.2">
      <c r="A69" t="s">
        <v>768</v>
      </c>
      <c r="B69" t="s">
        <v>769</v>
      </c>
    </row>
    <row r="70" spans="1:6" x14ac:dyDescent="0.2">
      <c r="A70" t="s">
        <v>770</v>
      </c>
      <c r="B70" t="s">
        <v>703</v>
      </c>
      <c r="D70">
        <v>0</v>
      </c>
      <c r="E70">
        <v>0</v>
      </c>
      <c r="F70">
        <v>0</v>
      </c>
    </row>
    <row r="71" spans="1:6" x14ac:dyDescent="0.2">
      <c r="A71" t="s">
        <v>771</v>
      </c>
      <c r="B71" t="s">
        <v>772</v>
      </c>
      <c r="C71" t="s">
        <v>773</v>
      </c>
      <c r="D71">
        <v>0.33262065790000001</v>
      </c>
      <c r="E71">
        <v>0.2236295975</v>
      </c>
      <c r="F71">
        <v>0.453926995</v>
      </c>
    </row>
    <row r="72" spans="1:6" x14ac:dyDescent="0.2">
      <c r="A72" t="s">
        <v>774</v>
      </c>
      <c r="B72" t="s">
        <v>772</v>
      </c>
      <c r="C72" t="s">
        <v>773</v>
      </c>
      <c r="D72">
        <v>0.33262065790000001</v>
      </c>
      <c r="E72">
        <v>0.2236295975</v>
      </c>
      <c r="F72">
        <v>0.453926995</v>
      </c>
    </row>
    <row r="73" spans="1:6" x14ac:dyDescent="0.2">
      <c r="A73" t="s">
        <v>775</v>
      </c>
      <c r="B73" t="s">
        <v>772</v>
      </c>
      <c r="C73" t="s">
        <v>773</v>
      </c>
      <c r="D73">
        <v>0.33262065790000001</v>
      </c>
      <c r="E73">
        <v>0.2236295975</v>
      </c>
      <c r="F73">
        <v>0.453926995</v>
      </c>
    </row>
    <row r="74" spans="1:6" x14ac:dyDescent="0.2">
      <c r="A74" t="s">
        <v>776</v>
      </c>
      <c r="B74" t="s">
        <v>777</v>
      </c>
      <c r="C74" t="s">
        <v>778</v>
      </c>
      <c r="D74">
        <v>0.29616484669999898</v>
      </c>
      <c r="E74">
        <v>0.19813263</v>
      </c>
      <c r="F74">
        <v>0.41379708999999998</v>
      </c>
    </row>
    <row r="75" spans="1:6" x14ac:dyDescent="0.2">
      <c r="A75" t="s">
        <v>779</v>
      </c>
      <c r="B75" t="s">
        <v>705</v>
      </c>
      <c r="C75" t="s">
        <v>706</v>
      </c>
      <c r="D75">
        <v>5.0594945799999902E-2</v>
      </c>
      <c r="E75">
        <v>3.2378222499999998E-2</v>
      </c>
      <c r="F75">
        <v>7.4050449999999907E-2</v>
      </c>
    </row>
    <row r="76" spans="1:6" x14ac:dyDescent="0.2">
      <c r="A76" t="s">
        <v>780</v>
      </c>
      <c r="B76" t="s">
        <v>781</v>
      </c>
      <c r="C76" t="s">
        <v>782</v>
      </c>
      <c r="D76">
        <v>0.13341151879999999</v>
      </c>
      <c r="E76">
        <v>8.8459514999999905E-2</v>
      </c>
      <c r="F76">
        <v>0.18950166500000001</v>
      </c>
    </row>
    <row r="77" spans="1:6" x14ac:dyDescent="0.2">
      <c r="A77" t="s">
        <v>783</v>
      </c>
      <c r="B77" t="s">
        <v>777</v>
      </c>
      <c r="C77" t="s">
        <v>778</v>
      </c>
      <c r="D77">
        <v>0.29616484669999898</v>
      </c>
      <c r="E77">
        <v>0.19813263</v>
      </c>
      <c r="F77">
        <v>0.41379708999999998</v>
      </c>
    </row>
    <row r="78" spans="1:6" x14ac:dyDescent="0.2">
      <c r="A78" t="s">
        <v>784</v>
      </c>
      <c r="B78" t="s">
        <v>719</v>
      </c>
      <c r="C78" t="s">
        <v>720</v>
      </c>
      <c r="D78">
        <v>5.7864971999999903E-3</v>
      </c>
      <c r="E78">
        <v>2.29985E-3</v>
      </c>
      <c r="F78">
        <v>1.2109072499999899E-2</v>
      </c>
    </row>
    <row r="79" spans="1:6" x14ac:dyDescent="0.2">
      <c r="A79" t="s">
        <v>785</v>
      </c>
      <c r="B79" t="s">
        <v>705</v>
      </c>
      <c r="C79" t="s">
        <v>706</v>
      </c>
      <c r="D79">
        <v>5.0594945799999902E-2</v>
      </c>
      <c r="E79">
        <v>3.2378222499999998E-2</v>
      </c>
      <c r="F79">
        <v>7.4050449999999907E-2</v>
      </c>
    </row>
    <row r="80" spans="1:6" x14ac:dyDescent="0.2">
      <c r="A80" t="s">
        <v>786</v>
      </c>
      <c r="B80" t="s">
        <v>787</v>
      </c>
      <c r="C80" t="s">
        <v>788</v>
      </c>
      <c r="D80">
        <v>1.33199734999999E-2</v>
      </c>
      <c r="E80">
        <v>6.8780424999999997E-3</v>
      </c>
      <c r="F80">
        <v>2.3644419999999899E-2</v>
      </c>
    </row>
    <row r="81" spans="1:6" x14ac:dyDescent="0.2">
      <c r="A81" t="s">
        <v>789</v>
      </c>
      <c r="B81" t="s">
        <v>781</v>
      </c>
      <c r="C81" t="s">
        <v>782</v>
      </c>
      <c r="D81">
        <v>0.13341151879999999</v>
      </c>
      <c r="E81">
        <v>8.8459514999999905E-2</v>
      </c>
      <c r="F81">
        <v>0.18950166500000001</v>
      </c>
    </row>
    <row r="82" spans="1:6" x14ac:dyDescent="0.2">
      <c r="A82" t="s">
        <v>790</v>
      </c>
      <c r="B82" t="s">
        <v>791</v>
      </c>
      <c r="C82" t="s">
        <v>792</v>
      </c>
      <c r="D82">
        <v>9.5578865999999991E-3</v>
      </c>
      <c r="E82">
        <v>4.1924800000000002E-3</v>
      </c>
      <c r="F82">
        <v>1.8805200000000001E-2</v>
      </c>
    </row>
    <row r="83" spans="1:6" x14ac:dyDescent="0.2">
      <c r="A83" t="s">
        <v>793</v>
      </c>
      <c r="B83" t="s">
        <v>794</v>
      </c>
      <c r="C83" t="s">
        <v>795</v>
      </c>
      <c r="D83">
        <v>2.65751711999999E-2</v>
      </c>
      <c r="E83">
        <v>1.52951175E-2</v>
      </c>
      <c r="F83">
        <v>4.22289125E-2</v>
      </c>
    </row>
    <row r="84" spans="1:6" x14ac:dyDescent="0.2">
      <c r="A84" t="s">
        <v>796</v>
      </c>
      <c r="B84" t="s">
        <v>797</v>
      </c>
      <c r="C84" t="s">
        <v>798</v>
      </c>
      <c r="D84">
        <v>2.1431429099999899E-2</v>
      </c>
      <c r="E84">
        <v>1.1755784999999999E-2</v>
      </c>
      <c r="F84">
        <v>3.6158027499999898E-2</v>
      </c>
    </row>
    <row r="85" spans="1:6" x14ac:dyDescent="0.2">
      <c r="A85" t="s">
        <v>799</v>
      </c>
      <c r="B85" t="s">
        <v>800</v>
      </c>
      <c r="C85" t="s">
        <v>801</v>
      </c>
      <c r="D85">
        <v>7.3963035999999899E-2</v>
      </c>
      <c r="E85">
        <v>4.8560812499999897E-2</v>
      </c>
      <c r="F85">
        <v>0.1065795325</v>
      </c>
    </row>
    <row r="86" spans="1:6" x14ac:dyDescent="0.2">
      <c r="A86" t="s">
        <v>802</v>
      </c>
      <c r="B86" t="s">
        <v>803</v>
      </c>
      <c r="D86">
        <v>0.121816065461137</v>
      </c>
      <c r="E86">
        <v>7.9220648865462595E-2</v>
      </c>
      <c r="F86">
        <v>0.17025245226115199</v>
      </c>
    </row>
    <row r="87" spans="1:6" x14ac:dyDescent="0.2">
      <c r="A87" t="s">
        <v>804</v>
      </c>
      <c r="B87" t="s">
        <v>805</v>
      </c>
      <c r="D87">
        <v>0.136839321367873</v>
      </c>
      <c r="E87">
        <v>8.9131899284314905E-2</v>
      </c>
      <c r="F87">
        <v>0.188712897141048</v>
      </c>
    </row>
    <row r="88" spans="1:6" x14ac:dyDescent="0.2">
      <c r="A88" t="s">
        <v>806</v>
      </c>
      <c r="B88" t="s">
        <v>807</v>
      </c>
      <c r="D88">
        <v>0.132301573369912</v>
      </c>
      <c r="E88">
        <v>8.6466798909841006E-2</v>
      </c>
      <c r="F88">
        <v>0.18372988181483099</v>
      </c>
    </row>
    <row r="89" spans="1:6" x14ac:dyDescent="0.2">
      <c r="A89" t="s">
        <v>808</v>
      </c>
      <c r="B89" t="s">
        <v>809</v>
      </c>
      <c r="D89">
        <v>0.17866646028935301</v>
      </c>
      <c r="E89">
        <v>0.120347159700539</v>
      </c>
      <c r="F89">
        <v>0.24689385199373201</v>
      </c>
    </row>
    <row r="90" spans="1:6" x14ac:dyDescent="0.2">
      <c r="A90" t="s">
        <v>810</v>
      </c>
      <c r="B90" t="s">
        <v>777</v>
      </c>
      <c r="C90" t="s">
        <v>778</v>
      </c>
      <c r="D90">
        <v>0.29616484669999898</v>
      </c>
      <c r="E90">
        <v>0.19813263</v>
      </c>
      <c r="F90">
        <v>0.41379708999999998</v>
      </c>
    </row>
    <row r="91" spans="1:6" x14ac:dyDescent="0.2">
      <c r="A91" t="s">
        <v>811</v>
      </c>
      <c r="B91" t="s">
        <v>812</v>
      </c>
      <c r="C91" t="s">
        <v>813</v>
      </c>
      <c r="D91">
        <v>7.3536963899999905E-2</v>
      </c>
      <c r="E91">
        <v>4.8733499999999999E-2</v>
      </c>
      <c r="F91">
        <v>0.104392015</v>
      </c>
    </row>
    <row r="92" spans="1:6" x14ac:dyDescent="0.2">
      <c r="A92" t="s">
        <v>814</v>
      </c>
      <c r="B92" t="s">
        <v>815</v>
      </c>
      <c r="C92" t="s">
        <v>816</v>
      </c>
      <c r="D92">
        <v>0.18787419850000001</v>
      </c>
      <c r="E92">
        <v>0.12484302999999999</v>
      </c>
      <c r="F92">
        <v>0.26416233</v>
      </c>
    </row>
    <row r="93" spans="1:6" x14ac:dyDescent="0.2">
      <c r="A93" t="s">
        <v>817</v>
      </c>
      <c r="B93" t="s">
        <v>818</v>
      </c>
      <c r="C93" t="s">
        <v>819</v>
      </c>
      <c r="D93">
        <v>0.2470957725</v>
      </c>
      <c r="E93">
        <v>0.16404359499999999</v>
      </c>
      <c r="F93">
        <v>0.34777506749999998</v>
      </c>
    </row>
    <row r="94" spans="1:6" x14ac:dyDescent="0.2">
      <c r="A94" t="s">
        <v>820</v>
      </c>
      <c r="B94" t="s">
        <v>821</v>
      </c>
      <c r="C94" t="s">
        <v>822</v>
      </c>
      <c r="D94">
        <v>0.32480394149999903</v>
      </c>
      <c r="E94">
        <v>0.20924532499999901</v>
      </c>
      <c r="F94">
        <v>0.46216676249999999</v>
      </c>
    </row>
    <row r="95" spans="1:6" x14ac:dyDescent="0.2">
      <c r="A95" t="s">
        <v>823</v>
      </c>
      <c r="B95" t="s">
        <v>750</v>
      </c>
      <c r="C95" t="s">
        <v>751</v>
      </c>
      <c r="D95">
        <v>0.32424655079999898</v>
      </c>
      <c r="E95">
        <v>0.21972131750000001</v>
      </c>
      <c r="F95">
        <v>0.44180473999999997</v>
      </c>
    </row>
    <row r="96" spans="1:6" x14ac:dyDescent="0.2">
      <c r="A96" t="s">
        <v>824</v>
      </c>
      <c r="B96" t="s">
        <v>705</v>
      </c>
      <c r="C96" t="s">
        <v>706</v>
      </c>
      <c r="D96">
        <v>5.0594945799999902E-2</v>
      </c>
      <c r="E96">
        <v>3.2378222499999998E-2</v>
      </c>
      <c r="F96">
        <v>7.4050449999999907E-2</v>
      </c>
    </row>
    <row r="97" spans="1:6" x14ac:dyDescent="0.2">
      <c r="A97" t="s">
        <v>825</v>
      </c>
      <c r="B97" t="s">
        <v>781</v>
      </c>
      <c r="C97" t="s">
        <v>782</v>
      </c>
      <c r="D97">
        <v>0.13341151879999999</v>
      </c>
      <c r="E97">
        <v>8.8459514999999905E-2</v>
      </c>
      <c r="F97">
        <v>0.18950166500000001</v>
      </c>
    </row>
    <row r="98" spans="1:6" x14ac:dyDescent="0.2">
      <c r="A98" t="s">
        <v>826</v>
      </c>
      <c r="B98" t="s">
        <v>747</v>
      </c>
      <c r="C98" t="s">
        <v>748</v>
      </c>
      <c r="D98">
        <v>0.114339967</v>
      </c>
      <c r="E98">
        <v>7.7947084999999999E-2</v>
      </c>
      <c r="F98">
        <v>0.15867681249999999</v>
      </c>
    </row>
    <row r="99" spans="1:6" x14ac:dyDescent="0.2">
      <c r="A99" t="s">
        <v>827</v>
      </c>
      <c r="B99" t="s">
        <v>719</v>
      </c>
      <c r="C99" t="s">
        <v>720</v>
      </c>
      <c r="D99">
        <v>5.7864971999999903E-3</v>
      </c>
      <c r="E99">
        <v>2.29985E-3</v>
      </c>
      <c r="F99">
        <v>1.2109072499999899E-2</v>
      </c>
    </row>
    <row r="100" spans="1:6" x14ac:dyDescent="0.2">
      <c r="A100" t="s">
        <v>828</v>
      </c>
      <c r="B100" t="s">
        <v>705</v>
      </c>
      <c r="C100" t="s">
        <v>706</v>
      </c>
      <c r="D100">
        <v>5.0594945799999902E-2</v>
      </c>
      <c r="E100">
        <v>3.2378222499999998E-2</v>
      </c>
      <c r="F100">
        <v>7.4050449999999907E-2</v>
      </c>
    </row>
    <row r="101" spans="1:6" x14ac:dyDescent="0.2">
      <c r="A101" t="s">
        <v>829</v>
      </c>
      <c r="B101" t="s">
        <v>781</v>
      </c>
      <c r="C101" t="s">
        <v>782</v>
      </c>
      <c r="D101">
        <v>0.13341151879999999</v>
      </c>
      <c r="E101">
        <v>8.8459514999999905E-2</v>
      </c>
      <c r="F101">
        <v>0.18950166500000001</v>
      </c>
    </row>
    <row r="102" spans="1:6" x14ac:dyDescent="0.2">
      <c r="A102" t="s">
        <v>830</v>
      </c>
      <c r="B102" t="s">
        <v>781</v>
      </c>
      <c r="C102" t="s">
        <v>782</v>
      </c>
      <c r="D102">
        <v>0.13341151879999999</v>
      </c>
      <c r="E102">
        <v>8.8459514999999905E-2</v>
      </c>
      <c r="F102">
        <v>0.18950166500000001</v>
      </c>
    </row>
    <row r="103" spans="1:6" x14ac:dyDescent="0.2">
      <c r="A103" t="s">
        <v>831</v>
      </c>
      <c r="B103" t="s">
        <v>769</v>
      </c>
    </row>
    <row r="104" spans="1:6" x14ac:dyDescent="0.2">
      <c r="A104" t="s">
        <v>832</v>
      </c>
      <c r="B104" t="s">
        <v>719</v>
      </c>
      <c r="C104" t="s">
        <v>720</v>
      </c>
      <c r="D104">
        <v>5.7864971999999903E-3</v>
      </c>
      <c r="E104">
        <v>2.29985E-3</v>
      </c>
      <c r="F104">
        <v>1.2109072499999899E-2</v>
      </c>
    </row>
    <row r="105" spans="1:6" x14ac:dyDescent="0.2">
      <c r="A105" t="s">
        <v>833</v>
      </c>
      <c r="B105" t="s">
        <v>834</v>
      </c>
      <c r="C105" t="s">
        <v>653</v>
      </c>
      <c r="D105">
        <v>9.4564588885162407E-3</v>
      </c>
      <c r="E105">
        <v>3.7379648000726499E-3</v>
      </c>
      <c r="F105">
        <v>1.9990374672651901E-2</v>
      </c>
    </row>
    <row r="106" spans="1:6" x14ac:dyDescent="0.2">
      <c r="A106" t="s">
        <v>835</v>
      </c>
      <c r="B106" t="s">
        <v>836</v>
      </c>
      <c r="C106" t="s">
        <v>653</v>
      </c>
      <c r="D106">
        <v>5.7010903896366601E-2</v>
      </c>
      <c r="E106">
        <v>3.6645644172970199E-2</v>
      </c>
      <c r="F106">
        <v>8.5295880522734693E-2</v>
      </c>
    </row>
    <row r="107" spans="1:6" x14ac:dyDescent="0.2">
      <c r="A107" t="s">
        <v>837</v>
      </c>
      <c r="B107" t="s">
        <v>838</v>
      </c>
      <c r="C107" t="s">
        <v>653</v>
      </c>
      <c r="D107">
        <v>0.15368270742168999</v>
      </c>
      <c r="E107">
        <v>0.10500097621297801</v>
      </c>
      <c r="F107">
        <v>0.21399375001701501</v>
      </c>
    </row>
    <row r="108" spans="1:6" x14ac:dyDescent="0.2">
      <c r="A108" t="s">
        <v>839</v>
      </c>
      <c r="B108" t="s">
        <v>705</v>
      </c>
      <c r="C108" t="s">
        <v>706</v>
      </c>
      <c r="D108">
        <v>5.0594945799999902E-2</v>
      </c>
      <c r="E108">
        <v>3.2378222499999998E-2</v>
      </c>
      <c r="F108">
        <v>7.4050449999999907E-2</v>
      </c>
    </row>
    <row r="109" spans="1:6" x14ac:dyDescent="0.2">
      <c r="A109" t="s">
        <v>840</v>
      </c>
      <c r="B109" t="s">
        <v>841</v>
      </c>
      <c r="C109" t="s">
        <v>653</v>
      </c>
      <c r="D109">
        <v>5.40912769231853E-2</v>
      </c>
      <c r="E109">
        <v>3.3975600824515E-2</v>
      </c>
      <c r="F109">
        <v>7.9322085231024006E-2</v>
      </c>
    </row>
    <row r="110" spans="1:6" x14ac:dyDescent="0.2">
      <c r="A110" t="s">
        <v>842</v>
      </c>
      <c r="B110" t="s">
        <v>843</v>
      </c>
      <c r="C110" t="s">
        <v>653</v>
      </c>
      <c r="D110">
        <v>9.9421230842791697E-2</v>
      </c>
      <c r="E110">
        <v>6.4835668045493899E-2</v>
      </c>
      <c r="F110">
        <v>0.14205088137793301</v>
      </c>
    </row>
    <row r="111" spans="1:6" x14ac:dyDescent="0.2">
      <c r="A111" t="s">
        <v>844</v>
      </c>
      <c r="B111" t="s">
        <v>845</v>
      </c>
      <c r="C111" t="s">
        <v>653</v>
      </c>
      <c r="D111">
        <v>0.19162019824648899</v>
      </c>
      <c r="E111">
        <v>0.132884256117102</v>
      </c>
      <c r="F111">
        <v>0.26260119864894699</v>
      </c>
    </row>
    <row r="112" spans="1:6" x14ac:dyDescent="0.2">
      <c r="A112" t="s">
        <v>846</v>
      </c>
      <c r="B112" t="s">
        <v>781</v>
      </c>
      <c r="C112" t="s">
        <v>782</v>
      </c>
      <c r="D112">
        <v>0.13341151879999999</v>
      </c>
      <c r="E112">
        <v>8.8459514999999905E-2</v>
      </c>
      <c r="F112">
        <v>0.18950166500000001</v>
      </c>
    </row>
    <row r="113" spans="1:6" x14ac:dyDescent="0.2">
      <c r="A113" t="s">
        <v>847</v>
      </c>
      <c r="B113" t="s">
        <v>848</v>
      </c>
      <c r="C113" t="s">
        <v>653</v>
      </c>
      <c r="D113">
        <v>0.136608729508858</v>
      </c>
      <c r="E113">
        <v>9.1457382015738706E-2</v>
      </c>
      <c r="F113">
        <v>0.192488150004933</v>
      </c>
    </row>
    <row r="114" spans="1:6" x14ac:dyDescent="0.2">
      <c r="A114" t="s">
        <v>849</v>
      </c>
      <c r="B114" t="s">
        <v>850</v>
      </c>
      <c r="C114" t="s">
        <v>653</v>
      </c>
      <c r="D114">
        <v>0.177867946714338</v>
      </c>
      <c r="E114">
        <v>0.12183736967690199</v>
      </c>
      <c r="F114">
        <v>0.247376207280356</v>
      </c>
    </row>
    <row r="115" spans="1:6" x14ac:dyDescent="0.2">
      <c r="A115" t="s">
        <v>851</v>
      </c>
      <c r="B115" t="s">
        <v>852</v>
      </c>
      <c r="C115" t="s">
        <v>653</v>
      </c>
      <c r="D115">
        <v>0.26167538066322099</v>
      </c>
      <c r="E115">
        <v>0.183516715919878</v>
      </c>
      <c r="F115">
        <v>0.35904947510167801</v>
      </c>
    </row>
    <row r="116" spans="1:6" x14ac:dyDescent="0.2">
      <c r="A116" t="s">
        <v>853</v>
      </c>
      <c r="B116" t="s">
        <v>703</v>
      </c>
      <c r="D116">
        <v>0</v>
      </c>
      <c r="E116">
        <v>0</v>
      </c>
      <c r="F116">
        <v>0</v>
      </c>
    </row>
    <row r="117" spans="1:6" x14ac:dyDescent="0.2">
      <c r="A117" t="s">
        <v>854</v>
      </c>
      <c r="B117" t="s">
        <v>855</v>
      </c>
      <c r="C117" t="s">
        <v>856</v>
      </c>
      <c r="D117">
        <v>3.69639789999999E-3</v>
      </c>
      <c r="E117">
        <v>1.3124725E-3</v>
      </c>
      <c r="F117">
        <v>8.1387825000000004E-3</v>
      </c>
    </row>
    <row r="118" spans="1:6" x14ac:dyDescent="0.2">
      <c r="A118" t="s">
        <v>857</v>
      </c>
      <c r="B118" t="s">
        <v>858</v>
      </c>
      <c r="C118" t="s">
        <v>859</v>
      </c>
      <c r="D118">
        <v>5.1541961499999997E-2</v>
      </c>
      <c r="E118">
        <v>3.3847374999999999E-2</v>
      </c>
      <c r="F118">
        <v>7.5721812499999999E-2</v>
      </c>
    </row>
    <row r="119" spans="1:6" x14ac:dyDescent="0.2">
      <c r="A119" t="s">
        <v>860</v>
      </c>
      <c r="B119" t="s">
        <v>861</v>
      </c>
      <c r="C119" t="s">
        <v>862</v>
      </c>
      <c r="D119">
        <v>0.14876615300000001</v>
      </c>
      <c r="E119">
        <v>0.10073293999999899</v>
      </c>
      <c r="F119">
        <v>0.20911520249999899</v>
      </c>
    </row>
    <row r="120" spans="1:6" x14ac:dyDescent="0.2">
      <c r="A120" t="s">
        <v>863</v>
      </c>
      <c r="B120" t="s">
        <v>703</v>
      </c>
      <c r="D120">
        <v>0</v>
      </c>
      <c r="E120">
        <v>0</v>
      </c>
      <c r="F120">
        <v>0</v>
      </c>
    </row>
    <row r="121" spans="1:6" x14ac:dyDescent="0.2">
      <c r="A121" t="s">
        <v>864</v>
      </c>
      <c r="B121" t="s">
        <v>855</v>
      </c>
      <c r="C121" t="s">
        <v>856</v>
      </c>
      <c r="D121">
        <v>3.69639789999999E-3</v>
      </c>
      <c r="E121">
        <v>1.3124725E-3</v>
      </c>
      <c r="F121">
        <v>8.1387825000000004E-3</v>
      </c>
    </row>
    <row r="122" spans="1:6" x14ac:dyDescent="0.2">
      <c r="A122" t="s">
        <v>865</v>
      </c>
      <c r="B122" t="s">
        <v>858</v>
      </c>
      <c r="C122" t="s">
        <v>859</v>
      </c>
      <c r="D122">
        <v>5.1541961499999997E-2</v>
      </c>
      <c r="E122">
        <v>3.3847374999999999E-2</v>
      </c>
      <c r="F122">
        <v>7.5721812499999999E-2</v>
      </c>
    </row>
    <row r="123" spans="1:6" x14ac:dyDescent="0.2">
      <c r="A123" t="s">
        <v>866</v>
      </c>
      <c r="B123" t="s">
        <v>861</v>
      </c>
      <c r="C123" t="s">
        <v>862</v>
      </c>
      <c r="D123">
        <v>0.14876615300000001</v>
      </c>
      <c r="E123">
        <v>0.10073293999999899</v>
      </c>
      <c r="F123">
        <v>0.20911520249999899</v>
      </c>
    </row>
    <row r="124" spans="1:6" x14ac:dyDescent="0.2">
      <c r="A124" t="s">
        <v>867</v>
      </c>
      <c r="B124" t="s">
        <v>868</v>
      </c>
      <c r="C124" t="s">
        <v>869</v>
      </c>
      <c r="D124">
        <v>6.08338594999999E-2</v>
      </c>
      <c r="E124">
        <v>3.9587362499999897E-2</v>
      </c>
      <c r="F124">
        <v>8.9085129999999998E-2</v>
      </c>
    </row>
    <row r="125" spans="1:6" x14ac:dyDescent="0.2">
      <c r="A125" t="s">
        <v>870</v>
      </c>
      <c r="B125" t="s">
        <v>871</v>
      </c>
      <c r="C125" t="s">
        <v>653</v>
      </c>
      <c r="D125">
        <v>0.23648531544898699</v>
      </c>
      <c r="E125">
        <v>0.16477131335158501</v>
      </c>
      <c r="F125">
        <v>0.32307596056295501</v>
      </c>
    </row>
    <row r="126" spans="1:6" x14ac:dyDescent="0.2">
      <c r="A126" t="s">
        <v>872</v>
      </c>
      <c r="B126" t="s">
        <v>873</v>
      </c>
      <c r="C126" t="s">
        <v>653</v>
      </c>
    </row>
    <row r="127" spans="1:6" x14ac:dyDescent="0.2">
      <c r="A127" t="s">
        <v>874</v>
      </c>
      <c r="B127" t="s">
        <v>875</v>
      </c>
      <c r="C127" t="s">
        <v>653</v>
      </c>
    </row>
    <row r="128" spans="1:6" x14ac:dyDescent="0.2">
      <c r="A128" t="s">
        <v>874</v>
      </c>
      <c r="B128" t="s">
        <v>875</v>
      </c>
      <c r="C128" t="s">
        <v>653</v>
      </c>
    </row>
    <row r="129" spans="1:6" x14ac:dyDescent="0.2">
      <c r="A129" t="s">
        <v>876</v>
      </c>
      <c r="B129" t="s">
        <v>877</v>
      </c>
      <c r="C129" t="s">
        <v>878</v>
      </c>
      <c r="D129">
        <v>0.40161053799999902</v>
      </c>
      <c r="E129">
        <v>0.2682705675</v>
      </c>
      <c r="F129">
        <v>0.54533271750000001</v>
      </c>
    </row>
    <row r="130" spans="1:6" x14ac:dyDescent="0.2">
      <c r="A130" t="s">
        <v>879</v>
      </c>
      <c r="B130" t="s">
        <v>880</v>
      </c>
      <c r="C130" t="s">
        <v>653</v>
      </c>
      <c r="D130">
        <v>0.51154796962864801</v>
      </c>
      <c r="E130">
        <v>0.36513903067502901</v>
      </c>
      <c r="F130">
        <v>0.65776340132739497</v>
      </c>
    </row>
    <row r="131" spans="1:6" x14ac:dyDescent="0.2">
      <c r="A131" t="s">
        <v>881</v>
      </c>
      <c r="B131" t="s">
        <v>882</v>
      </c>
      <c r="C131" t="s">
        <v>653</v>
      </c>
    </row>
    <row r="132" spans="1:6" x14ac:dyDescent="0.2">
      <c r="A132" t="s">
        <v>883</v>
      </c>
      <c r="B132" t="s">
        <v>884</v>
      </c>
      <c r="C132" t="s">
        <v>653</v>
      </c>
      <c r="D132">
        <v>0.35103802944739299</v>
      </c>
      <c r="E132">
        <v>0.245212131291454</v>
      </c>
      <c r="F132">
        <v>0.46739038855932402</v>
      </c>
    </row>
    <row r="133" spans="1:6" x14ac:dyDescent="0.2">
      <c r="A133" t="s">
        <v>883</v>
      </c>
      <c r="B133" t="s">
        <v>884</v>
      </c>
      <c r="C133" t="s">
        <v>653</v>
      </c>
      <c r="D133">
        <v>0.35103802944739299</v>
      </c>
      <c r="E133">
        <v>0.245212131291454</v>
      </c>
      <c r="F133">
        <v>0.46739038855932402</v>
      </c>
    </row>
    <row r="134" spans="1:6" x14ac:dyDescent="0.2">
      <c r="A134" t="s">
        <v>885</v>
      </c>
      <c r="B134" t="s">
        <v>886</v>
      </c>
      <c r="C134" t="s">
        <v>653</v>
      </c>
    </row>
    <row r="135" spans="1:6" x14ac:dyDescent="0.2">
      <c r="A135" t="s">
        <v>885</v>
      </c>
      <c r="B135" t="s">
        <v>886</v>
      </c>
      <c r="C135" t="s">
        <v>653</v>
      </c>
    </row>
    <row r="136" spans="1:6" x14ac:dyDescent="0.2">
      <c r="A136" t="s">
        <v>887</v>
      </c>
      <c r="B136" t="s">
        <v>888</v>
      </c>
      <c r="C136" t="s">
        <v>653</v>
      </c>
    </row>
    <row r="137" spans="1:6" x14ac:dyDescent="0.2">
      <c r="A137" t="s">
        <v>887</v>
      </c>
      <c r="B137" t="s">
        <v>888</v>
      </c>
      <c r="C137" t="s">
        <v>653</v>
      </c>
    </row>
    <row r="138" spans="1:6" x14ac:dyDescent="0.2">
      <c r="A138" t="s">
        <v>887</v>
      </c>
      <c r="B138" t="s">
        <v>888</v>
      </c>
      <c r="C138" t="s">
        <v>653</v>
      </c>
    </row>
    <row r="139" spans="1:6" x14ac:dyDescent="0.2">
      <c r="A139" t="s">
        <v>889</v>
      </c>
      <c r="B139" t="s">
        <v>890</v>
      </c>
      <c r="C139" t="s">
        <v>653</v>
      </c>
    </row>
    <row r="140" spans="1:6" x14ac:dyDescent="0.2">
      <c r="A140" t="s">
        <v>889</v>
      </c>
      <c r="B140" t="s">
        <v>890</v>
      </c>
      <c r="C140" t="s">
        <v>653</v>
      </c>
    </row>
    <row r="141" spans="1:6" x14ac:dyDescent="0.2">
      <c r="A141" t="s">
        <v>891</v>
      </c>
      <c r="B141" t="s">
        <v>892</v>
      </c>
      <c r="C141" t="s">
        <v>653</v>
      </c>
      <c r="D141">
        <v>0.62507767911441803</v>
      </c>
      <c r="E141">
        <v>0.45449602852545301</v>
      </c>
      <c r="F141">
        <v>0.77777199816193399</v>
      </c>
    </row>
    <row r="142" spans="1:6" x14ac:dyDescent="0.2">
      <c r="A142" t="s">
        <v>891</v>
      </c>
      <c r="B142" t="s">
        <v>892</v>
      </c>
      <c r="C142" t="s">
        <v>653</v>
      </c>
      <c r="D142">
        <v>0.62507767911441803</v>
      </c>
      <c r="E142">
        <v>0.45449602852545301</v>
      </c>
      <c r="F142">
        <v>0.77777199816193399</v>
      </c>
    </row>
    <row r="143" spans="1:6" x14ac:dyDescent="0.2">
      <c r="A143" t="s">
        <v>893</v>
      </c>
      <c r="B143" t="s">
        <v>894</v>
      </c>
      <c r="C143" t="s">
        <v>653</v>
      </c>
    </row>
    <row r="144" spans="1:6" x14ac:dyDescent="0.2">
      <c r="A144" t="s">
        <v>893</v>
      </c>
      <c r="B144" t="s">
        <v>894</v>
      </c>
      <c r="C144" t="s">
        <v>653</v>
      </c>
    </row>
    <row r="145" spans="1:6" x14ac:dyDescent="0.2">
      <c r="A145" t="s">
        <v>895</v>
      </c>
      <c r="B145" t="s">
        <v>896</v>
      </c>
      <c r="C145" t="s">
        <v>653</v>
      </c>
    </row>
    <row r="146" spans="1:6" x14ac:dyDescent="0.2">
      <c r="A146" t="s">
        <v>895</v>
      </c>
      <c r="B146" t="s">
        <v>896</v>
      </c>
      <c r="C146" t="s">
        <v>653</v>
      </c>
    </row>
    <row r="147" spans="1:6" x14ac:dyDescent="0.2">
      <c r="A147" t="s">
        <v>895</v>
      </c>
      <c r="B147" t="s">
        <v>896</v>
      </c>
      <c r="C147" t="s">
        <v>653</v>
      </c>
    </row>
    <row r="148" spans="1:6" x14ac:dyDescent="0.2">
      <c r="A148" t="s">
        <v>897</v>
      </c>
      <c r="B148" t="s">
        <v>705</v>
      </c>
      <c r="C148" t="s">
        <v>706</v>
      </c>
      <c r="D148">
        <v>5.0594945799999902E-2</v>
      </c>
      <c r="E148">
        <v>3.2378222499999998E-2</v>
      </c>
      <c r="F148">
        <v>7.4050449999999907E-2</v>
      </c>
    </row>
    <row r="149" spans="1:6" x14ac:dyDescent="0.2">
      <c r="A149" t="s">
        <v>898</v>
      </c>
      <c r="B149" t="s">
        <v>703</v>
      </c>
      <c r="D149">
        <v>0</v>
      </c>
      <c r="E149">
        <v>0</v>
      </c>
      <c r="F149">
        <v>0</v>
      </c>
    </row>
    <row r="150" spans="1:6" x14ac:dyDescent="0.2">
      <c r="A150" t="s">
        <v>899</v>
      </c>
      <c r="B150" t="s">
        <v>900</v>
      </c>
      <c r="C150" t="s">
        <v>901</v>
      </c>
      <c r="D150">
        <v>0.224156355</v>
      </c>
      <c r="E150">
        <v>0.15097352250000001</v>
      </c>
      <c r="F150">
        <v>0.31209085249999902</v>
      </c>
    </row>
    <row r="151" spans="1:6" x14ac:dyDescent="0.2">
      <c r="A151" t="s">
        <v>902</v>
      </c>
      <c r="B151" t="s">
        <v>903</v>
      </c>
      <c r="C151" t="s">
        <v>904</v>
      </c>
      <c r="D151">
        <v>4.14518940999999E-2</v>
      </c>
      <c r="E151">
        <v>2.6103222499999999E-2</v>
      </c>
      <c r="F151">
        <v>6.2339544999999899E-2</v>
      </c>
    </row>
    <row r="152" spans="1:6" x14ac:dyDescent="0.2">
      <c r="A152" t="s">
        <v>905</v>
      </c>
      <c r="B152" t="s">
        <v>906</v>
      </c>
      <c r="C152" t="s">
        <v>907</v>
      </c>
      <c r="D152">
        <v>7.1653432699999894E-2</v>
      </c>
      <c r="E152">
        <v>4.6600777500000003E-2</v>
      </c>
      <c r="F152">
        <v>0.10308943</v>
      </c>
    </row>
    <row r="153" spans="1:6" x14ac:dyDescent="0.2">
      <c r="A153" t="s">
        <v>908</v>
      </c>
      <c r="B153" t="s">
        <v>909</v>
      </c>
      <c r="C153" t="s">
        <v>910</v>
      </c>
      <c r="D153">
        <v>0.17906669619999999</v>
      </c>
      <c r="E153">
        <v>0.1215548</v>
      </c>
      <c r="F153">
        <v>0.25072915749999902</v>
      </c>
    </row>
    <row r="154" spans="1:6" x14ac:dyDescent="0.2">
      <c r="A154" t="s">
        <v>911</v>
      </c>
      <c r="B154" t="s">
        <v>912</v>
      </c>
      <c r="C154" t="s">
        <v>913</v>
      </c>
      <c r="D154">
        <v>1.1009249599999899E-2</v>
      </c>
      <c r="E154">
        <v>5.3773199999999997E-3</v>
      </c>
      <c r="F154">
        <v>2.08201875E-2</v>
      </c>
    </row>
    <row r="155" spans="1:6" x14ac:dyDescent="0.2">
      <c r="A155" t="s">
        <v>914</v>
      </c>
      <c r="B155" t="s">
        <v>747</v>
      </c>
      <c r="C155" t="s">
        <v>748</v>
      </c>
      <c r="D155">
        <v>0.114339967</v>
      </c>
      <c r="E155">
        <v>7.7947084999999999E-2</v>
      </c>
      <c r="F155">
        <v>0.15867681249999999</v>
      </c>
    </row>
    <row r="156" spans="1:6" x14ac:dyDescent="0.2">
      <c r="A156" t="s">
        <v>915</v>
      </c>
      <c r="B156" t="s">
        <v>916</v>
      </c>
      <c r="C156" t="s">
        <v>917</v>
      </c>
      <c r="D156">
        <v>4.9011414699999999E-2</v>
      </c>
      <c r="E156">
        <v>3.1121342499999899E-2</v>
      </c>
      <c r="F156">
        <v>7.2092547499999896E-2</v>
      </c>
    </row>
    <row r="157" spans="1:6" x14ac:dyDescent="0.2">
      <c r="A157" t="s">
        <v>918</v>
      </c>
      <c r="B157" t="s">
        <v>705</v>
      </c>
      <c r="C157" t="s">
        <v>706</v>
      </c>
      <c r="D157">
        <v>5.0594945799999902E-2</v>
      </c>
      <c r="E157">
        <v>3.2378222499999998E-2</v>
      </c>
      <c r="F157">
        <v>7.4050449999999907E-2</v>
      </c>
    </row>
    <row r="158" spans="1:6" x14ac:dyDescent="0.2">
      <c r="A158" t="s">
        <v>919</v>
      </c>
      <c r="B158" t="s">
        <v>781</v>
      </c>
      <c r="C158" t="s">
        <v>782</v>
      </c>
      <c r="D158">
        <v>0.13341151879999999</v>
      </c>
      <c r="E158">
        <v>8.8459514999999905E-2</v>
      </c>
      <c r="F158">
        <v>0.18950166500000001</v>
      </c>
    </row>
    <row r="159" spans="1:6" x14ac:dyDescent="0.2">
      <c r="A159" t="s">
        <v>920</v>
      </c>
      <c r="B159" t="s">
        <v>921</v>
      </c>
      <c r="C159" t="s">
        <v>922</v>
      </c>
      <c r="D159">
        <v>6.6991753799999998E-2</v>
      </c>
      <c r="E159">
        <v>4.4417720000000001E-2</v>
      </c>
      <c r="F159">
        <v>9.5900522499999905E-2</v>
      </c>
    </row>
    <row r="160" spans="1:6" x14ac:dyDescent="0.2">
      <c r="A160" t="s">
        <v>923</v>
      </c>
      <c r="B160" t="s">
        <v>924</v>
      </c>
      <c r="C160" t="s">
        <v>925</v>
      </c>
      <c r="D160">
        <v>2.6517503899999999E-2</v>
      </c>
      <c r="E160">
        <v>1.5009937500000001E-2</v>
      </c>
      <c r="F160">
        <v>4.23970475E-2</v>
      </c>
    </row>
    <row r="161" spans="1:6" x14ac:dyDescent="0.2">
      <c r="A161" t="s">
        <v>926</v>
      </c>
      <c r="B161" t="s">
        <v>927</v>
      </c>
      <c r="C161" t="s">
        <v>928</v>
      </c>
      <c r="D161">
        <v>0.54166777129999999</v>
      </c>
      <c r="E161">
        <v>0.37403827749999902</v>
      </c>
      <c r="F161">
        <v>0.70224279499999998</v>
      </c>
    </row>
    <row r="162" spans="1:6" x14ac:dyDescent="0.2">
      <c r="A162" t="s">
        <v>929</v>
      </c>
      <c r="B162" t="s">
        <v>927</v>
      </c>
      <c r="C162" t="s">
        <v>928</v>
      </c>
      <c r="D162">
        <v>0.54166777129999999</v>
      </c>
      <c r="E162">
        <v>0.37403827749999902</v>
      </c>
      <c r="F162">
        <v>0.70224279499999998</v>
      </c>
    </row>
    <row r="163" spans="1:6" x14ac:dyDescent="0.2">
      <c r="A163" t="s">
        <v>930</v>
      </c>
      <c r="B163" t="s">
        <v>924</v>
      </c>
      <c r="C163" t="s">
        <v>925</v>
      </c>
      <c r="D163">
        <v>2.6517503899999999E-2</v>
      </c>
      <c r="E163">
        <v>1.5009937500000001E-2</v>
      </c>
      <c r="F163">
        <v>4.23970475E-2</v>
      </c>
    </row>
    <row r="164" spans="1:6" x14ac:dyDescent="0.2">
      <c r="A164" t="s">
        <v>931</v>
      </c>
      <c r="B164" t="s">
        <v>719</v>
      </c>
      <c r="C164" t="s">
        <v>720</v>
      </c>
      <c r="D164">
        <v>5.7864971999999903E-3</v>
      </c>
      <c r="E164">
        <v>2.29985E-3</v>
      </c>
      <c r="F164">
        <v>1.2109072499999899E-2</v>
      </c>
    </row>
    <row r="165" spans="1:6" x14ac:dyDescent="0.2">
      <c r="A165" t="s">
        <v>932</v>
      </c>
      <c r="B165" t="s">
        <v>855</v>
      </c>
      <c r="C165" t="s">
        <v>856</v>
      </c>
      <c r="D165">
        <v>3.69639789999999E-3</v>
      </c>
      <c r="E165">
        <v>1.3124725E-3</v>
      </c>
      <c r="F165">
        <v>8.1387825000000004E-3</v>
      </c>
    </row>
    <row r="166" spans="1:6" x14ac:dyDescent="0.2">
      <c r="A166" t="s">
        <v>933</v>
      </c>
      <c r="B166" t="s">
        <v>858</v>
      </c>
      <c r="C166" t="s">
        <v>859</v>
      </c>
      <c r="D166">
        <v>5.1541961499999997E-2</v>
      </c>
      <c r="E166">
        <v>3.3847374999999999E-2</v>
      </c>
      <c r="F166">
        <v>7.5721812499999999E-2</v>
      </c>
    </row>
    <row r="167" spans="1:6" x14ac:dyDescent="0.2">
      <c r="A167" t="s">
        <v>934</v>
      </c>
      <c r="B167" t="s">
        <v>861</v>
      </c>
      <c r="C167" t="s">
        <v>862</v>
      </c>
      <c r="D167">
        <v>0.14876615300000001</v>
      </c>
      <c r="E167">
        <v>0.10073293999999899</v>
      </c>
      <c r="F167">
        <v>0.20911520249999899</v>
      </c>
    </row>
    <row r="168" spans="1:6" x14ac:dyDescent="0.2">
      <c r="A168" t="s">
        <v>935</v>
      </c>
      <c r="B168" t="s">
        <v>812</v>
      </c>
      <c r="C168" t="s">
        <v>813</v>
      </c>
      <c r="D168">
        <v>7.3536963899999905E-2</v>
      </c>
      <c r="E168">
        <v>4.8733499999999999E-2</v>
      </c>
      <c r="F168">
        <v>0.104392015</v>
      </c>
    </row>
    <row r="169" spans="1:6" x14ac:dyDescent="0.2">
      <c r="A169" t="s">
        <v>936</v>
      </c>
      <c r="B169" t="s">
        <v>821</v>
      </c>
      <c r="C169" t="s">
        <v>822</v>
      </c>
      <c r="D169">
        <v>0.32480394149999903</v>
      </c>
      <c r="E169">
        <v>0.20924532499999901</v>
      </c>
      <c r="F169">
        <v>0.46216676249999999</v>
      </c>
    </row>
    <row r="170" spans="1:6" x14ac:dyDescent="0.2">
      <c r="A170" t="s">
        <v>937</v>
      </c>
      <c r="B170" t="s">
        <v>912</v>
      </c>
      <c r="C170" t="s">
        <v>913</v>
      </c>
      <c r="D170">
        <v>1.1009249599999899E-2</v>
      </c>
      <c r="E170">
        <v>5.3773199999999997E-3</v>
      </c>
      <c r="F170">
        <v>2.08201875E-2</v>
      </c>
    </row>
    <row r="171" spans="1:6" x14ac:dyDescent="0.2">
      <c r="A171" t="s">
        <v>938</v>
      </c>
      <c r="B171" t="s">
        <v>912</v>
      </c>
      <c r="C171" t="s">
        <v>913</v>
      </c>
      <c r="D171">
        <v>1.1009249599999899E-2</v>
      </c>
      <c r="E171">
        <v>5.3773199999999997E-3</v>
      </c>
      <c r="F171">
        <v>2.08201875E-2</v>
      </c>
    </row>
    <row r="172" spans="1:6" x14ac:dyDescent="0.2">
      <c r="A172" t="s">
        <v>939</v>
      </c>
      <c r="B172" t="s">
        <v>912</v>
      </c>
      <c r="C172" t="s">
        <v>913</v>
      </c>
      <c r="D172">
        <v>1.1009249599999899E-2</v>
      </c>
      <c r="E172">
        <v>5.3773199999999997E-3</v>
      </c>
      <c r="F172">
        <v>2.08201875E-2</v>
      </c>
    </row>
    <row r="173" spans="1:6" x14ac:dyDescent="0.2">
      <c r="A173" t="s">
        <v>940</v>
      </c>
      <c r="B173" t="s">
        <v>912</v>
      </c>
      <c r="C173" t="s">
        <v>913</v>
      </c>
      <c r="D173">
        <v>1.1009249599999899E-2</v>
      </c>
      <c r="E173">
        <v>5.3773199999999997E-3</v>
      </c>
      <c r="F173">
        <v>2.08201875E-2</v>
      </c>
    </row>
    <row r="174" spans="1:6" x14ac:dyDescent="0.2">
      <c r="A174" t="s">
        <v>941</v>
      </c>
      <c r="B174" t="s">
        <v>747</v>
      </c>
      <c r="C174" t="s">
        <v>748</v>
      </c>
      <c r="D174">
        <v>0.114339967</v>
      </c>
      <c r="E174">
        <v>7.7947084999999999E-2</v>
      </c>
      <c r="F174">
        <v>0.15867681249999999</v>
      </c>
    </row>
    <row r="175" spans="1:6" x14ac:dyDescent="0.2">
      <c r="A175" t="s">
        <v>942</v>
      </c>
      <c r="B175" t="s">
        <v>943</v>
      </c>
      <c r="C175" t="s">
        <v>653</v>
      </c>
    </row>
    <row r="176" spans="1:6" x14ac:dyDescent="0.2">
      <c r="A176" t="s">
        <v>944</v>
      </c>
      <c r="B176" t="s">
        <v>945</v>
      </c>
      <c r="C176" t="s">
        <v>946</v>
      </c>
      <c r="D176">
        <v>1.9316720799999899E-2</v>
      </c>
      <c r="E176">
        <v>1.06353925E-2</v>
      </c>
      <c r="F176">
        <v>3.2722879999999899E-2</v>
      </c>
    </row>
    <row r="177" spans="1:6" x14ac:dyDescent="0.2">
      <c r="A177" t="s">
        <v>947</v>
      </c>
      <c r="B177" t="s">
        <v>747</v>
      </c>
      <c r="C177" t="s">
        <v>748</v>
      </c>
      <c r="D177">
        <v>0.114339967</v>
      </c>
      <c r="E177">
        <v>7.7947084999999999E-2</v>
      </c>
      <c r="F177">
        <v>0.15867681249999999</v>
      </c>
    </row>
    <row r="178" spans="1:6" x14ac:dyDescent="0.2">
      <c r="A178" t="s">
        <v>948</v>
      </c>
      <c r="B178" t="s">
        <v>943</v>
      </c>
      <c r="C178" t="s">
        <v>653</v>
      </c>
    </row>
    <row r="179" spans="1:6" x14ac:dyDescent="0.2">
      <c r="A179" t="s">
        <v>949</v>
      </c>
      <c r="B179" t="s">
        <v>703</v>
      </c>
      <c r="D179">
        <v>0</v>
      </c>
      <c r="E179">
        <v>0</v>
      </c>
      <c r="F179">
        <v>0</v>
      </c>
    </row>
    <row r="180" spans="1:6" x14ac:dyDescent="0.2">
      <c r="A180" t="s">
        <v>950</v>
      </c>
      <c r="B180" t="s">
        <v>705</v>
      </c>
      <c r="C180" t="s">
        <v>706</v>
      </c>
      <c r="D180">
        <v>5.0594945799999902E-2</v>
      </c>
      <c r="E180">
        <v>3.2378222499999998E-2</v>
      </c>
      <c r="F180">
        <v>7.4050449999999907E-2</v>
      </c>
    </row>
    <row r="181" spans="1:6" x14ac:dyDescent="0.2">
      <c r="A181" t="s">
        <v>951</v>
      </c>
      <c r="B181" t="s">
        <v>738</v>
      </c>
      <c r="C181" t="s">
        <v>739</v>
      </c>
      <c r="D181">
        <v>0.128124532799999</v>
      </c>
      <c r="E181">
        <v>8.6099004999999895E-2</v>
      </c>
      <c r="F181">
        <v>0.18045061999999901</v>
      </c>
    </row>
    <row r="182" spans="1:6" x14ac:dyDescent="0.2">
      <c r="A182" t="s">
        <v>952</v>
      </c>
      <c r="B182" t="s">
        <v>953</v>
      </c>
      <c r="C182" t="s">
        <v>954</v>
      </c>
      <c r="D182">
        <v>0.108583132899999</v>
      </c>
      <c r="E182">
        <v>7.3114282499999905E-2</v>
      </c>
      <c r="F182">
        <v>0.15372801249999901</v>
      </c>
    </row>
    <row r="183" spans="1:6" x14ac:dyDescent="0.2">
      <c r="A183" t="s">
        <v>955</v>
      </c>
      <c r="B183" t="s">
        <v>703</v>
      </c>
      <c r="D183">
        <v>0</v>
      </c>
      <c r="E183">
        <v>0</v>
      </c>
      <c r="F183">
        <v>0</v>
      </c>
    </row>
    <row r="184" spans="1:6" x14ac:dyDescent="0.2">
      <c r="A184" t="s">
        <v>956</v>
      </c>
      <c r="B184" t="s">
        <v>711</v>
      </c>
      <c r="C184" t="s">
        <v>712</v>
      </c>
      <c r="D184">
        <v>1.10162523999999E-2</v>
      </c>
      <c r="E184">
        <v>5.2397625E-3</v>
      </c>
      <c r="F184">
        <v>2.06195424999999E-2</v>
      </c>
    </row>
    <row r="185" spans="1:6" x14ac:dyDescent="0.2">
      <c r="A185" t="s">
        <v>957</v>
      </c>
      <c r="B185" t="s">
        <v>724</v>
      </c>
      <c r="C185" t="s">
        <v>725</v>
      </c>
      <c r="D185">
        <v>0.40479053700000001</v>
      </c>
      <c r="E185">
        <v>0.27450637750000001</v>
      </c>
      <c r="F185">
        <v>0.54553343499999996</v>
      </c>
    </row>
    <row r="186" spans="1:6" x14ac:dyDescent="0.2">
      <c r="A186" t="s">
        <v>958</v>
      </c>
      <c r="B186" t="s">
        <v>924</v>
      </c>
      <c r="C186" t="s">
        <v>925</v>
      </c>
      <c r="D186">
        <v>2.6517503899999999E-2</v>
      </c>
      <c r="E186">
        <v>1.5009937500000001E-2</v>
      </c>
      <c r="F186">
        <v>4.23970475E-2</v>
      </c>
    </row>
    <row r="187" spans="1:6" x14ac:dyDescent="0.2">
      <c r="A187" t="s">
        <v>959</v>
      </c>
      <c r="B187" t="s">
        <v>960</v>
      </c>
      <c r="C187" t="s">
        <v>961</v>
      </c>
      <c r="D187">
        <v>0.18808746869999901</v>
      </c>
      <c r="E187">
        <v>0.124700385</v>
      </c>
      <c r="F187">
        <v>0.26659237499999999</v>
      </c>
    </row>
    <row r="188" spans="1:6" x14ac:dyDescent="0.2">
      <c r="A188" t="s">
        <v>962</v>
      </c>
      <c r="B188" t="s">
        <v>960</v>
      </c>
      <c r="C188" t="s">
        <v>961</v>
      </c>
      <c r="D188">
        <v>0.18808746869999901</v>
      </c>
      <c r="E188">
        <v>0.124700385</v>
      </c>
      <c r="F188">
        <v>0.26659237499999999</v>
      </c>
    </row>
    <row r="189" spans="1:6" x14ac:dyDescent="0.2">
      <c r="A189" t="s">
        <v>963</v>
      </c>
      <c r="B189" t="s">
        <v>964</v>
      </c>
      <c r="C189" t="s">
        <v>965</v>
      </c>
      <c r="D189">
        <v>3.0842126399999899E-2</v>
      </c>
      <c r="E189">
        <v>1.8822002500000001E-2</v>
      </c>
      <c r="F189">
        <v>4.8710372499999897E-2</v>
      </c>
    </row>
    <row r="190" spans="1:6" x14ac:dyDescent="0.2">
      <c r="A190" t="s">
        <v>966</v>
      </c>
      <c r="B190" t="s">
        <v>967</v>
      </c>
      <c r="C190" t="s">
        <v>968</v>
      </c>
      <c r="D190">
        <v>0.18404848779999999</v>
      </c>
      <c r="E190">
        <v>0.1251250575</v>
      </c>
      <c r="F190">
        <v>0.25828618249999902</v>
      </c>
    </row>
    <row r="191" spans="1:6" x14ac:dyDescent="0.2">
      <c r="A191" t="s">
        <v>969</v>
      </c>
      <c r="B191" t="s">
        <v>970</v>
      </c>
      <c r="C191" t="s">
        <v>971</v>
      </c>
      <c r="D191">
        <v>0.18736458340000001</v>
      </c>
      <c r="E191">
        <v>0.1244286775</v>
      </c>
      <c r="F191">
        <v>0.26021716249999999</v>
      </c>
    </row>
    <row r="192" spans="1:6" x14ac:dyDescent="0.2">
      <c r="A192" t="s">
        <v>972</v>
      </c>
      <c r="B192" t="s">
        <v>964</v>
      </c>
      <c r="C192" t="s">
        <v>965</v>
      </c>
      <c r="D192">
        <v>3.0842126399999899E-2</v>
      </c>
      <c r="E192">
        <v>1.8822002500000001E-2</v>
      </c>
      <c r="F192">
        <v>4.8710372499999897E-2</v>
      </c>
    </row>
    <row r="193" spans="1:6" x14ac:dyDescent="0.2">
      <c r="A193" t="s">
        <v>973</v>
      </c>
      <c r="B193" t="s">
        <v>967</v>
      </c>
      <c r="C193" t="s">
        <v>968</v>
      </c>
      <c r="D193">
        <v>0.18404848779999999</v>
      </c>
      <c r="E193">
        <v>0.1251250575</v>
      </c>
      <c r="F193">
        <v>0.25828618249999902</v>
      </c>
    </row>
    <row r="194" spans="1:6" x14ac:dyDescent="0.2">
      <c r="A194" t="s">
        <v>974</v>
      </c>
      <c r="B194" t="s">
        <v>970</v>
      </c>
      <c r="C194" t="s">
        <v>971</v>
      </c>
      <c r="D194">
        <v>0.18736458340000001</v>
      </c>
      <c r="E194">
        <v>0.1244286775</v>
      </c>
      <c r="F194">
        <v>0.26021716249999999</v>
      </c>
    </row>
    <row r="195" spans="1:6" s="228" customFormat="1" x14ac:dyDescent="0.2">
      <c r="A195" s="228" t="s">
        <v>975</v>
      </c>
      <c r="B195" s="228" t="s">
        <v>976</v>
      </c>
      <c r="C195" s="228" t="s">
        <v>977</v>
      </c>
      <c r="D195" s="228">
        <v>0.218848731399999</v>
      </c>
      <c r="E195" s="228">
        <v>0.14806672500000001</v>
      </c>
      <c r="F195" s="228">
        <v>0.30782901499999998</v>
      </c>
    </row>
    <row r="196" spans="1:6" s="228" customFormat="1" x14ac:dyDescent="0.2">
      <c r="A196" s="228" t="s">
        <v>978</v>
      </c>
      <c r="B196" s="228" t="s">
        <v>705</v>
      </c>
      <c r="C196" s="228" t="s">
        <v>706</v>
      </c>
      <c r="D196" s="229">
        <v>5.0594945799999902E-2</v>
      </c>
      <c r="E196" s="229">
        <v>3.2378222499999998E-2</v>
      </c>
      <c r="F196" s="229">
        <v>7.4050449999999907E-2</v>
      </c>
    </row>
    <row r="197" spans="1:6" s="228" customFormat="1" x14ac:dyDescent="0.2">
      <c r="A197" s="228" t="s">
        <v>979</v>
      </c>
      <c r="B197" s="228" t="s">
        <v>781</v>
      </c>
      <c r="C197" s="228" t="s">
        <v>782</v>
      </c>
      <c r="D197" s="229">
        <v>0.13341151879999999</v>
      </c>
      <c r="E197" s="229">
        <v>8.8459514999999905E-2</v>
      </c>
      <c r="F197" s="229">
        <v>0.18950166500000001</v>
      </c>
    </row>
    <row r="198" spans="1:6" x14ac:dyDescent="0.2">
      <c r="A198" t="s">
        <v>980</v>
      </c>
      <c r="B198" t="s">
        <v>703</v>
      </c>
      <c r="D198">
        <v>0</v>
      </c>
      <c r="E198">
        <v>0</v>
      </c>
      <c r="F198">
        <v>0</v>
      </c>
    </row>
    <row r="199" spans="1:6" x14ac:dyDescent="0.2">
      <c r="A199" t="s">
        <v>981</v>
      </c>
      <c r="B199" t="s">
        <v>705</v>
      </c>
      <c r="C199" t="s">
        <v>706</v>
      </c>
      <c r="D199">
        <v>5.0594945799999902E-2</v>
      </c>
      <c r="E199">
        <v>3.2378222499999998E-2</v>
      </c>
      <c r="F199">
        <v>7.4050449999999907E-2</v>
      </c>
    </row>
    <row r="200" spans="1:6" x14ac:dyDescent="0.2">
      <c r="A200" t="s">
        <v>982</v>
      </c>
      <c r="B200" t="s">
        <v>781</v>
      </c>
      <c r="C200" t="s">
        <v>782</v>
      </c>
      <c r="D200">
        <v>0.13341151879999999</v>
      </c>
      <c r="E200">
        <v>8.8459514999999905E-2</v>
      </c>
      <c r="F200">
        <v>0.18950166500000001</v>
      </c>
    </row>
    <row r="201" spans="1:6" x14ac:dyDescent="0.2">
      <c r="A201" t="s">
        <v>983</v>
      </c>
      <c r="B201" t="s">
        <v>781</v>
      </c>
      <c r="C201" t="s">
        <v>782</v>
      </c>
      <c r="D201">
        <v>0.13341151879999999</v>
      </c>
      <c r="E201">
        <v>8.8459514999999905E-2</v>
      </c>
      <c r="F201">
        <v>0.18950166500000001</v>
      </c>
    </row>
    <row r="202" spans="1:6" x14ac:dyDescent="0.2">
      <c r="A202" t="s">
        <v>984</v>
      </c>
      <c r="B202" t="s">
        <v>703</v>
      </c>
      <c r="D202">
        <v>0</v>
      </c>
      <c r="E202">
        <v>0</v>
      </c>
      <c r="F202">
        <v>0</v>
      </c>
    </row>
    <row r="203" spans="1:6" x14ac:dyDescent="0.2">
      <c r="A203" t="s">
        <v>985</v>
      </c>
      <c r="B203" t="s">
        <v>986</v>
      </c>
      <c r="C203" t="s">
        <v>987</v>
      </c>
      <c r="D203">
        <v>2.6558228399999901E-2</v>
      </c>
      <c r="E203">
        <v>1.45425174999999E-2</v>
      </c>
      <c r="F203">
        <v>4.3477967499999902E-2</v>
      </c>
    </row>
    <row r="204" spans="1:6" x14ac:dyDescent="0.2">
      <c r="A204" t="s">
        <v>988</v>
      </c>
      <c r="B204" t="s">
        <v>912</v>
      </c>
      <c r="C204" t="s">
        <v>913</v>
      </c>
      <c r="D204">
        <v>1.1009249599999899E-2</v>
      </c>
      <c r="E204">
        <v>5.3773199999999997E-3</v>
      </c>
      <c r="F204">
        <v>2.08201875E-2</v>
      </c>
    </row>
    <row r="205" spans="1:6" x14ac:dyDescent="0.2">
      <c r="A205" t="s">
        <v>989</v>
      </c>
      <c r="B205" t="s">
        <v>990</v>
      </c>
      <c r="C205" t="s">
        <v>991</v>
      </c>
      <c r="D205">
        <v>0.12765389569999999</v>
      </c>
      <c r="E205">
        <v>8.1910120000000003E-2</v>
      </c>
      <c r="F205">
        <v>0.18267661999999901</v>
      </c>
    </row>
    <row r="206" spans="1:6" x14ac:dyDescent="0.2">
      <c r="A206" t="s">
        <v>992</v>
      </c>
      <c r="B206" t="s">
        <v>703</v>
      </c>
      <c r="D206">
        <v>0</v>
      </c>
      <c r="E206">
        <v>0</v>
      </c>
      <c r="F206">
        <v>0</v>
      </c>
    </row>
    <row r="207" spans="1:6" x14ac:dyDescent="0.2">
      <c r="A207" t="s">
        <v>993</v>
      </c>
      <c r="B207" t="s">
        <v>986</v>
      </c>
      <c r="C207" t="s">
        <v>987</v>
      </c>
      <c r="D207">
        <v>2.6558228399999901E-2</v>
      </c>
      <c r="E207">
        <v>1.45425174999999E-2</v>
      </c>
      <c r="F207">
        <v>4.3477967499999902E-2</v>
      </c>
    </row>
    <row r="208" spans="1:6" x14ac:dyDescent="0.2">
      <c r="A208" t="s">
        <v>994</v>
      </c>
      <c r="B208" t="s">
        <v>912</v>
      </c>
      <c r="C208" t="s">
        <v>913</v>
      </c>
      <c r="D208">
        <v>1.1009249599999899E-2</v>
      </c>
      <c r="E208">
        <v>5.3773199999999997E-3</v>
      </c>
      <c r="F208">
        <v>2.08201875E-2</v>
      </c>
    </row>
    <row r="209" spans="1:6" x14ac:dyDescent="0.2">
      <c r="A209" t="s">
        <v>995</v>
      </c>
      <c r="B209" t="s">
        <v>990</v>
      </c>
      <c r="C209" t="s">
        <v>991</v>
      </c>
      <c r="D209">
        <v>0.12765389569999999</v>
      </c>
      <c r="E209">
        <v>8.1910120000000003E-2</v>
      </c>
      <c r="F209">
        <v>0.18267661999999901</v>
      </c>
    </row>
    <row r="210" spans="1:6" x14ac:dyDescent="0.2">
      <c r="A210" t="s">
        <v>996</v>
      </c>
      <c r="B210" t="s">
        <v>703</v>
      </c>
      <c r="D210">
        <v>0</v>
      </c>
      <c r="E210">
        <v>0</v>
      </c>
      <c r="F210">
        <v>0</v>
      </c>
    </row>
    <row r="211" spans="1:6" x14ac:dyDescent="0.2">
      <c r="A211" t="s">
        <v>997</v>
      </c>
      <c r="B211" t="s">
        <v>855</v>
      </c>
      <c r="C211" t="s">
        <v>856</v>
      </c>
      <c r="D211">
        <v>3.69639789999999E-3</v>
      </c>
      <c r="E211">
        <v>1.3124725E-3</v>
      </c>
      <c r="F211">
        <v>8.1387825000000004E-3</v>
      </c>
    </row>
    <row r="212" spans="1:6" x14ac:dyDescent="0.2">
      <c r="A212" t="s">
        <v>998</v>
      </c>
      <c r="B212" t="s">
        <v>858</v>
      </c>
      <c r="C212" t="s">
        <v>859</v>
      </c>
      <c r="D212">
        <v>5.1541961499999997E-2</v>
      </c>
      <c r="E212">
        <v>3.3847374999999999E-2</v>
      </c>
      <c r="F212">
        <v>7.5721812499999999E-2</v>
      </c>
    </row>
    <row r="213" spans="1:6" x14ac:dyDescent="0.2">
      <c r="A213" t="s">
        <v>999</v>
      </c>
      <c r="B213" t="s">
        <v>861</v>
      </c>
      <c r="C213" t="s">
        <v>862</v>
      </c>
      <c r="D213">
        <v>0.14876615300000001</v>
      </c>
      <c r="E213">
        <v>0.10073293999999899</v>
      </c>
      <c r="F213">
        <v>0.20911520249999899</v>
      </c>
    </row>
    <row r="214" spans="1:6" x14ac:dyDescent="0.2">
      <c r="A214" t="s">
        <v>1000</v>
      </c>
      <c r="B214" t="s">
        <v>986</v>
      </c>
      <c r="C214" t="s">
        <v>987</v>
      </c>
      <c r="D214">
        <v>2.6558228399999901E-2</v>
      </c>
      <c r="E214">
        <v>1.45425174999999E-2</v>
      </c>
      <c r="F214">
        <v>4.3477967499999902E-2</v>
      </c>
    </row>
    <row r="215" spans="1:6" x14ac:dyDescent="0.2">
      <c r="A215" t="s">
        <v>1001</v>
      </c>
      <c r="B215" t="s">
        <v>912</v>
      </c>
      <c r="C215" t="s">
        <v>913</v>
      </c>
      <c r="D215">
        <v>1.1009249599999899E-2</v>
      </c>
      <c r="E215">
        <v>5.3773199999999997E-3</v>
      </c>
      <c r="F215">
        <v>2.08201875E-2</v>
      </c>
    </row>
    <row r="216" spans="1:6" x14ac:dyDescent="0.2">
      <c r="A216" t="s">
        <v>1002</v>
      </c>
      <c r="B216" t="s">
        <v>990</v>
      </c>
      <c r="C216" t="s">
        <v>991</v>
      </c>
      <c r="D216">
        <v>0.12765389569999999</v>
      </c>
      <c r="E216">
        <v>8.1910120000000003E-2</v>
      </c>
      <c r="F216">
        <v>0.18267661999999901</v>
      </c>
    </row>
    <row r="217" spans="1:6" x14ac:dyDescent="0.2">
      <c r="A217" t="s">
        <v>1003</v>
      </c>
      <c r="B217" t="s">
        <v>703</v>
      </c>
      <c r="D217">
        <v>0</v>
      </c>
      <c r="E217">
        <v>0</v>
      </c>
      <c r="F217">
        <v>0</v>
      </c>
    </row>
    <row r="218" spans="1:6" x14ac:dyDescent="0.2">
      <c r="A218" t="s">
        <v>1004</v>
      </c>
      <c r="B218" t="s">
        <v>703</v>
      </c>
      <c r="D218">
        <v>0</v>
      </c>
      <c r="E218">
        <v>0</v>
      </c>
      <c r="F218">
        <v>0</v>
      </c>
    </row>
    <row r="219" spans="1:6" x14ac:dyDescent="0.2">
      <c r="A219" t="s">
        <v>1005</v>
      </c>
      <c r="B219" t="s">
        <v>703</v>
      </c>
      <c r="D219">
        <v>0</v>
      </c>
      <c r="E219">
        <v>0</v>
      </c>
      <c r="F219">
        <v>0</v>
      </c>
    </row>
    <row r="220" spans="1:6" x14ac:dyDescent="0.2">
      <c r="A220" t="s">
        <v>1006</v>
      </c>
      <c r="B220" t="s">
        <v>703</v>
      </c>
      <c r="D220">
        <v>0</v>
      </c>
      <c r="E220">
        <v>0</v>
      </c>
      <c r="F220">
        <v>0</v>
      </c>
    </row>
    <row r="221" spans="1:6" x14ac:dyDescent="0.2">
      <c r="A221" t="s">
        <v>1007</v>
      </c>
      <c r="B221" t="s">
        <v>703</v>
      </c>
      <c r="D221">
        <v>0</v>
      </c>
      <c r="E221">
        <v>0</v>
      </c>
      <c r="F221">
        <v>0</v>
      </c>
    </row>
    <row r="222" spans="1:6" x14ac:dyDescent="0.2">
      <c r="A222" t="s">
        <v>1008</v>
      </c>
      <c r="B222" t="s">
        <v>945</v>
      </c>
      <c r="C222" t="s">
        <v>946</v>
      </c>
      <c r="D222">
        <v>1.9316720799999899E-2</v>
      </c>
      <c r="E222">
        <v>1.06353925E-2</v>
      </c>
      <c r="F222">
        <v>3.2722879999999899E-2</v>
      </c>
    </row>
    <row r="223" spans="1:6" x14ac:dyDescent="0.2">
      <c r="A223" t="s">
        <v>1009</v>
      </c>
      <c r="B223" t="s">
        <v>1010</v>
      </c>
      <c r="C223" t="s">
        <v>1011</v>
      </c>
      <c r="D223">
        <v>0.22517170789999999</v>
      </c>
      <c r="E223">
        <v>0.15291988000000001</v>
      </c>
      <c r="F223">
        <v>0.30972899249999902</v>
      </c>
    </row>
    <row r="224" spans="1:6" x14ac:dyDescent="0.2">
      <c r="A224" t="s">
        <v>1012</v>
      </c>
      <c r="B224" t="s">
        <v>1013</v>
      </c>
      <c r="C224" t="s">
        <v>1014</v>
      </c>
      <c r="D224">
        <v>0.40785797679999902</v>
      </c>
      <c r="E224">
        <v>0.273411367499999</v>
      </c>
      <c r="F224">
        <v>0.55565908499999905</v>
      </c>
    </row>
    <row r="225" spans="1:6" x14ac:dyDescent="0.2">
      <c r="A225" t="s">
        <v>1015</v>
      </c>
      <c r="B225" t="s">
        <v>747</v>
      </c>
      <c r="C225" t="s">
        <v>748</v>
      </c>
      <c r="D225">
        <v>0.114339967</v>
      </c>
      <c r="E225">
        <v>7.7947084999999999E-2</v>
      </c>
      <c r="F225">
        <v>0.15867681249999999</v>
      </c>
    </row>
    <row r="226" spans="1:6" x14ac:dyDescent="0.2">
      <c r="A226" t="s">
        <v>1016</v>
      </c>
      <c r="B226" t="s">
        <v>747</v>
      </c>
      <c r="C226" t="s">
        <v>748</v>
      </c>
      <c r="D226">
        <v>0.114339967</v>
      </c>
      <c r="E226">
        <v>7.7947084999999999E-2</v>
      </c>
      <c r="F226">
        <v>0.15867681249999999</v>
      </c>
    </row>
    <row r="227" spans="1:6" x14ac:dyDescent="0.2">
      <c r="A227" t="s">
        <v>1017</v>
      </c>
      <c r="B227" t="s">
        <v>747</v>
      </c>
      <c r="C227" t="s">
        <v>748</v>
      </c>
      <c r="D227">
        <v>0.114339967</v>
      </c>
      <c r="E227">
        <v>7.7947084999999999E-2</v>
      </c>
      <c r="F227">
        <v>0.15867681249999999</v>
      </c>
    </row>
    <row r="228" spans="1:6" x14ac:dyDescent="0.2">
      <c r="A228" t="s">
        <v>1018</v>
      </c>
      <c r="B228" t="s">
        <v>747</v>
      </c>
      <c r="C228" t="s">
        <v>748</v>
      </c>
      <c r="D228">
        <v>0.114339967</v>
      </c>
      <c r="E228">
        <v>7.7947084999999999E-2</v>
      </c>
      <c r="F228">
        <v>0.15867681249999999</v>
      </c>
    </row>
    <row r="229" spans="1:6" x14ac:dyDescent="0.2">
      <c r="A229" t="s">
        <v>1019</v>
      </c>
      <c r="B229" t="s">
        <v>943</v>
      </c>
      <c r="C229" t="s">
        <v>653</v>
      </c>
    </row>
    <row r="230" spans="1:6" x14ac:dyDescent="0.2">
      <c r="A230" t="s">
        <v>1020</v>
      </c>
      <c r="B230" t="s">
        <v>711</v>
      </c>
      <c r="C230" t="s">
        <v>712</v>
      </c>
      <c r="D230">
        <v>1.10162523999999E-2</v>
      </c>
      <c r="E230">
        <v>5.2397625E-3</v>
      </c>
      <c r="F230">
        <v>2.06195424999999E-2</v>
      </c>
    </row>
    <row r="231" spans="1:6" x14ac:dyDescent="0.2">
      <c r="A231" t="s">
        <v>1021</v>
      </c>
      <c r="B231" t="s">
        <v>921</v>
      </c>
      <c r="C231" t="s">
        <v>922</v>
      </c>
      <c r="D231">
        <v>6.6991753799999998E-2</v>
      </c>
      <c r="E231">
        <v>4.4417720000000001E-2</v>
      </c>
      <c r="F231">
        <v>9.5900522499999905E-2</v>
      </c>
    </row>
    <row r="232" spans="1:6" x14ac:dyDescent="0.2">
      <c r="A232" t="s">
        <v>1022</v>
      </c>
      <c r="B232" t="s">
        <v>781</v>
      </c>
      <c r="C232" t="s">
        <v>782</v>
      </c>
      <c r="D232">
        <v>0.13341151879999999</v>
      </c>
      <c r="E232">
        <v>8.8459514999999905E-2</v>
      </c>
      <c r="F232">
        <v>0.18950166500000001</v>
      </c>
    </row>
    <row r="233" spans="1:6" x14ac:dyDescent="0.2">
      <c r="A233" t="s">
        <v>1023</v>
      </c>
      <c r="B233" t="s">
        <v>976</v>
      </c>
      <c r="C233" t="s">
        <v>977</v>
      </c>
      <c r="D233">
        <v>0.218848731399999</v>
      </c>
      <c r="E233">
        <v>0.14806672500000001</v>
      </c>
      <c r="F233">
        <v>0.30782901499999998</v>
      </c>
    </row>
    <row r="234" spans="1:6" x14ac:dyDescent="0.2">
      <c r="A234" t="s">
        <v>1024</v>
      </c>
      <c r="B234" t="s">
        <v>703</v>
      </c>
      <c r="D234">
        <v>0</v>
      </c>
      <c r="E234">
        <v>0</v>
      </c>
      <c r="F234">
        <v>0</v>
      </c>
    </row>
    <row r="235" spans="1:6" x14ac:dyDescent="0.2">
      <c r="A235" t="s">
        <v>1025</v>
      </c>
      <c r="B235" t="s">
        <v>705</v>
      </c>
      <c r="C235" t="s">
        <v>706</v>
      </c>
      <c r="D235">
        <v>5.0594945799999902E-2</v>
      </c>
      <c r="E235">
        <v>3.2378222499999998E-2</v>
      </c>
      <c r="F235">
        <v>7.4050449999999907E-2</v>
      </c>
    </row>
    <row r="236" spans="1:6" x14ac:dyDescent="0.2">
      <c r="A236" t="s">
        <v>1026</v>
      </c>
      <c r="B236" t="s">
        <v>894</v>
      </c>
      <c r="C236" t="s">
        <v>653</v>
      </c>
    </row>
    <row r="237" spans="1:6" x14ac:dyDescent="0.2">
      <c r="A237" t="s">
        <v>1026</v>
      </c>
      <c r="B237" t="s">
        <v>894</v>
      </c>
      <c r="C237" t="s">
        <v>653</v>
      </c>
    </row>
    <row r="238" spans="1:6" x14ac:dyDescent="0.2">
      <c r="A238" t="s">
        <v>1027</v>
      </c>
      <c r="B238" t="s">
        <v>777</v>
      </c>
      <c r="C238" t="s">
        <v>778</v>
      </c>
      <c r="D238">
        <v>0.29616484669999898</v>
      </c>
      <c r="E238">
        <v>0.19813263</v>
      </c>
      <c r="F238">
        <v>0.41379708999999998</v>
      </c>
    </row>
    <row r="239" spans="1:6" x14ac:dyDescent="0.2">
      <c r="A239" t="s">
        <v>1028</v>
      </c>
      <c r="B239" t="s">
        <v>924</v>
      </c>
      <c r="C239" t="s">
        <v>925</v>
      </c>
      <c r="D239">
        <v>2.6517503899999999E-2</v>
      </c>
      <c r="E239">
        <v>1.5009937500000001E-2</v>
      </c>
      <c r="F239">
        <v>4.23970475E-2</v>
      </c>
    </row>
    <row r="240" spans="1:6" x14ac:dyDescent="0.2">
      <c r="A240" t="s">
        <v>1029</v>
      </c>
      <c r="B240" t="s">
        <v>1030</v>
      </c>
      <c r="C240" t="s">
        <v>1031</v>
      </c>
      <c r="D240">
        <v>7.8670707099999806E-2</v>
      </c>
      <c r="E240">
        <v>5.3842090000000002E-2</v>
      </c>
      <c r="F240">
        <v>0.109519294999999</v>
      </c>
    </row>
    <row r="241" spans="1:6" x14ac:dyDescent="0.2">
      <c r="A241" t="s">
        <v>1032</v>
      </c>
      <c r="B241" t="s">
        <v>769</v>
      </c>
    </row>
    <row r="242" spans="1:6" x14ac:dyDescent="0.2">
      <c r="A242" t="s">
        <v>1033</v>
      </c>
      <c r="B242" t="s">
        <v>855</v>
      </c>
      <c r="C242" t="s">
        <v>856</v>
      </c>
      <c r="D242">
        <v>3.69639789999999E-3</v>
      </c>
      <c r="E242">
        <v>1.3124725E-3</v>
      </c>
      <c r="F242">
        <v>8.1387825000000004E-3</v>
      </c>
    </row>
    <row r="243" spans="1:6" x14ac:dyDescent="0.2">
      <c r="A243" t="s">
        <v>1034</v>
      </c>
      <c r="B243" t="s">
        <v>858</v>
      </c>
      <c r="C243" t="s">
        <v>859</v>
      </c>
      <c r="D243">
        <v>5.1541961499999997E-2</v>
      </c>
      <c r="E243">
        <v>3.3847374999999999E-2</v>
      </c>
      <c r="F243">
        <v>7.5721812499999999E-2</v>
      </c>
    </row>
    <row r="244" spans="1:6" x14ac:dyDescent="0.2">
      <c r="A244" t="s">
        <v>1035</v>
      </c>
      <c r="B244" t="s">
        <v>861</v>
      </c>
      <c r="C244" t="s">
        <v>862</v>
      </c>
      <c r="D244">
        <v>0.14876615300000001</v>
      </c>
      <c r="E244">
        <v>0.10073293999999899</v>
      </c>
      <c r="F244">
        <v>0.20911520249999899</v>
      </c>
    </row>
    <row r="245" spans="1:6" x14ac:dyDescent="0.2">
      <c r="A245" t="s">
        <v>1036</v>
      </c>
      <c r="B245" t="s">
        <v>781</v>
      </c>
      <c r="C245" t="s">
        <v>782</v>
      </c>
      <c r="D245">
        <v>0.13341151879999999</v>
      </c>
      <c r="E245">
        <v>8.8459514999999905E-2</v>
      </c>
      <c r="F245">
        <v>0.18950166500000001</v>
      </c>
    </row>
    <row r="246" spans="1:6" x14ac:dyDescent="0.2">
      <c r="A246" t="s">
        <v>1037</v>
      </c>
      <c r="B246" t="s">
        <v>781</v>
      </c>
      <c r="C246" t="s">
        <v>782</v>
      </c>
      <c r="D246">
        <v>0.13341151879999999</v>
      </c>
      <c r="E246">
        <v>8.8459514999999905E-2</v>
      </c>
      <c r="F246">
        <v>0.18950166500000001</v>
      </c>
    </row>
    <row r="247" spans="1:6" x14ac:dyDescent="0.2">
      <c r="A247" t="s">
        <v>1038</v>
      </c>
      <c r="B247" t="s">
        <v>1039</v>
      </c>
      <c r="C247" t="s">
        <v>1040</v>
      </c>
      <c r="D247">
        <v>4.4530398599999903E-2</v>
      </c>
      <c r="E247">
        <v>2.7943497500000001E-2</v>
      </c>
      <c r="F247">
        <v>6.5829780000000004E-2</v>
      </c>
    </row>
    <row r="248" spans="1:6" x14ac:dyDescent="0.2">
      <c r="A248" t="s">
        <v>1041</v>
      </c>
      <c r="B248" t="s">
        <v>1042</v>
      </c>
      <c r="C248" t="s">
        <v>1043</v>
      </c>
      <c r="D248">
        <v>1.0793008600000001E-2</v>
      </c>
      <c r="E248">
        <v>5.1901200000000003E-3</v>
      </c>
      <c r="F248">
        <v>2.02353999999999E-2</v>
      </c>
    </row>
    <row r="249" spans="1:6" x14ac:dyDescent="0.2">
      <c r="A249" t="s">
        <v>1044</v>
      </c>
      <c r="B249" t="s">
        <v>1045</v>
      </c>
      <c r="C249" t="s">
        <v>1046</v>
      </c>
      <c r="D249">
        <v>4.25405801999999E-2</v>
      </c>
      <c r="E249">
        <v>2.5978245000000001E-2</v>
      </c>
      <c r="F249">
        <v>6.4453929999999895E-2</v>
      </c>
    </row>
    <row r="250" spans="1:6" x14ac:dyDescent="0.2">
      <c r="A250" t="s">
        <v>1047</v>
      </c>
      <c r="B250" t="s">
        <v>791</v>
      </c>
      <c r="C250" t="s">
        <v>792</v>
      </c>
      <c r="D250">
        <v>9.5578865999999991E-3</v>
      </c>
      <c r="E250">
        <v>4.1924800000000002E-3</v>
      </c>
      <c r="F250">
        <v>1.8805200000000001E-2</v>
      </c>
    </row>
    <row r="251" spans="1:6" x14ac:dyDescent="0.2">
      <c r="A251" t="s">
        <v>1048</v>
      </c>
      <c r="B251" t="s">
        <v>794</v>
      </c>
      <c r="C251" t="s">
        <v>795</v>
      </c>
      <c r="D251">
        <v>2.65751711999999E-2</v>
      </c>
      <c r="E251">
        <v>1.52951175E-2</v>
      </c>
      <c r="F251">
        <v>4.22289125E-2</v>
      </c>
    </row>
    <row r="252" spans="1:6" x14ac:dyDescent="0.2">
      <c r="A252" t="s">
        <v>1049</v>
      </c>
      <c r="B252" t="s">
        <v>1050</v>
      </c>
      <c r="C252" t="s">
        <v>1051</v>
      </c>
      <c r="D252">
        <v>0.15839743489999999</v>
      </c>
      <c r="E252">
        <v>0.1047161475</v>
      </c>
      <c r="F252">
        <v>0.226632689999999</v>
      </c>
    </row>
    <row r="253" spans="1:6" x14ac:dyDescent="0.2">
      <c r="A253" t="s">
        <v>1052</v>
      </c>
      <c r="B253" t="s">
        <v>1053</v>
      </c>
      <c r="C253" t="s">
        <v>1054</v>
      </c>
      <c r="D253">
        <v>0.2039397084</v>
      </c>
      <c r="E253">
        <v>0.13448814749999999</v>
      </c>
      <c r="F253">
        <v>0.28766184750000001</v>
      </c>
    </row>
    <row r="254" spans="1:6" x14ac:dyDescent="0.2">
      <c r="A254" t="s">
        <v>1055</v>
      </c>
      <c r="B254" t="s">
        <v>1056</v>
      </c>
      <c r="C254" t="s">
        <v>1057</v>
      </c>
      <c r="D254">
        <v>0.21483467019999899</v>
      </c>
      <c r="E254">
        <v>0.14405489499999999</v>
      </c>
      <c r="F254">
        <v>0.30661874249999999</v>
      </c>
    </row>
    <row r="255" spans="1:6" x14ac:dyDescent="0.2">
      <c r="A255" t="s">
        <v>1058</v>
      </c>
      <c r="B255" t="s">
        <v>797</v>
      </c>
      <c r="C255" t="s">
        <v>798</v>
      </c>
      <c r="D255">
        <v>2.1431429099999899E-2</v>
      </c>
      <c r="E255">
        <v>1.1755784999999999E-2</v>
      </c>
      <c r="F255">
        <v>3.6158027499999898E-2</v>
      </c>
    </row>
    <row r="256" spans="1:6" x14ac:dyDescent="0.2">
      <c r="A256" t="s">
        <v>1059</v>
      </c>
      <c r="B256" t="s">
        <v>800</v>
      </c>
      <c r="C256" t="s">
        <v>801</v>
      </c>
      <c r="D256">
        <v>7.3963035999999899E-2</v>
      </c>
      <c r="E256">
        <v>4.8560812499999897E-2</v>
      </c>
      <c r="F256">
        <v>0.1065795325</v>
      </c>
    </row>
    <row r="257" spans="1:6" x14ac:dyDescent="0.2">
      <c r="A257" t="s">
        <v>1060</v>
      </c>
      <c r="B257" t="s">
        <v>1061</v>
      </c>
      <c r="C257" t="s">
        <v>1062</v>
      </c>
      <c r="D257">
        <v>0.26086708250000001</v>
      </c>
      <c r="E257">
        <v>0.17492123749999999</v>
      </c>
      <c r="F257">
        <v>0.3600558425</v>
      </c>
    </row>
    <row r="258" spans="1:6" x14ac:dyDescent="0.2">
      <c r="A258" t="s">
        <v>1063</v>
      </c>
      <c r="B258" t="s">
        <v>1064</v>
      </c>
      <c r="C258" t="s">
        <v>1065</v>
      </c>
      <c r="D258">
        <v>0.27732069809999998</v>
      </c>
      <c r="E258">
        <v>0.18206008500000001</v>
      </c>
      <c r="F258">
        <v>0.38717259249999902</v>
      </c>
    </row>
    <row r="259" spans="1:6" x14ac:dyDescent="0.2">
      <c r="A259" t="s">
        <v>1066</v>
      </c>
      <c r="B259" t="s">
        <v>1067</v>
      </c>
      <c r="C259" t="s">
        <v>1068</v>
      </c>
      <c r="D259">
        <v>0.31580135729999997</v>
      </c>
      <c r="E259">
        <v>0.2122617</v>
      </c>
      <c r="F259">
        <v>0.43527153749999897</v>
      </c>
    </row>
    <row r="260" spans="1:6" x14ac:dyDescent="0.2">
      <c r="A260" t="s">
        <v>1069</v>
      </c>
      <c r="B260" t="s">
        <v>964</v>
      </c>
      <c r="C260" t="s">
        <v>965</v>
      </c>
      <c r="D260">
        <v>3.0842126399999899E-2</v>
      </c>
      <c r="E260">
        <v>1.8822002500000001E-2</v>
      </c>
      <c r="F260">
        <v>4.8710372499999897E-2</v>
      </c>
    </row>
    <row r="261" spans="1:6" x14ac:dyDescent="0.2">
      <c r="A261" t="s">
        <v>1070</v>
      </c>
      <c r="B261" t="s">
        <v>967</v>
      </c>
      <c r="C261" t="s">
        <v>968</v>
      </c>
      <c r="D261">
        <v>0.18404848779999999</v>
      </c>
      <c r="E261">
        <v>0.1251250575</v>
      </c>
      <c r="F261">
        <v>0.25828618249999902</v>
      </c>
    </row>
    <row r="262" spans="1:6" x14ac:dyDescent="0.2">
      <c r="A262" t="s">
        <v>1071</v>
      </c>
      <c r="B262" t="s">
        <v>970</v>
      </c>
      <c r="C262" t="s">
        <v>971</v>
      </c>
      <c r="D262">
        <v>0.18736458340000001</v>
      </c>
      <c r="E262">
        <v>0.1244286775</v>
      </c>
      <c r="F262">
        <v>0.26021716249999999</v>
      </c>
    </row>
    <row r="263" spans="1:6" x14ac:dyDescent="0.2">
      <c r="A263" t="s">
        <v>1072</v>
      </c>
      <c r="B263" t="s">
        <v>1073</v>
      </c>
      <c r="C263" t="s">
        <v>1074</v>
      </c>
      <c r="D263">
        <v>1.0140717400000001E-2</v>
      </c>
      <c r="E263">
        <v>4.8555075E-3</v>
      </c>
      <c r="F263">
        <v>1.933766E-2</v>
      </c>
    </row>
    <row r="264" spans="1:6" x14ac:dyDescent="0.2">
      <c r="A264" t="s">
        <v>1075</v>
      </c>
      <c r="B264" t="s">
        <v>868</v>
      </c>
      <c r="C264" t="s">
        <v>869</v>
      </c>
      <c r="D264">
        <v>6.08338594999999E-2</v>
      </c>
      <c r="E264">
        <v>3.9587362499999897E-2</v>
      </c>
      <c r="F264">
        <v>8.9085129999999998E-2</v>
      </c>
    </row>
    <row r="265" spans="1:6" x14ac:dyDescent="0.2">
      <c r="A265" t="s">
        <v>1076</v>
      </c>
      <c r="B265" t="s">
        <v>877</v>
      </c>
      <c r="C265" t="s">
        <v>878</v>
      </c>
      <c r="D265">
        <v>0.40161053799999902</v>
      </c>
      <c r="E265">
        <v>0.2682705675</v>
      </c>
      <c r="F265">
        <v>0.54533271750000001</v>
      </c>
    </row>
    <row r="266" spans="1:6" x14ac:dyDescent="0.2">
      <c r="A266" t="s">
        <v>1077</v>
      </c>
      <c r="B266" t="s">
        <v>1078</v>
      </c>
      <c r="C266" t="s">
        <v>1079</v>
      </c>
      <c r="D266">
        <v>3.1164678500000001E-2</v>
      </c>
      <c r="E266">
        <v>1.8060440000000001E-2</v>
      </c>
      <c r="F266">
        <v>4.9540897499999903E-2</v>
      </c>
    </row>
    <row r="267" spans="1:6" x14ac:dyDescent="0.2">
      <c r="A267" t="s">
        <v>1080</v>
      </c>
      <c r="B267" t="s">
        <v>708</v>
      </c>
      <c r="C267" t="s">
        <v>709</v>
      </c>
      <c r="D267">
        <v>0.20294601349999999</v>
      </c>
      <c r="E267">
        <v>0.13394816000000001</v>
      </c>
      <c r="F267">
        <v>0.28958335000000002</v>
      </c>
    </row>
    <row r="268" spans="1:6" x14ac:dyDescent="0.2">
      <c r="A268" t="s">
        <v>1081</v>
      </c>
      <c r="B268" t="s">
        <v>927</v>
      </c>
      <c r="C268" t="s">
        <v>928</v>
      </c>
      <c r="D268">
        <v>0.54166777129999999</v>
      </c>
      <c r="E268">
        <v>0.37403827749999902</v>
      </c>
      <c r="F268">
        <v>0.70224279499999998</v>
      </c>
    </row>
    <row r="269" spans="1:6" x14ac:dyDescent="0.2">
      <c r="A269" t="s">
        <v>1082</v>
      </c>
      <c r="B269" t="s">
        <v>1083</v>
      </c>
      <c r="C269" t="s">
        <v>1084</v>
      </c>
      <c r="D269">
        <v>9.2486303049999996E-2</v>
      </c>
      <c r="E269">
        <v>6.3713094999999997E-2</v>
      </c>
      <c r="F269">
        <v>0.12911613750000001</v>
      </c>
    </row>
    <row r="270" spans="1:6" x14ac:dyDescent="0.2">
      <c r="A270" t="s">
        <v>1085</v>
      </c>
      <c r="B270" t="s">
        <v>1086</v>
      </c>
      <c r="C270" t="s">
        <v>1084</v>
      </c>
      <c r="D270">
        <v>0.16741505925</v>
      </c>
      <c r="E270">
        <v>0.11486844874999901</v>
      </c>
      <c r="F270">
        <v>0.23069741124999901</v>
      </c>
    </row>
    <row r="271" spans="1:6" x14ac:dyDescent="0.2">
      <c r="A271" t="s">
        <v>1087</v>
      </c>
      <c r="B271" t="s">
        <v>1088</v>
      </c>
      <c r="C271" t="s">
        <v>1089</v>
      </c>
      <c r="D271">
        <v>1.6546802699999998E-2</v>
      </c>
      <c r="E271">
        <v>8.7435424999999997E-3</v>
      </c>
      <c r="F271">
        <v>2.8682119999999901E-2</v>
      </c>
    </row>
    <row r="272" spans="1:6" x14ac:dyDescent="0.2">
      <c r="A272" t="s">
        <v>1090</v>
      </c>
      <c r="B272" t="s">
        <v>943</v>
      </c>
      <c r="C272" t="s">
        <v>653</v>
      </c>
    </row>
    <row r="273" spans="1:6" x14ac:dyDescent="0.2">
      <c r="A273" t="s">
        <v>1091</v>
      </c>
      <c r="B273" t="s">
        <v>781</v>
      </c>
      <c r="C273" t="s">
        <v>782</v>
      </c>
      <c r="D273">
        <v>0.13341151879999999</v>
      </c>
      <c r="E273">
        <v>8.8459514999999905E-2</v>
      </c>
      <c r="F273">
        <v>0.18950166500000001</v>
      </c>
    </row>
    <row r="274" spans="1:6" x14ac:dyDescent="0.2">
      <c r="A274" t="s">
        <v>1092</v>
      </c>
      <c r="B274" t="s">
        <v>1039</v>
      </c>
      <c r="C274" t="s">
        <v>1040</v>
      </c>
      <c r="D274">
        <v>4.4530398599999903E-2</v>
      </c>
      <c r="E274">
        <v>2.7943497500000001E-2</v>
      </c>
      <c r="F274">
        <v>6.5829780000000004E-2</v>
      </c>
    </row>
    <row r="275" spans="1:6" x14ac:dyDescent="0.2">
      <c r="A275" t="s">
        <v>1093</v>
      </c>
      <c r="B275" t="s">
        <v>1042</v>
      </c>
      <c r="C275" t="s">
        <v>1043</v>
      </c>
      <c r="D275">
        <v>1.0793008600000001E-2</v>
      </c>
      <c r="E275">
        <v>5.1901200000000003E-3</v>
      </c>
      <c r="F275">
        <v>2.02353999999999E-2</v>
      </c>
    </row>
    <row r="276" spans="1:6" x14ac:dyDescent="0.2">
      <c r="A276" t="s">
        <v>1094</v>
      </c>
      <c r="B276" t="s">
        <v>1045</v>
      </c>
      <c r="C276" t="s">
        <v>1046</v>
      </c>
      <c r="D276">
        <v>4.25405801999999E-2</v>
      </c>
      <c r="E276">
        <v>2.5978245000000001E-2</v>
      </c>
      <c r="F276">
        <v>6.4453929999999895E-2</v>
      </c>
    </row>
    <row r="277" spans="1:6" x14ac:dyDescent="0.2">
      <c r="A277" t="s">
        <v>1095</v>
      </c>
      <c r="B277" t="s">
        <v>964</v>
      </c>
      <c r="C277" t="s">
        <v>965</v>
      </c>
      <c r="D277">
        <v>3.0842126399999899E-2</v>
      </c>
      <c r="E277">
        <v>1.8822002500000001E-2</v>
      </c>
      <c r="F277">
        <v>4.8710372499999897E-2</v>
      </c>
    </row>
    <row r="278" spans="1:6" x14ac:dyDescent="0.2">
      <c r="A278" t="s">
        <v>1096</v>
      </c>
      <c r="B278" t="s">
        <v>967</v>
      </c>
      <c r="C278" t="s">
        <v>968</v>
      </c>
      <c r="D278">
        <v>0.18404848779999999</v>
      </c>
      <c r="E278">
        <v>0.1251250575</v>
      </c>
      <c r="F278">
        <v>0.25828618249999902</v>
      </c>
    </row>
    <row r="279" spans="1:6" x14ac:dyDescent="0.2">
      <c r="A279" t="s">
        <v>1097</v>
      </c>
      <c r="B279" t="s">
        <v>970</v>
      </c>
      <c r="C279" t="s">
        <v>971</v>
      </c>
      <c r="D279">
        <v>0.18736458340000001</v>
      </c>
      <c r="E279">
        <v>0.1244286775</v>
      </c>
      <c r="F279">
        <v>0.26021716249999999</v>
      </c>
    </row>
    <row r="280" spans="1:6" x14ac:dyDescent="0.2">
      <c r="A280" t="s">
        <v>1098</v>
      </c>
      <c r="B280" t="s">
        <v>1073</v>
      </c>
      <c r="C280" t="s">
        <v>1074</v>
      </c>
      <c r="D280">
        <v>1.0140717400000001E-2</v>
      </c>
      <c r="E280">
        <v>4.8555075E-3</v>
      </c>
      <c r="F280">
        <v>1.933766E-2</v>
      </c>
    </row>
    <row r="281" spans="1:6" x14ac:dyDescent="0.2">
      <c r="A281" t="s">
        <v>1099</v>
      </c>
      <c r="B281" t="s">
        <v>868</v>
      </c>
      <c r="C281" t="s">
        <v>869</v>
      </c>
      <c r="D281">
        <v>6.08338594999999E-2</v>
      </c>
      <c r="E281">
        <v>3.9587362499999897E-2</v>
      </c>
      <c r="F281">
        <v>8.9085129999999998E-2</v>
      </c>
    </row>
    <row r="282" spans="1:6" x14ac:dyDescent="0.2">
      <c r="A282" t="s">
        <v>1100</v>
      </c>
      <c r="B282" t="s">
        <v>877</v>
      </c>
      <c r="C282" t="s">
        <v>878</v>
      </c>
      <c r="D282">
        <v>0.40161053799999902</v>
      </c>
      <c r="E282">
        <v>0.2682705675</v>
      </c>
      <c r="F282">
        <v>0.54533271750000001</v>
      </c>
    </row>
    <row r="283" spans="1:6" x14ac:dyDescent="0.2">
      <c r="A283" t="s">
        <v>1101</v>
      </c>
      <c r="B283" t="s">
        <v>1078</v>
      </c>
      <c r="C283" t="s">
        <v>1079</v>
      </c>
      <c r="D283">
        <v>3.1164678500000001E-2</v>
      </c>
      <c r="E283">
        <v>1.8060440000000001E-2</v>
      </c>
      <c r="F283">
        <v>4.9540897499999903E-2</v>
      </c>
    </row>
    <row r="284" spans="1:6" x14ac:dyDescent="0.2">
      <c r="A284" t="s">
        <v>1102</v>
      </c>
      <c r="B284" t="s">
        <v>708</v>
      </c>
      <c r="C284" t="s">
        <v>709</v>
      </c>
      <c r="D284">
        <v>0.20294601349999999</v>
      </c>
      <c r="E284">
        <v>0.13394816000000001</v>
      </c>
      <c r="F284">
        <v>0.28958335000000002</v>
      </c>
    </row>
    <row r="285" spans="1:6" x14ac:dyDescent="0.2">
      <c r="A285" t="s">
        <v>1103</v>
      </c>
      <c r="B285" t="s">
        <v>927</v>
      </c>
      <c r="C285" t="s">
        <v>928</v>
      </c>
      <c r="D285">
        <v>0.54166777129999999</v>
      </c>
      <c r="E285">
        <v>0.37403827749999902</v>
      </c>
      <c r="F285">
        <v>0.70224279499999998</v>
      </c>
    </row>
    <row r="286" spans="1:6" x14ac:dyDescent="0.2">
      <c r="A286" t="s">
        <v>1104</v>
      </c>
      <c r="B286" t="s">
        <v>1088</v>
      </c>
      <c r="C286" t="s">
        <v>1089</v>
      </c>
      <c r="D286">
        <v>1.6546802699999998E-2</v>
      </c>
      <c r="E286">
        <v>8.7435424999999997E-3</v>
      </c>
      <c r="F286">
        <v>2.8682119999999901E-2</v>
      </c>
    </row>
    <row r="287" spans="1:6" x14ac:dyDescent="0.2">
      <c r="A287" t="s">
        <v>1105</v>
      </c>
      <c r="B287" t="s">
        <v>943</v>
      </c>
      <c r="C287" t="s">
        <v>653</v>
      </c>
    </row>
    <row r="288" spans="1:6" x14ac:dyDescent="0.2">
      <c r="A288" t="s">
        <v>1106</v>
      </c>
      <c r="B288" t="s">
        <v>705</v>
      </c>
      <c r="C288" t="s">
        <v>706</v>
      </c>
      <c r="D288">
        <v>5.0594945799999902E-2</v>
      </c>
      <c r="E288">
        <v>3.2378222499999998E-2</v>
      </c>
      <c r="F288">
        <v>7.4050449999999907E-2</v>
      </c>
    </row>
    <row r="289" spans="1:6" x14ac:dyDescent="0.2">
      <c r="A289" t="s">
        <v>1107</v>
      </c>
      <c r="B289" t="s">
        <v>781</v>
      </c>
      <c r="C289" t="s">
        <v>782</v>
      </c>
      <c r="D289">
        <v>0.13341151879999999</v>
      </c>
      <c r="E289">
        <v>8.8459514999999905E-2</v>
      </c>
      <c r="F289">
        <v>0.18950166500000001</v>
      </c>
    </row>
    <row r="290" spans="1:6" x14ac:dyDescent="0.2">
      <c r="A290" t="s">
        <v>1108</v>
      </c>
      <c r="B290" t="s">
        <v>705</v>
      </c>
      <c r="C290" t="s">
        <v>706</v>
      </c>
      <c r="D290">
        <v>5.0594945799999902E-2</v>
      </c>
      <c r="E290">
        <v>3.2378222499999998E-2</v>
      </c>
      <c r="F290">
        <v>7.4050449999999907E-2</v>
      </c>
    </row>
    <row r="291" spans="1:6" x14ac:dyDescent="0.2">
      <c r="A291" t="s">
        <v>1109</v>
      </c>
      <c r="B291" t="s">
        <v>781</v>
      </c>
      <c r="C291" t="s">
        <v>782</v>
      </c>
      <c r="D291">
        <v>0.13341151879999999</v>
      </c>
      <c r="E291">
        <v>8.8459514999999905E-2</v>
      </c>
      <c r="F291">
        <v>0.18950166500000001</v>
      </c>
    </row>
    <row r="292" spans="1:6" x14ac:dyDescent="0.2">
      <c r="A292" t="s">
        <v>1110</v>
      </c>
      <c r="B292" t="s">
        <v>1073</v>
      </c>
      <c r="C292" t="s">
        <v>1074</v>
      </c>
      <c r="D292">
        <v>1.0140717400000001E-2</v>
      </c>
      <c r="E292">
        <v>4.8555075E-3</v>
      </c>
      <c r="F292">
        <v>1.933766E-2</v>
      </c>
    </row>
    <row r="293" spans="1:6" x14ac:dyDescent="0.2">
      <c r="A293" t="s">
        <v>1111</v>
      </c>
      <c r="B293" t="s">
        <v>868</v>
      </c>
      <c r="C293" t="s">
        <v>869</v>
      </c>
      <c r="D293">
        <v>6.08338594999999E-2</v>
      </c>
      <c r="E293">
        <v>3.9587362499999897E-2</v>
      </c>
      <c r="F293">
        <v>8.9085129999999998E-2</v>
      </c>
    </row>
    <row r="294" spans="1:6" x14ac:dyDescent="0.2">
      <c r="A294" t="s">
        <v>1112</v>
      </c>
      <c r="B294" t="s">
        <v>877</v>
      </c>
      <c r="C294" t="s">
        <v>878</v>
      </c>
      <c r="D294">
        <v>0.40161053799999902</v>
      </c>
      <c r="E294">
        <v>0.2682705675</v>
      </c>
      <c r="F294">
        <v>0.54533271750000001</v>
      </c>
    </row>
    <row r="295" spans="1:6" x14ac:dyDescent="0.2">
      <c r="A295" t="s">
        <v>1113</v>
      </c>
      <c r="B295" t="s">
        <v>1078</v>
      </c>
      <c r="C295" t="s">
        <v>1079</v>
      </c>
      <c r="D295">
        <v>3.1164678500000001E-2</v>
      </c>
      <c r="E295">
        <v>1.8060440000000001E-2</v>
      </c>
      <c r="F295">
        <v>4.9540897499999903E-2</v>
      </c>
    </row>
    <row r="296" spans="1:6" x14ac:dyDescent="0.2">
      <c r="A296" t="s">
        <v>1114</v>
      </c>
      <c r="B296" t="s">
        <v>871</v>
      </c>
      <c r="C296" t="s">
        <v>653</v>
      </c>
      <c r="D296">
        <v>0.23648531544898699</v>
      </c>
      <c r="E296">
        <v>0.16477131335158501</v>
      </c>
      <c r="F296">
        <v>0.32307596056295501</v>
      </c>
    </row>
    <row r="297" spans="1:6" x14ac:dyDescent="0.2">
      <c r="A297" t="s">
        <v>1115</v>
      </c>
      <c r="B297" t="s">
        <v>873</v>
      </c>
      <c r="C297" t="s">
        <v>653</v>
      </c>
    </row>
    <row r="298" spans="1:6" x14ac:dyDescent="0.2">
      <c r="A298" t="s">
        <v>1116</v>
      </c>
      <c r="B298" t="s">
        <v>875</v>
      </c>
      <c r="C298" t="s">
        <v>653</v>
      </c>
    </row>
    <row r="299" spans="1:6" x14ac:dyDescent="0.2">
      <c r="A299" t="s">
        <v>1116</v>
      </c>
      <c r="B299" t="s">
        <v>875</v>
      </c>
      <c r="C299" t="s">
        <v>653</v>
      </c>
    </row>
    <row r="300" spans="1:6" x14ac:dyDescent="0.2">
      <c r="A300" t="s">
        <v>1117</v>
      </c>
      <c r="B300" t="s">
        <v>884</v>
      </c>
      <c r="C300" t="s">
        <v>653</v>
      </c>
      <c r="D300">
        <v>0.35103802944739299</v>
      </c>
      <c r="E300">
        <v>0.245212131291454</v>
      </c>
      <c r="F300">
        <v>0.46739038855932402</v>
      </c>
    </row>
    <row r="301" spans="1:6" x14ac:dyDescent="0.2">
      <c r="A301" t="s">
        <v>1117</v>
      </c>
      <c r="B301" t="s">
        <v>884</v>
      </c>
      <c r="C301" t="s">
        <v>653</v>
      </c>
      <c r="D301">
        <v>0.35103802944739299</v>
      </c>
      <c r="E301">
        <v>0.245212131291454</v>
      </c>
      <c r="F301">
        <v>0.46739038855932402</v>
      </c>
    </row>
    <row r="302" spans="1:6" x14ac:dyDescent="0.2">
      <c r="A302" t="s">
        <v>1118</v>
      </c>
      <c r="B302" t="s">
        <v>886</v>
      </c>
      <c r="C302" t="s">
        <v>653</v>
      </c>
    </row>
    <row r="303" spans="1:6" x14ac:dyDescent="0.2">
      <c r="A303" t="s">
        <v>1118</v>
      </c>
      <c r="B303" t="s">
        <v>886</v>
      </c>
      <c r="C303" t="s">
        <v>653</v>
      </c>
    </row>
    <row r="304" spans="1:6" x14ac:dyDescent="0.2">
      <c r="A304" t="s">
        <v>1119</v>
      </c>
      <c r="B304" t="s">
        <v>888</v>
      </c>
      <c r="C304" t="s">
        <v>653</v>
      </c>
    </row>
    <row r="305" spans="1:6" x14ac:dyDescent="0.2">
      <c r="A305" t="s">
        <v>1119</v>
      </c>
      <c r="B305" t="s">
        <v>888</v>
      </c>
      <c r="C305" t="s">
        <v>653</v>
      </c>
    </row>
    <row r="306" spans="1:6" x14ac:dyDescent="0.2">
      <c r="A306" t="s">
        <v>1119</v>
      </c>
      <c r="B306" t="s">
        <v>888</v>
      </c>
      <c r="C306" t="s">
        <v>653</v>
      </c>
    </row>
    <row r="307" spans="1:6" x14ac:dyDescent="0.2">
      <c r="A307" t="s">
        <v>1120</v>
      </c>
      <c r="B307" t="s">
        <v>880</v>
      </c>
      <c r="C307" t="s">
        <v>653</v>
      </c>
      <c r="D307">
        <v>0.51154796962864801</v>
      </c>
      <c r="E307">
        <v>0.36513903067502901</v>
      </c>
      <c r="F307">
        <v>0.65776340132739497</v>
      </c>
    </row>
    <row r="308" spans="1:6" x14ac:dyDescent="0.2">
      <c r="A308" t="s">
        <v>1121</v>
      </c>
      <c r="B308" t="s">
        <v>882</v>
      </c>
      <c r="C308" t="s">
        <v>653</v>
      </c>
    </row>
    <row r="309" spans="1:6" x14ac:dyDescent="0.2">
      <c r="A309" t="s">
        <v>1122</v>
      </c>
      <c r="B309" t="s">
        <v>890</v>
      </c>
      <c r="C309" t="s">
        <v>653</v>
      </c>
    </row>
    <row r="310" spans="1:6" x14ac:dyDescent="0.2">
      <c r="A310" t="s">
        <v>1122</v>
      </c>
      <c r="B310" t="s">
        <v>890</v>
      </c>
      <c r="C310" t="s">
        <v>653</v>
      </c>
    </row>
    <row r="311" spans="1:6" x14ac:dyDescent="0.2">
      <c r="A311" t="s">
        <v>1123</v>
      </c>
      <c r="B311" t="s">
        <v>892</v>
      </c>
      <c r="C311" t="s">
        <v>653</v>
      </c>
      <c r="D311">
        <v>0.62507767911441803</v>
      </c>
      <c r="E311">
        <v>0.45449602852545301</v>
      </c>
      <c r="F311">
        <v>0.77777199816193399</v>
      </c>
    </row>
    <row r="312" spans="1:6" x14ac:dyDescent="0.2">
      <c r="A312" t="s">
        <v>1123</v>
      </c>
      <c r="B312" t="s">
        <v>892</v>
      </c>
      <c r="C312" t="s">
        <v>653</v>
      </c>
      <c r="D312">
        <v>0.62507767911441803</v>
      </c>
      <c r="E312">
        <v>0.45449602852545301</v>
      </c>
      <c r="F312">
        <v>0.77777199816193399</v>
      </c>
    </row>
    <row r="313" spans="1:6" x14ac:dyDescent="0.2">
      <c r="A313" t="s">
        <v>1124</v>
      </c>
      <c r="B313" t="s">
        <v>894</v>
      </c>
      <c r="C313" t="s">
        <v>653</v>
      </c>
    </row>
    <row r="314" spans="1:6" x14ac:dyDescent="0.2">
      <c r="A314" t="s">
        <v>1124</v>
      </c>
      <c r="B314" t="s">
        <v>894</v>
      </c>
      <c r="C314" t="s">
        <v>653</v>
      </c>
    </row>
    <row r="315" spans="1:6" x14ac:dyDescent="0.2">
      <c r="A315" t="s">
        <v>1125</v>
      </c>
      <c r="B315" t="s">
        <v>896</v>
      </c>
      <c r="C315" t="s">
        <v>653</v>
      </c>
    </row>
    <row r="316" spans="1:6" x14ac:dyDescent="0.2">
      <c r="A316" t="s">
        <v>1125</v>
      </c>
      <c r="B316" t="s">
        <v>896</v>
      </c>
      <c r="C316" t="s">
        <v>653</v>
      </c>
    </row>
    <row r="317" spans="1:6" x14ac:dyDescent="0.2">
      <c r="A317" t="s">
        <v>1125</v>
      </c>
      <c r="B317" t="s">
        <v>896</v>
      </c>
      <c r="C317" t="s">
        <v>653</v>
      </c>
    </row>
    <row r="318" spans="1:6" x14ac:dyDescent="0.2">
      <c r="A318" t="s">
        <v>1126</v>
      </c>
      <c r="B318" t="s">
        <v>705</v>
      </c>
      <c r="C318" t="s">
        <v>706</v>
      </c>
      <c r="D318">
        <v>5.0594945799999902E-2</v>
      </c>
      <c r="E318">
        <v>3.2378222499999998E-2</v>
      </c>
      <c r="F318">
        <v>7.4050449999999907E-2</v>
      </c>
    </row>
    <row r="319" spans="1:6" x14ac:dyDescent="0.2">
      <c r="A319" t="s">
        <v>1127</v>
      </c>
      <c r="B319" t="s">
        <v>781</v>
      </c>
      <c r="C319" t="s">
        <v>782</v>
      </c>
      <c r="D319">
        <v>0.13341151879999999</v>
      </c>
      <c r="E319">
        <v>8.8459514999999905E-2</v>
      </c>
      <c r="F319">
        <v>0.18950166500000001</v>
      </c>
    </row>
    <row r="320" spans="1:6" x14ac:dyDescent="0.2">
      <c r="A320" t="s">
        <v>1128</v>
      </c>
      <c r="B320" t="s">
        <v>719</v>
      </c>
      <c r="C320" t="s">
        <v>720</v>
      </c>
      <c r="D320">
        <v>5.7864971999999903E-3</v>
      </c>
      <c r="E320">
        <v>2.29985E-3</v>
      </c>
      <c r="F320">
        <v>1.2109072499999899E-2</v>
      </c>
    </row>
    <row r="321" spans="1:6" x14ac:dyDescent="0.2">
      <c r="A321" t="s">
        <v>1129</v>
      </c>
      <c r="B321" t="s">
        <v>1129</v>
      </c>
      <c r="C321" t="s">
        <v>1130</v>
      </c>
      <c r="D321">
        <v>5.7766013499999998E-2</v>
      </c>
      <c r="E321">
        <v>3.54452725E-2</v>
      </c>
      <c r="F321">
        <v>8.9710524999999902E-2</v>
      </c>
    </row>
    <row r="322" spans="1:6" x14ac:dyDescent="0.2">
      <c r="A322" t="s">
        <v>1131</v>
      </c>
      <c r="B322" t="s">
        <v>703</v>
      </c>
      <c r="D322">
        <v>0</v>
      </c>
      <c r="E322">
        <v>0</v>
      </c>
      <c r="F322">
        <v>0</v>
      </c>
    </row>
    <row r="323" spans="1:6" x14ac:dyDescent="0.2">
      <c r="A323" t="s">
        <v>1132</v>
      </c>
      <c r="B323" t="s">
        <v>705</v>
      </c>
      <c r="C323" t="s">
        <v>706</v>
      </c>
      <c r="D323">
        <v>5.0594945799999902E-2</v>
      </c>
      <c r="E323">
        <v>3.2378222499999998E-2</v>
      </c>
      <c r="F323">
        <v>7.4050449999999907E-2</v>
      </c>
    </row>
    <row r="324" spans="1:6" x14ac:dyDescent="0.2">
      <c r="A324" t="s">
        <v>1133</v>
      </c>
      <c r="B324" t="s">
        <v>781</v>
      </c>
      <c r="C324" t="s">
        <v>782</v>
      </c>
      <c r="D324">
        <v>0.13341151879999999</v>
      </c>
      <c r="E324">
        <v>8.8459514999999905E-2</v>
      </c>
      <c r="F324">
        <v>0.18950166500000001</v>
      </c>
    </row>
    <row r="325" spans="1:6" x14ac:dyDescent="0.2">
      <c r="A325" t="s">
        <v>1134</v>
      </c>
      <c r="B325" t="s">
        <v>703</v>
      </c>
      <c r="D325">
        <v>0</v>
      </c>
      <c r="E325">
        <v>0</v>
      </c>
      <c r="F325">
        <v>0</v>
      </c>
    </row>
    <row r="326" spans="1:6" x14ac:dyDescent="0.2">
      <c r="A326" t="s">
        <v>1135</v>
      </c>
      <c r="B326" t="s">
        <v>705</v>
      </c>
      <c r="C326" t="s">
        <v>706</v>
      </c>
      <c r="D326">
        <v>5.0594945799999902E-2</v>
      </c>
      <c r="E326">
        <v>3.2378222499999998E-2</v>
      </c>
      <c r="F326">
        <v>7.4050449999999907E-2</v>
      </c>
    </row>
    <row r="327" spans="1:6" x14ac:dyDescent="0.2">
      <c r="A327" t="s">
        <v>1136</v>
      </c>
      <c r="B327" t="s">
        <v>781</v>
      </c>
      <c r="C327" t="s">
        <v>782</v>
      </c>
      <c r="D327">
        <v>0.13341151879999999</v>
      </c>
      <c r="E327">
        <v>8.8459514999999905E-2</v>
      </c>
      <c r="F327">
        <v>0.18950166500000001</v>
      </c>
    </row>
    <row r="328" spans="1:6" x14ac:dyDescent="0.2">
      <c r="A328" t="s">
        <v>1137</v>
      </c>
      <c r="B328" t="s">
        <v>703</v>
      </c>
      <c r="D328">
        <v>0</v>
      </c>
      <c r="E328">
        <v>0</v>
      </c>
      <c r="F328">
        <v>0</v>
      </c>
    </row>
    <row r="329" spans="1:6" x14ac:dyDescent="0.2">
      <c r="A329" t="s">
        <v>1138</v>
      </c>
      <c r="B329" t="s">
        <v>705</v>
      </c>
      <c r="C329" t="s">
        <v>706</v>
      </c>
      <c r="D329">
        <v>5.0594945799999902E-2</v>
      </c>
      <c r="E329">
        <v>3.2378222499999998E-2</v>
      </c>
      <c r="F329">
        <v>7.4050449999999907E-2</v>
      </c>
    </row>
    <row r="330" spans="1:6" x14ac:dyDescent="0.2">
      <c r="A330" t="s">
        <v>1139</v>
      </c>
      <c r="B330" t="s">
        <v>781</v>
      </c>
      <c r="C330" t="s">
        <v>782</v>
      </c>
      <c r="D330">
        <v>0.13341151879999999</v>
      </c>
      <c r="E330">
        <v>8.8459514999999905E-2</v>
      </c>
      <c r="F330">
        <v>0.18950166500000001</v>
      </c>
    </row>
    <row r="331" spans="1:6" x14ac:dyDescent="0.2">
      <c r="A331" t="s">
        <v>1140</v>
      </c>
      <c r="B331" t="s">
        <v>703</v>
      </c>
      <c r="D331">
        <v>0</v>
      </c>
      <c r="E331">
        <v>0</v>
      </c>
      <c r="F331">
        <v>0</v>
      </c>
    </row>
    <row r="332" spans="1:6" x14ac:dyDescent="0.2">
      <c r="A332" t="s">
        <v>1141</v>
      </c>
      <c r="B332" t="s">
        <v>705</v>
      </c>
      <c r="C332" t="s">
        <v>706</v>
      </c>
      <c r="D332">
        <v>5.0594945799999902E-2</v>
      </c>
      <c r="E332">
        <v>3.2378222499999998E-2</v>
      </c>
      <c r="F332">
        <v>7.4050449999999907E-2</v>
      </c>
    </row>
    <row r="333" spans="1:6" x14ac:dyDescent="0.2">
      <c r="A333" t="s">
        <v>1142</v>
      </c>
      <c r="B333" t="s">
        <v>781</v>
      </c>
      <c r="C333" t="s">
        <v>782</v>
      </c>
      <c r="D333">
        <v>0.13341151879999999</v>
      </c>
      <c r="E333">
        <v>8.8459514999999905E-2</v>
      </c>
      <c r="F333">
        <v>0.18950166500000001</v>
      </c>
    </row>
    <row r="334" spans="1:6" x14ac:dyDescent="0.2">
      <c r="A334" t="s">
        <v>1143</v>
      </c>
      <c r="B334" t="s">
        <v>777</v>
      </c>
      <c r="C334" t="s">
        <v>778</v>
      </c>
      <c r="D334">
        <v>0.29616484669999898</v>
      </c>
      <c r="E334">
        <v>0.19813263</v>
      </c>
      <c r="F334">
        <v>0.41379708999999998</v>
      </c>
    </row>
    <row r="335" spans="1:6" x14ac:dyDescent="0.2">
      <c r="A335" t="s">
        <v>1144</v>
      </c>
      <c r="B335" t="s">
        <v>855</v>
      </c>
      <c r="C335" t="s">
        <v>856</v>
      </c>
      <c r="D335">
        <v>3.69639789999999E-3</v>
      </c>
      <c r="E335">
        <v>1.3124725E-3</v>
      </c>
      <c r="F335">
        <v>8.1387825000000004E-3</v>
      </c>
    </row>
    <row r="336" spans="1:6" x14ac:dyDescent="0.2">
      <c r="A336" t="s">
        <v>1145</v>
      </c>
      <c r="B336" t="s">
        <v>858</v>
      </c>
      <c r="C336" t="s">
        <v>859</v>
      </c>
      <c r="D336">
        <v>5.1541961499999997E-2</v>
      </c>
      <c r="E336">
        <v>3.3847374999999999E-2</v>
      </c>
      <c r="F336">
        <v>7.5721812499999999E-2</v>
      </c>
    </row>
    <row r="337" spans="1:6" x14ac:dyDescent="0.2">
      <c r="A337" t="s">
        <v>1146</v>
      </c>
      <c r="B337" t="s">
        <v>861</v>
      </c>
      <c r="C337" t="s">
        <v>862</v>
      </c>
      <c r="D337">
        <v>0.14876615300000001</v>
      </c>
      <c r="E337">
        <v>0.10073293999999899</v>
      </c>
      <c r="F337">
        <v>0.20911520249999899</v>
      </c>
    </row>
    <row r="338" spans="1:6" x14ac:dyDescent="0.2">
      <c r="A338" t="s">
        <v>1147</v>
      </c>
      <c r="B338" t="s">
        <v>769</v>
      </c>
    </row>
    <row r="339" spans="1:6" x14ac:dyDescent="0.2">
      <c r="A339" t="s">
        <v>1148</v>
      </c>
      <c r="B339" t="s">
        <v>855</v>
      </c>
      <c r="C339" t="s">
        <v>856</v>
      </c>
      <c r="D339">
        <v>3.69639789999999E-3</v>
      </c>
      <c r="E339">
        <v>1.3124725E-3</v>
      </c>
      <c r="F339">
        <v>8.1387825000000004E-3</v>
      </c>
    </row>
    <row r="340" spans="1:6" x14ac:dyDescent="0.2">
      <c r="A340" t="s">
        <v>1149</v>
      </c>
      <c r="B340" t="s">
        <v>858</v>
      </c>
      <c r="C340" t="s">
        <v>859</v>
      </c>
      <c r="D340">
        <v>5.1541961499999997E-2</v>
      </c>
      <c r="E340">
        <v>3.3847374999999999E-2</v>
      </c>
      <c r="F340">
        <v>7.5721812499999999E-2</v>
      </c>
    </row>
    <row r="341" spans="1:6" x14ac:dyDescent="0.2">
      <c r="A341" t="s">
        <v>1150</v>
      </c>
      <c r="B341" t="s">
        <v>861</v>
      </c>
      <c r="C341" t="s">
        <v>862</v>
      </c>
      <c r="D341">
        <v>0.14876615300000001</v>
      </c>
      <c r="E341">
        <v>0.10073293999999899</v>
      </c>
      <c r="F341">
        <v>0.20911520249999899</v>
      </c>
    </row>
    <row r="342" spans="1:6" x14ac:dyDescent="0.2">
      <c r="A342" t="s">
        <v>1151</v>
      </c>
      <c r="B342" t="s">
        <v>747</v>
      </c>
      <c r="C342" t="s">
        <v>748</v>
      </c>
      <c r="D342">
        <v>0.114339967</v>
      </c>
      <c r="E342">
        <v>7.7947084999999999E-2</v>
      </c>
      <c r="F342">
        <v>0.15867681249999999</v>
      </c>
    </row>
    <row r="343" spans="1:6" x14ac:dyDescent="0.2">
      <c r="A343" t="s">
        <v>1152</v>
      </c>
      <c r="B343" t="s">
        <v>750</v>
      </c>
      <c r="C343" t="s">
        <v>751</v>
      </c>
      <c r="D343">
        <v>0.32424655079999898</v>
      </c>
      <c r="E343">
        <v>0.21972131750000001</v>
      </c>
      <c r="F343">
        <v>0.44180473999999997</v>
      </c>
    </row>
    <row r="344" spans="1:6" x14ac:dyDescent="0.2">
      <c r="A344" t="s">
        <v>1153</v>
      </c>
      <c r="B344" t="s">
        <v>744</v>
      </c>
      <c r="C344" t="s">
        <v>745</v>
      </c>
      <c r="D344">
        <v>5.14515299999999E-3</v>
      </c>
      <c r="E344">
        <v>2.0020575E-3</v>
      </c>
      <c r="F344">
        <v>1.10252224999999E-2</v>
      </c>
    </row>
    <row r="345" spans="1:6" x14ac:dyDescent="0.2">
      <c r="A345" t="s">
        <v>1154</v>
      </c>
      <c r="B345" t="s">
        <v>705</v>
      </c>
      <c r="C345" t="s">
        <v>706</v>
      </c>
      <c r="D345">
        <v>5.0594945799999902E-2</v>
      </c>
      <c r="E345">
        <v>3.2378222499999998E-2</v>
      </c>
      <c r="F345">
        <v>7.4050449999999907E-2</v>
      </c>
    </row>
    <row r="346" spans="1:6" x14ac:dyDescent="0.2">
      <c r="A346" t="s">
        <v>1155</v>
      </c>
      <c r="B346" t="s">
        <v>781</v>
      </c>
      <c r="C346" t="s">
        <v>782</v>
      </c>
      <c r="D346">
        <v>0.13341151879999999</v>
      </c>
      <c r="E346">
        <v>8.8459514999999905E-2</v>
      </c>
      <c r="F346">
        <v>0.18950166500000001</v>
      </c>
    </row>
    <row r="347" spans="1:6" x14ac:dyDescent="0.2">
      <c r="A347" t="s">
        <v>1156</v>
      </c>
      <c r="B347" t="s">
        <v>1157</v>
      </c>
      <c r="C347" t="s">
        <v>653</v>
      </c>
      <c r="D347">
        <v>6.7162269851650594E-2</v>
      </c>
      <c r="E347">
        <v>4.1406855904478797E-2</v>
      </c>
      <c r="F347">
        <v>0.10272912446935301</v>
      </c>
    </row>
    <row r="348" spans="1:6" x14ac:dyDescent="0.2">
      <c r="A348" t="s">
        <v>1158</v>
      </c>
      <c r="B348" t="s">
        <v>1157</v>
      </c>
      <c r="C348" t="s">
        <v>653</v>
      </c>
      <c r="D348">
        <v>6.7162269851650594E-2</v>
      </c>
      <c r="E348">
        <v>4.1406855904478797E-2</v>
      </c>
      <c r="F348">
        <v>0.10272912446935301</v>
      </c>
    </row>
    <row r="349" spans="1:6" x14ac:dyDescent="0.2">
      <c r="A349" t="s">
        <v>1159</v>
      </c>
      <c r="B349" t="s">
        <v>916</v>
      </c>
      <c r="C349" t="s">
        <v>917</v>
      </c>
      <c r="D349">
        <v>4.9011414699999999E-2</v>
      </c>
      <c r="E349">
        <v>3.1121342499999899E-2</v>
      </c>
      <c r="F349">
        <v>7.2092547499999896E-2</v>
      </c>
    </row>
    <row r="350" spans="1:6" x14ac:dyDescent="0.2">
      <c r="A350" t="s">
        <v>1160</v>
      </c>
      <c r="B350" t="s">
        <v>1161</v>
      </c>
      <c r="C350" t="s">
        <v>653</v>
      </c>
      <c r="D350">
        <v>0.173592709453988</v>
      </c>
      <c r="E350">
        <v>0.119654046108031</v>
      </c>
      <c r="F350">
        <v>0.239485856666627</v>
      </c>
    </row>
    <row r="351" spans="1:6" x14ac:dyDescent="0.2">
      <c r="A351" t="s">
        <v>1162</v>
      </c>
      <c r="B351" t="s">
        <v>1163</v>
      </c>
      <c r="C351" t="s">
        <v>653</v>
      </c>
      <c r="D351">
        <v>0.60201058844927502</v>
      </c>
      <c r="E351">
        <v>0.426581275681651</v>
      </c>
      <c r="F351">
        <v>0.75272228774703898</v>
      </c>
    </row>
    <row r="352" spans="1:6" x14ac:dyDescent="0.2">
      <c r="A352" t="s">
        <v>1164</v>
      </c>
      <c r="B352" t="s">
        <v>750</v>
      </c>
      <c r="C352" t="s">
        <v>751</v>
      </c>
      <c r="D352">
        <v>0.32424655079999898</v>
      </c>
      <c r="E352">
        <v>0.21972131750000001</v>
      </c>
      <c r="F352">
        <v>0.44180473999999997</v>
      </c>
    </row>
    <row r="353" spans="1:6" x14ac:dyDescent="0.2">
      <c r="A353" t="s">
        <v>1165</v>
      </c>
      <c r="B353" t="s">
        <v>1165</v>
      </c>
      <c r="C353" t="s">
        <v>1166</v>
      </c>
      <c r="D353">
        <v>0.50124232310000005</v>
      </c>
      <c r="E353">
        <v>0.33897586749999897</v>
      </c>
      <c r="F353">
        <v>0.65669105249999904</v>
      </c>
    </row>
    <row r="354" spans="1:6" x14ac:dyDescent="0.2">
      <c r="A354" t="s">
        <v>1167</v>
      </c>
      <c r="B354" t="s">
        <v>1167</v>
      </c>
      <c r="C354" t="s">
        <v>1168</v>
      </c>
      <c r="D354">
        <v>0.34169778209999901</v>
      </c>
      <c r="E354">
        <v>0.22677866999999999</v>
      </c>
      <c r="F354">
        <v>0.47818819749999902</v>
      </c>
    </row>
    <row r="355" spans="1:6" x14ac:dyDescent="0.2">
      <c r="A355" t="s">
        <v>1169</v>
      </c>
      <c r="B355" t="s">
        <v>747</v>
      </c>
      <c r="C355" t="s">
        <v>748</v>
      </c>
      <c r="D355">
        <v>0.114339967</v>
      </c>
      <c r="E355">
        <v>7.7947084999999999E-2</v>
      </c>
      <c r="F355">
        <v>0.15867681249999999</v>
      </c>
    </row>
    <row r="356" spans="1:6" x14ac:dyDescent="0.2">
      <c r="A356" t="s">
        <v>1170</v>
      </c>
      <c r="B356" t="s">
        <v>747</v>
      </c>
      <c r="C356" t="s">
        <v>748</v>
      </c>
      <c r="D356">
        <v>0.114339967</v>
      </c>
      <c r="E356">
        <v>7.7947084999999999E-2</v>
      </c>
      <c r="F356">
        <v>0.15867681249999999</v>
      </c>
    </row>
    <row r="357" spans="1:6" x14ac:dyDescent="0.2">
      <c r="A357" t="s">
        <v>1171</v>
      </c>
      <c r="B357" t="s">
        <v>769</v>
      </c>
    </row>
    <row r="358" spans="1:6" x14ac:dyDescent="0.2">
      <c r="A358" t="s">
        <v>1172</v>
      </c>
      <c r="B358" t="s">
        <v>1073</v>
      </c>
      <c r="C358" t="s">
        <v>1074</v>
      </c>
      <c r="D358">
        <v>1.0140717400000001E-2</v>
      </c>
      <c r="E358">
        <v>4.8555075E-3</v>
      </c>
      <c r="F358">
        <v>1.933766E-2</v>
      </c>
    </row>
    <row r="359" spans="1:6" x14ac:dyDescent="0.2">
      <c r="A359" t="s">
        <v>1173</v>
      </c>
      <c r="B359" t="s">
        <v>1073</v>
      </c>
      <c r="C359" t="s">
        <v>1074</v>
      </c>
      <c r="D359">
        <v>1.0140717400000001E-2</v>
      </c>
      <c r="E359">
        <v>4.8555075E-3</v>
      </c>
      <c r="F359">
        <v>1.933766E-2</v>
      </c>
    </row>
    <row r="360" spans="1:6" x14ac:dyDescent="0.2">
      <c r="A360" t="s">
        <v>1174</v>
      </c>
      <c r="B360" t="s">
        <v>1073</v>
      </c>
      <c r="C360" t="s">
        <v>1074</v>
      </c>
      <c r="D360">
        <v>1.0140717400000001E-2</v>
      </c>
      <c r="E360">
        <v>4.8555075E-3</v>
      </c>
      <c r="F360">
        <v>1.933766E-2</v>
      </c>
    </row>
    <row r="361" spans="1:6" x14ac:dyDescent="0.2">
      <c r="A361" t="s">
        <v>1175</v>
      </c>
      <c r="B361" t="s">
        <v>868</v>
      </c>
      <c r="C361" t="s">
        <v>869</v>
      </c>
      <c r="D361">
        <v>6.08338594999999E-2</v>
      </c>
      <c r="E361">
        <v>3.9587362499999897E-2</v>
      </c>
      <c r="F361">
        <v>8.9085129999999998E-2</v>
      </c>
    </row>
    <row r="362" spans="1:6" x14ac:dyDescent="0.2">
      <c r="A362" t="s">
        <v>1176</v>
      </c>
      <c r="B362" t="s">
        <v>868</v>
      </c>
      <c r="C362" t="s">
        <v>869</v>
      </c>
      <c r="D362">
        <v>6.08338594999999E-2</v>
      </c>
      <c r="E362">
        <v>3.9587362499999897E-2</v>
      </c>
      <c r="F362">
        <v>8.9085129999999998E-2</v>
      </c>
    </row>
    <row r="363" spans="1:6" x14ac:dyDescent="0.2">
      <c r="A363" t="s">
        <v>1177</v>
      </c>
      <c r="B363" t="s">
        <v>868</v>
      </c>
      <c r="C363" t="s">
        <v>869</v>
      </c>
      <c r="D363">
        <v>6.08338594999999E-2</v>
      </c>
      <c r="E363">
        <v>3.9587362499999897E-2</v>
      </c>
      <c r="F363">
        <v>8.9085129999999998E-2</v>
      </c>
    </row>
    <row r="364" spans="1:6" x14ac:dyDescent="0.2">
      <c r="A364" t="s">
        <v>1178</v>
      </c>
      <c r="B364" t="s">
        <v>877</v>
      </c>
      <c r="C364" t="s">
        <v>878</v>
      </c>
      <c r="D364">
        <v>0.40161053799999902</v>
      </c>
      <c r="E364">
        <v>0.2682705675</v>
      </c>
      <c r="F364">
        <v>0.54533271750000001</v>
      </c>
    </row>
    <row r="365" spans="1:6" x14ac:dyDescent="0.2">
      <c r="A365" t="s">
        <v>1179</v>
      </c>
      <c r="B365" t="s">
        <v>877</v>
      </c>
      <c r="C365" t="s">
        <v>878</v>
      </c>
      <c r="D365">
        <v>0.40161053799999902</v>
      </c>
      <c r="E365">
        <v>0.2682705675</v>
      </c>
      <c r="F365">
        <v>0.54533271750000001</v>
      </c>
    </row>
    <row r="366" spans="1:6" x14ac:dyDescent="0.2">
      <c r="A366" t="s">
        <v>1180</v>
      </c>
      <c r="B366" t="s">
        <v>877</v>
      </c>
      <c r="C366" t="s">
        <v>878</v>
      </c>
      <c r="D366">
        <v>0.40161053799999902</v>
      </c>
      <c r="E366">
        <v>0.2682705675</v>
      </c>
      <c r="F366">
        <v>0.54533271750000001</v>
      </c>
    </row>
    <row r="367" spans="1:6" x14ac:dyDescent="0.2">
      <c r="A367" t="s">
        <v>1181</v>
      </c>
      <c r="B367" t="s">
        <v>1078</v>
      </c>
      <c r="C367" t="s">
        <v>1079</v>
      </c>
      <c r="D367">
        <v>3.1164678500000001E-2</v>
      </c>
      <c r="E367">
        <v>1.8060440000000001E-2</v>
      </c>
      <c r="F367">
        <v>4.9540897499999903E-2</v>
      </c>
    </row>
    <row r="368" spans="1:6" x14ac:dyDescent="0.2">
      <c r="A368" t="s">
        <v>1182</v>
      </c>
      <c r="B368" t="s">
        <v>1078</v>
      </c>
      <c r="C368" t="s">
        <v>1079</v>
      </c>
      <c r="D368">
        <v>3.1164678500000001E-2</v>
      </c>
      <c r="E368">
        <v>1.8060440000000001E-2</v>
      </c>
      <c r="F368">
        <v>4.9540897499999903E-2</v>
      </c>
    </row>
    <row r="369" spans="1:6" x14ac:dyDescent="0.2">
      <c r="A369" t="s">
        <v>1183</v>
      </c>
      <c r="B369" t="s">
        <v>1078</v>
      </c>
      <c r="C369" t="s">
        <v>1079</v>
      </c>
      <c r="D369">
        <v>3.1164678500000001E-2</v>
      </c>
      <c r="E369">
        <v>1.8060440000000001E-2</v>
      </c>
      <c r="F369">
        <v>4.9540897499999903E-2</v>
      </c>
    </row>
    <row r="370" spans="1:6" x14ac:dyDescent="0.2">
      <c r="A370" t="s">
        <v>1184</v>
      </c>
      <c r="B370" t="s">
        <v>871</v>
      </c>
      <c r="C370" t="s">
        <v>653</v>
      </c>
      <c r="D370">
        <v>0.23648531544898699</v>
      </c>
      <c r="E370">
        <v>0.16477131335158501</v>
      </c>
      <c r="F370">
        <v>0.32307596056295501</v>
      </c>
    </row>
    <row r="371" spans="1:6" x14ac:dyDescent="0.2">
      <c r="A371" t="s">
        <v>1185</v>
      </c>
      <c r="B371" t="s">
        <v>871</v>
      </c>
      <c r="C371" t="s">
        <v>653</v>
      </c>
      <c r="D371">
        <v>0.23648531544898699</v>
      </c>
      <c r="E371">
        <v>0.16477131335158501</v>
      </c>
      <c r="F371">
        <v>0.32307596056295501</v>
      </c>
    </row>
    <row r="372" spans="1:6" x14ac:dyDescent="0.2">
      <c r="A372" t="s">
        <v>1186</v>
      </c>
      <c r="B372" t="s">
        <v>871</v>
      </c>
      <c r="C372" t="s">
        <v>653</v>
      </c>
      <c r="D372">
        <v>0.23648531544898699</v>
      </c>
      <c r="E372">
        <v>0.16477131335158501</v>
      </c>
      <c r="F372">
        <v>0.32307596056295501</v>
      </c>
    </row>
    <row r="373" spans="1:6" x14ac:dyDescent="0.2">
      <c r="A373" t="s">
        <v>1187</v>
      </c>
      <c r="B373" t="s">
        <v>873</v>
      </c>
      <c r="C373" t="s">
        <v>653</v>
      </c>
    </row>
    <row r="374" spans="1:6" x14ac:dyDescent="0.2">
      <c r="A374" t="s">
        <v>1188</v>
      </c>
      <c r="B374" t="s">
        <v>873</v>
      </c>
      <c r="C374" t="s">
        <v>653</v>
      </c>
    </row>
    <row r="375" spans="1:6" x14ac:dyDescent="0.2">
      <c r="A375" t="s">
        <v>1189</v>
      </c>
      <c r="B375" t="s">
        <v>873</v>
      </c>
      <c r="C375" t="s">
        <v>653</v>
      </c>
    </row>
    <row r="376" spans="1:6" x14ac:dyDescent="0.2">
      <c r="A376" t="s">
        <v>1190</v>
      </c>
      <c r="B376" t="s">
        <v>875</v>
      </c>
      <c r="C376" t="s">
        <v>653</v>
      </c>
    </row>
    <row r="377" spans="1:6" x14ac:dyDescent="0.2">
      <c r="A377" t="s">
        <v>1190</v>
      </c>
      <c r="B377" t="s">
        <v>875</v>
      </c>
      <c r="C377" t="s">
        <v>653</v>
      </c>
    </row>
    <row r="378" spans="1:6" x14ac:dyDescent="0.2">
      <c r="A378" t="s">
        <v>1191</v>
      </c>
      <c r="B378" t="s">
        <v>875</v>
      </c>
      <c r="C378" t="s">
        <v>653</v>
      </c>
    </row>
    <row r="379" spans="1:6" x14ac:dyDescent="0.2">
      <c r="A379" t="s">
        <v>1191</v>
      </c>
      <c r="B379" t="s">
        <v>875</v>
      </c>
      <c r="C379" t="s">
        <v>653</v>
      </c>
    </row>
    <row r="380" spans="1:6" x14ac:dyDescent="0.2">
      <c r="A380" t="s">
        <v>1192</v>
      </c>
      <c r="B380" t="s">
        <v>875</v>
      </c>
      <c r="C380" t="s">
        <v>653</v>
      </c>
    </row>
    <row r="381" spans="1:6" x14ac:dyDescent="0.2">
      <c r="A381" t="s">
        <v>1192</v>
      </c>
      <c r="B381" t="s">
        <v>875</v>
      </c>
      <c r="C381" t="s">
        <v>653</v>
      </c>
    </row>
    <row r="382" spans="1:6" x14ac:dyDescent="0.2">
      <c r="A382" t="s">
        <v>1193</v>
      </c>
      <c r="B382" t="s">
        <v>884</v>
      </c>
      <c r="C382" t="s">
        <v>653</v>
      </c>
      <c r="D382">
        <v>0.35103802944739299</v>
      </c>
      <c r="E382">
        <v>0.245212131291454</v>
      </c>
      <c r="F382">
        <v>0.46739038855932402</v>
      </c>
    </row>
    <row r="383" spans="1:6" x14ac:dyDescent="0.2">
      <c r="A383" t="s">
        <v>1193</v>
      </c>
      <c r="B383" t="s">
        <v>884</v>
      </c>
      <c r="C383" t="s">
        <v>653</v>
      </c>
      <c r="D383">
        <v>0.35103802944739299</v>
      </c>
      <c r="E383">
        <v>0.245212131291454</v>
      </c>
      <c r="F383">
        <v>0.46739038855932402</v>
      </c>
    </row>
    <row r="384" spans="1:6" x14ac:dyDescent="0.2">
      <c r="A384" t="s">
        <v>1194</v>
      </c>
      <c r="B384" t="s">
        <v>884</v>
      </c>
      <c r="C384" t="s">
        <v>653</v>
      </c>
      <c r="D384">
        <v>0.35103802944739299</v>
      </c>
      <c r="E384">
        <v>0.245212131291454</v>
      </c>
      <c r="F384">
        <v>0.46739038855932402</v>
      </c>
    </row>
    <row r="385" spans="1:6" x14ac:dyDescent="0.2">
      <c r="A385" t="s">
        <v>1194</v>
      </c>
      <c r="B385" t="s">
        <v>884</v>
      </c>
      <c r="C385" t="s">
        <v>653</v>
      </c>
      <c r="D385">
        <v>0.35103802944739299</v>
      </c>
      <c r="E385">
        <v>0.245212131291454</v>
      </c>
      <c r="F385">
        <v>0.46739038855932402</v>
      </c>
    </row>
    <row r="386" spans="1:6" x14ac:dyDescent="0.2">
      <c r="A386" t="s">
        <v>1195</v>
      </c>
      <c r="B386" t="s">
        <v>884</v>
      </c>
      <c r="C386" t="s">
        <v>653</v>
      </c>
      <c r="D386">
        <v>0.35103802944739299</v>
      </c>
      <c r="E386">
        <v>0.245212131291454</v>
      </c>
      <c r="F386">
        <v>0.46739038855932402</v>
      </c>
    </row>
    <row r="387" spans="1:6" x14ac:dyDescent="0.2">
      <c r="A387" t="s">
        <v>1195</v>
      </c>
      <c r="B387" t="s">
        <v>884</v>
      </c>
      <c r="C387" t="s">
        <v>653</v>
      </c>
      <c r="D387">
        <v>0.35103802944739299</v>
      </c>
      <c r="E387">
        <v>0.245212131291454</v>
      </c>
      <c r="F387">
        <v>0.46739038855932402</v>
      </c>
    </row>
    <row r="388" spans="1:6" x14ac:dyDescent="0.2">
      <c r="A388" t="s">
        <v>1196</v>
      </c>
      <c r="B388" t="s">
        <v>886</v>
      </c>
      <c r="C388" t="s">
        <v>653</v>
      </c>
    </row>
    <row r="389" spans="1:6" x14ac:dyDescent="0.2">
      <c r="A389" t="s">
        <v>1196</v>
      </c>
      <c r="B389" t="s">
        <v>886</v>
      </c>
      <c r="C389" t="s">
        <v>653</v>
      </c>
    </row>
    <row r="390" spans="1:6" x14ac:dyDescent="0.2">
      <c r="A390" t="s">
        <v>1197</v>
      </c>
      <c r="B390" t="s">
        <v>886</v>
      </c>
      <c r="C390" t="s">
        <v>653</v>
      </c>
    </row>
    <row r="391" spans="1:6" x14ac:dyDescent="0.2">
      <c r="A391" t="s">
        <v>1197</v>
      </c>
      <c r="B391" t="s">
        <v>886</v>
      </c>
      <c r="C391" t="s">
        <v>653</v>
      </c>
    </row>
    <row r="392" spans="1:6" x14ac:dyDescent="0.2">
      <c r="A392" t="s">
        <v>1198</v>
      </c>
      <c r="B392" t="s">
        <v>886</v>
      </c>
      <c r="C392" t="s">
        <v>653</v>
      </c>
    </row>
    <row r="393" spans="1:6" x14ac:dyDescent="0.2">
      <c r="A393" t="s">
        <v>1198</v>
      </c>
      <c r="B393" t="s">
        <v>886</v>
      </c>
      <c r="C393" t="s">
        <v>653</v>
      </c>
    </row>
    <row r="394" spans="1:6" x14ac:dyDescent="0.2">
      <c r="A394" t="s">
        <v>1199</v>
      </c>
      <c r="B394" t="s">
        <v>888</v>
      </c>
      <c r="C394" t="s">
        <v>653</v>
      </c>
    </row>
    <row r="395" spans="1:6" x14ac:dyDescent="0.2">
      <c r="A395" t="s">
        <v>1199</v>
      </c>
      <c r="B395" t="s">
        <v>888</v>
      </c>
      <c r="C395" t="s">
        <v>653</v>
      </c>
    </row>
    <row r="396" spans="1:6" x14ac:dyDescent="0.2">
      <c r="A396" t="s">
        <v>1199</v>
      </c>
      <c r="B396" t="s">
        <v>888</v>
      </c>
      <c r="C396" t="s">
        <v>653</v>
      </c>
    </row>
    <row r="397" spans="1:6" x14ac:dyDescent="0.2">
      <c r="A397" t="s">
        <v>1200</v>
      </c>
      <c r="B397" t="s">
        <v>888</v>
      </c>
      <c r="C397" t="s">
        <v>653</v>
      </c>
    </row>
    <row r="398" spans="1:6" x14ac:dyDescent="0.2">
      <c r="A398" t="s">
        <v>1200</v>
      </c>
      <c r="B398" t="s">
        <v>888</v>
      </c>
      <c r="C398" t="s">
        <v>653</v>
      </c>
    </row>
    <row r="399" spans="1:6" x14ac:dyDescent="0.2">
      <c r="A399" t="s">
        <v>1200</v>
      </c>
      <c r="B399" t="s">
        <v>888</v>
      </c>
      <c r="C399" t="s">
        <v>653</v>
      </c>
    </row>
    <row r="400" spans="1:6" x14ac:dyDescent="0.2">
      <c r="A400" t="s">
        <v>1201</v>
      </c>
      <c r="B400" t="s">
        <v>888</v>
      </c>
      <c r="C400" t="s">
        <v>653</v>
      </c>
    </row>
    <row r="401" spans="1:6" x14ac:dyDescent="0.2">
      <c r="A401" t="s">
        <v>1201</v>
      </c>
      <c r="B401" t="s">
        <v>888</v>
      </c>
      <c r="C401" t="s">
        <v>653</v>
      </c>
    </row>
    <row r="402" spans="1:6" x14ac:dyDescent="0.2">
      <c r="A402" t="s">
        <v>1201</v>
      </c>
      <c r="B402" t="s">
        <v>888</v>
      </c>
      <c r="C402" t="s">
        <v>653</v>
      </c>
    </row>
    <row r="403" spans="1:6" x14ac:dyDescent="0.2">
      <c r="A403" t="s">
        <v>1202</v>
      </c>
      <c r="B403" t="s">
        <v>880</v>
      </c>
      <c r="C403" t="s">
        <v>653</v>
      </c>
      <c r="D403">
        <v>0.51154796962864801</v>
      </c>
      <c r="E403">
        <v>0.36513903067502901</v>
      </c>
      <c r="F403">
        <v>0.65776340132739497</v>
      </c>
    </row>
    <row r="404" spans="1:6" x14ac:dyDescent="0.2">
      <c r="A404" t="s">
        <v>1203</v>
      </c>
      <c r="B404" t="s">
        <v>880</v>
      </c>
      <c r="C404" t="s">
        <v>653</v>
      </c>
      <c r="D404">
        <v>0.51154796962864801</v>
      </c>
      <c r="E404">
        <v>0.36513903067502901</v>
      </c>
      <c r="F404">
        <v>0.65776340132739497</v>
      </c>
    </row>
    <row r="405" spans="1:6" x14ac:dyDescent="0.2">
      <c r="A405" t="s">
        <v>1204</v>
      </c>
      <c r="B405" t="s">
        <v>880</v>
      </c>
      <c r="C405" t="s">
        <v>653</v>
      </c>
      <c r="D405">
        <v>0.51154796962864801</v>
      </c>
      <c r="E405">
        <v>0.36513903067502901</v>
      </c>
      <c r="F405">
        <v>0.65776340132739497</v>
      </c>
    </row>
    <row r="406" spans="1:6" x14ac:dyDescent="0.2">
      <c r="A406" t="s">
        <v>1205</v>
      </c>
      <c r="B406" t="s">
        <v>882</v>
      </c>
      <c r="C406" t="s">
        <v>653</v>
      </c>
    </row>
    <row r="407" spans="1:6" x14ac:dyDescent="0.2">
      <c r="A407" t="s">
        <v>1206</v>
      </c>
      <c r="B407" t="s">
        <v>882</v>
      </c>
      <c r="C407" t="s">
        <v>653</v>
      </c>
    </row>
    <row r="408" spans="1:6" x14ac:dyDescent="0.2">
      <c r="A408" t="s">
        <v>1207</v>
      </c>
      <c r="B408" t="s">
        <v>882</v>
      </c>
      <c r="C408" t="s">
        <v>653</v>
      </c>
    </row>
    <row r="409" spans="1:6" x14ac:dyDescent="0.2">
      <c r="A409" t="s">
        <v>1208</v>
      </c>
      <c r="B409" t="s">
        <v>890</v>
      </c>
      <c r="C409" t="s">
        <v>653</v>
      </c>
    </row>
    <row r="410" spans="1:6" x14ac:dyDescent="0.2">
      <c r="A410" t="s">
        <v>1208</v>
      </c>
      <c r="B410" t="s">
        <v>890</v>
      </c>
      <c r="C410" t="s">
        <v>653</v>
      </c>
    </row>
    <row r="411" spans="1:6" x14ac:dyDescent="0.2">
      <c r="A411" t="s">
        <v>1209</v>
      </c>
      <c r="B411" t="s">
        <v>890</v>
      </c>
      <c r="C411" t="s">
        <v>653</v>
      </c>
    </row>
    <row r="412" spans="1:6" x14ac:dyDescent="0.2">
      <c r="A412" t="s">
        <v>1209</v>
      </c>
      <c r="B412" t="s">
        <v>890</v>
      </c>
      <c r="C412" t="s">
        <v>653</v>
      </c>
    </row>
    <row r="413" spans="1:6" x14ac:dyDescent="0.2">
      <c r="A413" t="s">
        <v>1210</v>
      </c>
      <c r="B413" t="s">
        <v>890</v>
      </c>
      <c r="C413" t="s">
        <v>653</v>
      </c>
    </row>
    <row r="414" spans="1:6" x14ac:dyDescent="0.2">
      <c r="A414" t="s">
        <v>1210</v>
      </c>
      <c r="B414" t="s">
        <v>890</v>
      </c>
      <c r="C414" t="s">
        <v>653</v>
      </c>
    </row>
    <row r="415" spans="1:6" x14ac:dyDescent="0.2">
      <c r="A415" t="s">
        <v>1211</v>
      </c>
      <c r="B415" t="s">
        <v>892</v>
      </c>
      <c r="C415" t="s">
        <v>653</v>
      </c>
      <c r="D415">
        <v>0.62507767911441803</v>
      </c>
      <c r="E415">
        <v>0.45449602852545301</v>
      </c>
      <c r="F415">
        <v>0.77777199816193399</v>
      </c>
    </row>
    <row r="416" spans="1:6" x14ac:dyDescent="0.2">
      <c r="A416" t="s">
        <v>1211</v>
      </c>
      <c r="B416" t="s">
        <v>892</v>
      </c>
      <c r="C416" t="s">
        <v>653</v>
      </c>
      <c r="D416">
        <v>0.62507767911441803</v>
      </c>
      <c r="E416">
        <v>0.45449602852545301</v>
      </c>
      <c r="F416">
        <v>0.77777199816193399</v>
      </c>
    </row>
    <row r="417" spans="1:6" x14ac:dyDescent="0.2">
      <c r="A417" t="s">
        <v>1212</v>
      </c>
      <c r="B417" t="s">
        <v>892</v>
      </c>
      <c r="C417" t="s">
        <v>653</v>
      </c>
      <c r="D417">
        <v>0.62507767911441803</v>
      </c>
      <c r="E417">
        <v>0.45449602852545301</v>
      </c>
      <c r="F417">
        <v>0.77777199816193399</v>
      </c>
    </row>
    <row r="418" spans="1:6" x14ac:dyDescent="0.2">
      <c r="A418" t="s">
        <v>1212</v>
      </c>
      <c r="B418" t="s">
        <v>892</v>
      </c>
      <c r="C418" t="s">
        <v>653</v>
      </c>
      <c r="D418">
        <v>0.62507767911441803</v>
      </c>
      <c r="E418">
        <v>0.45449602852545301</v>
      </c>
      <c r="F418">
        <v>0.77777199816193399</v>
      </c>
    </row>
    <row r="419" spans="1:6" x14ac:dyDescent="0.2">
      <c r="A419" t="s">
        <v>1213</v>
      </c>
      <c r="B419" t="s">
        <v>892</v>
      </c>
      <c r="C419" t="s">
        <v>653</v>
      </c>
      <c r="D419">
        <v>0.62507767911441803</v>
      </c>
      <c r="E419">
        <v>0.45449602852545301</v>
      </c>
      <c r="F419">
        <v>0.77777199816193399</v>
      </c>
    </row>
    <row r="420" spans="1:6" x14ac:dyDescent="0.2">
      <c r="A420" t="s">
        <v>1213</v>
      </c>
      <c r="B420" t="s">
        <v>892</v>
      </c>
      <c r="C420" t="s">
        <v>653</v>
      </c>
      <c r="D420">
        <v>0.62507767911441803</v>
      </c>
      <c r="E420">
        <v>0.45449602852545301</v>
      </c>
      <c r="F420">
        <v>0.77777199816193399</v>
      </c>
    </row>
    <row r="421" spans="1:6" x14ac:dyDescent="0.2">
      <c r="A421" t="s">
        <v>1214</v>
      </c>
      <c r="B421" t="s">
        <v>894</v>
      </c>
      <c r="C421" t="s">
        <v>653</v>
      </c>
    </row>
    <row r="422" spans="1:6" x14ac:dyDescent="0.2">
      <c r="A422" t="s">
        <v>1214</v>
      </c>
      <c r="B422" t="s">
        <v>894</v>
      </c>
      <c r="C422" t="s">
        <v>653</v>
      </c>
    </row>
    <row r="423" spans="1:6" x14ac:dyDescent="0.2">
      <c r="A423" t="s">
        <v>1215</v>
      </c>
      <c r="B423" t="s">
        <v>894</v>
      </c>
      <c r="C423" t="s">
        <v>653</v>
      </c>
    </row>
    <row r="424" spans="1:6" x14ac:dyDescent="0.2">
      <c r="A424" t="s">
        <v>1215</v>
      </c>
      <c r="B424" t="s">
        <v>894</v>
      </c>
      <c r="C424" t="s">
        <v>653</v>
      </c>
    </row>
    <row r="425" spans="1:6" x14ac:dyDescent="0.2">
      <c r="A425" t="s">
        <v>1216</v>
      </c>
      <c r="B425" t="s">
        <v>894</v>
      </c>
      <c r="C425" t="s">
        <v>653</v>
      </c>
    </row>
    <row r="426" spans="1:6" x14ac:dyDescent="0.2">
      <c r="A426" t="s">
        <v>1216</v>
      </c>
      <c r="B426" t="s">
        <v>894</v>
      </c>
      <c r="C426" t="s">
        <v>653</v>
      </c>
    </row>
    <row r="427" spans="1:6" x14ac:dyDescent="0.2">
      <c r="A427" t="s">
        <v>1217</v>
      </c>
      <c r="B427" t="s">
        <v>896</v>
      </c>
      <c r="C427" t="s">
        <v>653</v>
      </c>
    </row>
    <row r="428" spans="1:6" x14ac:dyDescent="0.2">
      <c r="A428" t="s">
        <v>1217</v>
      </c>
      <c r="B428" t="s">
        <v>896</v>
      </c>
      <c r="C428" t="s">
        <v>653</v>
      </c>
    </row>
    <row r="429" spans="1:6" x14ac:dyDescent="0.2">
      <c r="A429" t="s">
        <v>1217</v>
      </c>
      <c r="B429" t="s">
        <v>896</v>
      </c>
      <c r="C429" t="s">
        <v>653</v>
      </c>
    </row>
    <row r="430" spans="1:6" x14ac:dyDescent="0.2">
      <c r="A430" t="s">
        <v>1218</v>
      </c>
      <c r="B430" t="s">
        <v>896</v>
      </c>
      <c r="C430" t="s">
        <v>653</v>
      </c>
    </row>
    <row r="431" spans="1:6" x14ac:dyDescent="0.2">
      <c r="A431" t="s">
        <v>1218</v>
      </c>
      <c r="B431" t="s">
        <v>896</v>
      </c>
      <c r="C431" t="s">
        <v>653</v>
      </c>
    </row>
    <row r="432" spans="1:6" x14ac:dyDescent="0.2">
      <c r="A432" t="s">
        <v>1218</v>
      </c>
      <c r="B432" t="s">
        <v>896</v>
      </c>
      <c r="C432" t="s">
        <v>653</v>
      </c>
    </row>
    <row r="433" spans="1:6" x14ac:dyDescent="0.2">
      <c r="A433" t="s">
        <v>1219</v>
      </c>
      <c r="B433" t="s">
        <v>896</v>
      </c>
      <c r="C433" t="s">
        <v>653</v>
      </c>
    </row>
    <row r="434" spans="1:6" x14ac:dyDescent="0.2">
      <c r="A434" t="s">
        <v>1219</v>
      </c>
      <c r="B434" t="s">
        <v>896</v>
      </c>
      <c r="C434" t="s">
        <v>653</v>
      </c>
    </row>
    <row r="435" spans="1:6" x14ac:dyDescent="0.2">
      <c r="A435" t="s">
        <v>1219</v>
      </c>
      <c r="B435" t="s">
        <v>896</v>
      </c>
      <c r="C435" t="s">
        <v>653</v>
      </c>
    </row>
    <row r="436" spans="1:6" x14ac:dyDescent="0.2">
      <c r="A436" t="s">
        <v>1220</v>
      </c>
      <c r="B436" t="s">
        <v>1221</v>
      </c>
      <c r="C436" t="s">
        <v>1222</v>
      </c>
      <c r="D436">
        <v>3.0370671000000001E-3</v>
      </c>
      <c r="E436">
        <v>1.0119875E-3</v>
      </c>
      <c r="F436">
        <v>6.95614499999999E-3</v>
      </c>
    </row>
    <row r="437" spans="1:6" x14ac:dyDescent="0.2">
      <c r="A437" t="s">
        <v>1223</v>
      </c>
      <c r="B437" t="s">
        <v>964</v>
      </c>
      <c r="C437" t="s">
        <v>965</v>
      </c>
      <c r="D437">
        <v>3.0842126399999899E-2</v>
      </c>
      <c r="E437">
        <v>1.8822002500000001E-2</v>
      </c>
      <c r="F437">
        <v>4.8710372499999897E-2</v>
      </c>
    </row>
    <row r="438" spans="1:6" x14ac:dyDescent="0.2">
      <c r="A438" t="s">
        <v>1224</v>
      </c>
      <c r="B438" t="s">
        <v>967</v>
      </c>
      <c r="C438" t="s">
        <v>968</v>
      </c>
      <c r="D438">
        <v>0.18404848779999999</v>
      </c>
      <c r="E438">
        <v>0.1251250575</v>
      </c>
      <c r="F438">
        <v>0.25828618249999902</v>
      </c>
    </row>
    <row r="439" spans="1:6" x14ac:dyDescent="0.2">
      <c r="A439" t="s">
        <v>1225</v>
      </c>
      <c r="B439" t="s">
        <v>970</v>
      </c>
      <c r="C439" t="s">
        <v>971</v>
      </c>
      <c r="D439">
        <v>0.18736458340000001</v>
      </c>
      <c r="E439">
        <v>0.1244286775</v>
      </c>
      <c r="F439">
        <v>0.26021716249999999</v>
      </c>
    </row>
    <row r="440" spans="1:6" x14ac:dyDescent="0.2">
      <c r="A440" t="s">
        <v>1226</v>
      </c>
      <c r="B440" t="s">
        <v>703</v>
      </c>
      <c r="D440">
        <v>0</v>
      </c>
      <c r="E440">
        <v>0</v>
      </c>
      <c r="F440">
        <v>0</v>
      </c>
    </row>
    <row r="441" spans="1:6" x14ac:dyDescent="0.2">
      <c r="A441" t="s">
        <v>1227</v>
      </c>
      <c r="B441" t="s">
        <v>703</v>
      </c>
      <c r="D441">
        <v>0</v>
      </c>
      <c r="E441">
        <v>0</v>
      </c>
      <c r="F441">
        <v>0</v>
      </c>
    </row>
    <row r="442" spans="1:6" x14ac:dyDescent="0.2">
      <c r="A442" t="s">
        <v>1228</v>
      </c>
      <c r="B442" t="s">
        <v>703</v>
      </c>
      <c r="D442">
        <v>0</v>
      </c>
      <c r="E442">
        <v>0</v>
      </c>
      <c r="F442">
        <v>0</v>
      </c>
    </row>
    <row r="443" spans="1:6" x14ac:dyDescent="0.2">
      <c r="A443" t="s">
        <v>1229</v>
      </c>
      <c r="B443" t="s">
        <v>703</v>
      </c>
      <c r="D443">
        <v>0</v>
      </c>
      <c r="E443">
        <v>0</v>
      </c>
      <c r="F443">
        <v>0</v>
      </c>
    </row>
    <row r="444" spans="1:6" x14ac:dyDescent="0.2">
      <c r="A444" t="s">
        <v>1230</v>
      </c>
      <c r="B444" t="s">
        <v>1073</v>
      </c>
      <c r="C444" t="s">
        <v>1074</v>
      </c>
      <c r="D444">
        <v>1.0140717400000001E-2</v>
      </c>
      <c r="E444">
        <v>4.8555075E-3</v>
      </c>
      <c r="F444">
        <v>1.933766E-2</v>
      </c>
    </row>
    <row r="445" spans="1:6" x14ac:dyDescent="0.2">
      <c r="A445" t="s">
        <v>1231</v>
      </c>
      <c r="B445" t="s">
        <v>868</v>
      </c>
      <c r="C445" t="s">
        <v>869</v>
      </c>
      <c r="D445">
        <v>6.08338594999999E-2</v>
      </c>
      <c r="E445">
        <v>3.9587362499999897E-2</v>
      </c>
      <c r="F445">
        <v>8.9085129999999998E-2</v>
      </c>
    </row>
    <row r="446" spans="1:6" x14ac:dyDescent="0.2">
      <c r="A446" t="s">
        <v>1232</v>
      </c>
      <c r="B446" t="s">
        <v>877</v>
      </c>
      <c r="C446" t="s">
        <v>878</v>
      </c>
      <c r="D446">
        <v>0.40161053799999902</v>
      </c>
      <c r="E446">
        <v>0.2682705675</v>
      </c>
      <c r="F446">
        <v>0.54533271750000001</v>
      </c>
    </row>
    <row r="447" spans="1:6" x14ac:dyDescent="0.2">
      <c r="A447" t="s">
        <v>1233</v>
      </c>
      <c r="B447" t="s">
        <v>1078</v>
      </c>
      <c r="C447" t="s">
        <v>1079</v>
      </c>
      <c r="D447">
        <v>3.1164678500000001E-2</v>
      </c>
      <c r="E447">
        <v>1.8060440000000001E-2</v>
      </c>
      <c r="F447">
        <v>4.9540897499999903E-2</v>
      </c>
    </row>
    <row r="448" spans="1:6" x14ac:dyDescent="0.2">
      <c r="A448" t="s">
        <v>1234</v>
      </c>
      <c r="B448" t="s">
        <v>871</v>
      </c>
      <c r="C448" t="s">
        <v>653</v>
      </c>
      <c r="D448">
        <v>0.23648531544898699</v>
      </c>
      <c r="E448">
        <v>0.16477131335158501</v>
      </c>
      <c r="F448">
        <v>0.32307596056295501</v>
      </c>
    </row>
    <row r="449" spans="1:6" x14ac:dyDescent="0.2">
      <c r="A449" t="s">
        <v>1235</v>
      </c>
      <c r="B449" t="s">
        <v>873</v>
      </c>
      <c r="C449" t="s">
        <v>653</v>
      </c>
    </row>
    <row r="450" spans="1:6" x14ac:dyDescent="0.2">
      <c r="A450" t="s">
        <v>1236</v>
      </c>
      <c r="B450" t="s">
        <v>875</v>
      </c>
      <c r="C450" t="s">
        <v>653</v>
      </c>
    </row>
    <row r="451" spans="1:6" x14ac:dyDescent="0.2">
      <c r="A451" t="s">
        <v>1236</v>
      </c>
      <c r="B451" t="s">
        <v>875</v>
      </c>
      <c r="C451" t="s">
        <v>653</v>
      </c>
    </row>
    <row r="452" spans="1:6" x14ac:dyDescent="0.2">
      <c r="A452" t="s">
        <v>1237</v>
      </c>
      <c r="B452" t="s">
        <v>884</v>
      </c>
      <c r="C452" t="s">
        <v>653</v>
      </c>
      <c r="D452">
        <v>0.35103802944739299</v>
      </c>
      <c r="E452">
        <v>0.245212131291454</v>
      </c>
      <c r="F452">
        <v>0.46739038855932402</v>
      </c>
    </row>
    <row r="453" spans="1:6" x14ac:dyDescent="0.2">
      <c r="A453" t="s">
        <v>1237</v>
      </c>
      <c r="B453" t="s">
        <v>884</v>
      </c>
      <c r="C453" t="s">
        <v>653</v>
      </c>
      <c r="D453">
        <v>0.35103802944739299</v>
      </c>
      <c r="E453">
        <v>0.245212131291454</v>
      </c>
      <c r="F453">
        <v>0.46739038855932402</v>
      </c>
    </row>
    <row r="454" spans="1:6" x14ac:dyDescent="0.2">
      <c r="A454" t="s">
        <v>1238</v>
      </c>
      <c r="B454" t="s">
        <v>886</v>
      </c>
      <c r="C454" t="s">
        <v>653</v>
      </c>
    </row>
    <row r="455" spans="1:6" x14ac:dyDescent="0.2">
      <c r="A455" t="s">
        <v>1238</v>
      </c>
      <c r="B455" t="s">
        <v>886</v>
      </c>
      <c r="C455" t="s">
        <v>653</v>
      </c>
    </row>
    <row r="456" spans="1:6" x14ac:dyDescent="0.2">
      <c r="A456" t="s">
        <v>1239</v>
      </c>
      <c r="B456" t="s">
        <v>888</v>
      </c>
      <c r="C456" t="s">
        <v>653</v>
      </c>
    </row>
    <row r="457" spans="1:6" x14ac:dyDescent="0.2">
      <c r="A457" t="s">
        <v>1239</v>
      </c>
      <c r="B457" t="s">
        <v>888</v>
      </c>
      <c r="C457" t="s">
        <v>653</v>
      </c>
    </row>
    <row r="458" spans="1:6" x14ac:dyDescent="0.2">
      <c r="A458" t="s">
        <v>1239</v>
      </c>
      <c r="B458" t="s">
        <v>888</v>
      </c>
      <c r="C458" t="s">
        <v>653</v>
      </c>
    </row>
    <row r="459" spans="1:6" x14ac:dyDescent="0.2">
      <c r="A459" t="s">
        <v>1240</v>
      </c>
      <c r="B459" t="s">
        <v>880</v>
      </c>
      <c r="C459" t="s">
        <v>653</v>
      </c>
      <c r="D459">
        <v>0.51154796962864801</v>
      </c>
      <c r="E459">
        <v>0.36513903067502901</v>
      </c>
      <c r="F459">
        <v>0.65776340132739497</v>
      </c>
    </row>
    <row r="460" spans="1:6" x14ac:dyDescent="0.2">
      <c r="A460" t="s">
        <v>1241</v>
      </c>
      <c r="B460" t="s">
        <v>882</v>
      </c>
      <c r="C460" t="s">
        <v>653</v>
      </c>
    </row>
    <row r="461" spans="1:6" x14ac:dyDescent="0.2">
      <c r="A461" t="s">
        <v>1242</v>
      </c>
      <c r="B461" t="s">
        <v>890</v>
      </c>
      <c r="C461" t="s">
        <v>653</v>
      </c>
    </row>
    <row r="462" spans="1:6" x14ac:dyDescent="0.2">
      <c r="A462" t="s">
        <v>1242</v>
      </c>
      <c r="B462" t="s">
        <v>890</v>
      </c>
      <c r="C462" t="s">
        <v>653</v>
      </c>
    </row>
    <row r="463" spans="1:6" x14ac:dyDescent="0.2">
      <c r="A463" t="s">
        <v>1243</v>
      </c>
      <c r="B463" t="s">
        <v>892</v>
      </c>
      <c r="C463" t="s">
        <v>653</v>
      </c>
      <c r="D463">
        <v>0.62507767911441803</v>
      </c>
      <c r="E463">
        <v>0.45449602852545301</v>
      </c>
      <c r="F463">
        <v>0.77777199816193399</v>
      </c>
    </row>
    <row r="464" spans="1:6" x14ac:dyDescent="0.2">
      <c r="A464" t="s">
        <v>1243</v>
      </c>
      <c r="B464" t="s">
        <v>892</v>
      </c>
      <c r="C464" t="s">
        <v>653</v>
      </c>
      <c r="D464">
        <v>0.62507767911441803</v>
      </c>
      <c r="E464">
        <v>0.45449602852545301</v>
      </c>
      <c r="F464">
        <v>0.77777199816193399</v>
      </c>
    </row>
    <row r="465" spans="1:6" x14ac:dyDescent="0.2">
      <c r="A465" t="s">
        <v>1244</v>
      </c>
      <c r="B465" t="s">
        <v>894</v>
      </c>
      <c r="C465" t="s">
        <v>653</v>
      </c>
    </row>
    <row r="466" spans="1:6" x14ac:dyDescent="0.2">
      <c r="A466" t="s">
        <v>1244</v>
      </c>
      <c r="B466" t="s">
        <v>894</v>
      </c>
      <c r="C466" t="s">
        <v>653</v>
      </c>
    </row>
    <row r="467" spans="1:6" x14ac:dyDescent="0.2">
      <c r="A467" t="s">
        <v>1245</v>
      </c>
      <c r="B467" t="s">
        <v>896</v>
      </c>
      <c r="C467" t="s">
        <v>653</v>
      </c>
    </row>
    <row r="468" spans="1:6" x14ac:dyDescent="0.2">
      <c r="A468" t="s">
        <v>1245</v>
      </c>
      <c r="B468" t="s">
        <v>896</v>
      </c>
      <c r="C468" t="s">
        <v>653</v>
      </c>
    </row>
    <row r="469" spans="1:6" x14ac:dyDescent="0.2">
      <c r="A469" t="s">
        <v>1245</v>
      </c>
      <c r="B469" t="s">
        <v>896</v>
      </c>
      <c r="C469" t="s">
        <v>653</v>
      </c>
    </row>
    <row r="470" spans="1:6" x14ac:dyDescent="0.2">
      <c r="A470" t="s">
        <v>1246</v>
      </c>
      <c r="B470" t="s">
        <v>703</v>
      </c>
      <c r="D470">
        <v>0</v>
      </c>
      <c r="E470">
        <v>0</v>
      </c>
      <c r="F470">
        <v>0</v>
      </c>
    </row>
    <row r="471" spans="1:6" x14ac:dyDescent="0.2">
      <c r="A471" t="s">
        <v>1247</v>
      </c>
      <c r="B471" t="s">
        <v>1073</v>
      </c>
      <c r="C471" t="s">
        <v>1074</v>
      </c>
      <c r="D471">
        <v>1.0140717400000001E-2</v>
      </c>
      <c r="E471">
        <v>4.8555075E-3</v>
      </c>
      <c r="F471">
        <v>1.933766E-2</v>
      </c>
    </row>
    <row r="472" spans="1:6" x14ac:dyDescent="0.2">
      <c r="A472" t="s">
        <v>1248</v>
      </c>
      <c r="B472" t="s">
        <v>868</v>
      </c>
      <c r="C472" t="s">
        <v>869</v>
      </c>
      <c r="D472">
        <v>6.08338594999999E-2</v>
      </c>
      <c r="E472">
        <v>3.9587362499999897E-2</v>
      </c>
      <c r="F472">
        <v>8.9085129999999998E-2</v>
      </c>
    </row>
    <row r="473" spans="1:6" x14ac:dyDescent="0.2">
      <c r="A473" t="s">
        <v>1249</v>
      </c>
      <c r="B473" t="s">
        <v>877</v>
      </c>
      <c r="C473" t="s">
        <v>878</v>
      </c>
      <c r="D473">
        <v>0.40161053799999902</v>
      </c>
      <c r="E473">
        <v>0.2682705675</v>
      </c>
      <c r="F473">
        <v>0.54533271750000001</v>
      </c>
    </row>
    <row r="474" spans="1:6" x14ac:dyDescent="0.2">
      <c r="A474" t="s">
        <v>1250</v>
      </c>
      <c r="B474" t="s">
        <v>1078</v>
      </c>
      <c r="C474" t="s">
        <v>1079</v>
      </c>
      <c r="D474">
        <v>3.1164678500000001E-2</v>
      </c>
      <c r="E474">
        <v>1.8060440000000001E-2</v>
      </c>
      <c r="F474">
        <v>4.9540897499999903E-2</v>
      </c>
    </row>
    <row r="475" spans="1:6" x14ac:dyDescent="0.2">
      <c r="A475" t="s">
        <v>1251</v>
      </c>
      <c r="B475" t="s">
        <v>871</v>
      </c>
      <c r="C475" t="s">
        <v>653</v>
      </c>
      <c r="D475">
        <v>0.23648531544898699</v>
      </c>
      <c r="E475">
        <v>0.16477131335158501</v>
      </c>
      <c r="F475">
        <v>0.32307596056295501</v>
      </c>
    </row>
    <row r="476" spans="1:6" x14ac:dyDescent="0.2">
      <c r="A476" t="s">
        <v>1251</v>
      </c>
      <c r="B476" t="s">
        <v>871</v>
      </c>
      <c r="C476" t="s">
        <v>653</v>
      </c>
      <c r="D476">
        <v>0.23648531544898699</v>
      </c>
      <c r="E476">
        <v>0.16477131335158501</v>
      </c>
      <c r="F476">
        <v>0.32307596056295501</v>
      </c>
    </row>
    <row r="477" spans="1:6" x14ac:dyDescent="0.2">
      <c r="A477" t="s">
        <v>1252</v>
      </c>
      <c r="B477" t="s">
        <v>873</v>
      </c>
      <c r="C477" t="s">
        <v>653</v>
      </c>
    </row>
    <row r="478" spans="1:6" x14ac:dyDescent="0.2">
      <c r="A478" t="s">
        <v>1252</v>
      </c>
      <c r="B478" t="s">
        <v>873</v>
      </c>
      <c r="C478" t="s">
        <v>653</v>
      </c>
    </row>
    <row r="479" spans="1:6" x14ac:dyDescent="0.2">
      <c r="A479" t="s">
        <v>1253</v>
      </c>
      <c r="B479" t="s">
        <v>875</v>
      </c>
      <c r="C479" t="s">
        <v>653</v>
      </c>
    </row>
    <row r="480" spans="1:6" x14ac:dyDescent="0.2">
      <c r="A480" t="s">
        <v>1253</v>
      </c>
      <c r="B480" t="s">
        <v>875</v>
      </c>
      <c r="C480" t="s">
        <v>653</v>
      </c>
    </row>
    <row r="481" spans="1:6" x14ac:dyDescent="0.2">
      <c r="A481" t="s">
        <v>1253</v>
      </c>
      <c r="B481" t="s">
        <v>875</v>
      </c>
      <c r="C481" t="s">
        <v>653</v>
      </c>
    </row>
    <row r="482" spans="1:6" x14ac:dyDescent="0.2">
      <c r="A482" t="s">
        <v>1254</v>
      </c>
      <c r="B482" t="s">
        <v>884</v>
      </c>
      <c r="C482" t="s">
        <v>653</v>
      </c>
      <c r="D482">
        <v>0.35103802944739299</v>
      </c>
      <c r="E482">
        <v>0.245212131291454</v>
      </c>
      <c r="F482">
        <v>0.46739038855932402</v>
      </c>
    </row>
    <row r="483" spans="1:6" x14ac:dyDescent="0.2">
      <c r="A483" t="s">
        <v>1254</v>
      </c>
      <c r="B483" t="s">
        <v>884</v>
      </c>
      <c r="C483" t="s">
        <v>653</v>
      </c>
      <c r="D483">
        <v>0.35103802944739299</v>
      </c>
      <c r="E483">
        <v>0.245212131291454</v>
      </c>
      <c r="F483">
        <v>0.46739038855932402</v>
      </c>
    </row>
    <row r="484" spans="1:6" x14ac:dyDescent="0.2">
      <c r="A484" t="s">
        <v>1255</v>
      </c>
      <c r="B484" t="s">
        <v>886</v>
      </c>
      <c r="C484" t="s">
        <v>653</v>
      </c>
    </row>
    <row r="485" spans="1:6" x14ac:dyDescent="0.2">
      <c r="A485" t="s">
        <v>1255</v>
      </c>
      <c r="B485" t="s">
        <v>886</v>
      </c>
      <c r="C485" t="s">
        <v>653</v>
      </c>
    </row>
    <row r="486" spans="1:6" x14ac:dyDescent="0.2">
      <c r="A486" t="s">
        <v>1256</v>
      </c>
      <c r="B486" t="s">
        <v>888</v>
      </c>
      <c r="C486" t="s">
        <v>653</v>
      </c>
    </row>
    <row r="487" spans="1:6" x14ac:dyDescent="0.2">
      <c r="A487" t="s">
        <v>1256</v>
      </c>
      <c r="B487" t="s">
        <v>888</v>
      </c>
      <c r="C487" t="s">
        <v>653</v>
      </c>
    </row>
    <row r="488" spans="1:6" x14ac:dyDescent="0.2">
      <c r="A488" t="s">
        <v>1256</v>
      </c>
      <c r="B488" t="s">
        <v>888</v>
      </c>
      <c r="C488" t="s">
        <v>653</v>
      </c>
    </row>
    <row r="489" spans="1:6" x14ac:dyDescent="0.2">
      <c r="A489" t="s">
        <v>1257</v>
      </c>
      <c r="B489" t="s">
        <v>880</v>
      </c>
      <c r="C489" t="s">
        <v>653</v>
      </c>
      <c r="D489">
        <v>0.51154796962864801</v>
      </c>
      <c r="E489">
        <v>0.36513903067502901</v>
      </c>
      <c r="F489">
        <v>0.65776340132739497</v>
      </c>
    </row>
    <row r="490" spans="1:6" x14ac:dyDescent="0.2">
      <c r="A490" t="s">
        <v>1257</v>
      </c>
      <c r="B490" t="s">
        <v>880</v>
      </c>
      <c r="C490" t="s">
        <v>653</v>
      </c>
      <c r="D490">
        <v>0.51154796962864801</v>
      </c>
      <c r="E490">
        <v>0.36513903067502901</v>
      </c>
      <c r="F490">
        <v>0.65776340132739497</v>
      </c>
    </row>
    <row r="491" spans="1:6" x14ac:dyDescent="0.2">
      <c r="A491" t="s">
        <v>1258</v>
      </c>
      <c r="B491" t="s">
        <v>882</v>
      </c>
      <c r="C491" t="s">
        <v>653</v>
      </c>
    </row>
    <row r="492" spans="1:6" x14ac:dyDescent="0.2">
      <c r="A492" t="s">
        <v>1258</v>
      </c>
      <c r="B492" t="s">
        <v>882</v>
      </c>
      <c r="C492" t="s">
        <v>653</v>
      </c>
    </row>
    <row r="493" spans="1:6" x14ac:dyDescent="0.2">
      <c r="A493" t="s">
        <v>1259</v>
      </c>
      <c r="B493" t="s">
        <v>890</v>
      </c>
      <c r="C493" t="s">
        <v>653</v>
      </c>
    </row>
    <row r="494" spans="1:6" x14ac:dyDescent="0.2">
      <c r="A494" t="s">
        <v>1259</v>
      </c>
      <c r="B494" t="s">
        <v>890</v>
      </c>
      <c r="C494" t="s">
        <v>653</v>
      </c>
    </row>
    <row r="495" spans="1:6" x14ac:dyDescent="0.2">
      <c r="A495" t="s">
        <v>1259</v>
      </c>
      <c r="B495" t="s">
        <v>890</v>
      </c>
      <c r="C495" t="s">
        <v>653</v>
      </c>
    </row>
    <row r="496" spans="1:6" x14ac:dyDescent="0.2">
      <c r="A496" t="s">
        <v>1260</v>
      </c>
      <c r="B496" t="s">
        <v>892</v>
      </c>
      <c r="C496" t="s">
        <v>653</v>
      </c>
      <c r="D496">
        <v>0.62507767911441803</v>
      </c>
      <c r="E496">
        <v>0.45449602852545301</v>
      </c>
      <c r="F496">
        <v>0.77777199816193399</v>
      </c>
    </row>
    <row r="497" spans="1:6" x14ac:dyDescent="0.2">
      <c r="A497" t="s">
        <v>1260</v>
      </c>
      <c r="B497" t="s">
        <v>892</v>
      </c>
      <c r="C497" t="s">
        <v>653</v>
      </c>
      <c r="D497">
        <v>0.62507767911441803</v>
      </c>
      <c r="E497">
        <v>0.45449602852545301</v>
      </c>
      <c r="F497">
        <v>0.77777199816193399</v>
      </c>
    </row>
    <row r="498" spans="1:6" x14ac:dyDescent="0.2">
      <c r="A498" t="s">
        <v>1261</v>
      </c>
      <c r="B498" t="s">
        <v>894</v>
      </c>
      <c r="C498" t="s">
        <v>653</v>
      </c>
    </row>
    <row r="499" spans="1:6" x14ac:dyDescent="0.2">
      <c r="A499" t="s">
        <v>1261</v>
      </c>
      <c r="B499" t="s">
        <v>894</v>
      </c>
      <c r="C499" t="s">
        <v>653</v>
      </c>
    </row>
    <row r="500" spans="1:6" x14ac:dyDescent="0.2">
      <c r="A500" t="s">
        <v>1262</v>
      </c>
      <c r="B500" t="s">
        <v>896</v>
      </c>
      <c r="C500" t="s">
        <v>653</v>
      </c>
    </row>
    <row r="501" spans="1:6" x14ac:dyDescent="0.2">
      <c r="A501" t="s">
        <v>1262</v>
      </c>
      <c r="B501" t="s">
        <v>896</v>
      </c>
      <c r="C501" t="s">
        <v>653</v>
      </c>
    </row>
    <row r="502" spans="1:6" x14ac:dyDescent="0.2">
      <c r="A502" t="s">
        <v>1262</v>
      </c>
      <c r="B502" t="s">
        <v>896</v>
      </c>
      <c r="C502" t="s">
        <v>653</v>
      </c>
    </row>
    <row r="503" spans="1:6" x14ac:dyDescent="0.2">
      <c r="A503" t="s">
        <v>1263</v>
      </c>
      <c r="B503" t="s">
        <v>703</v>
      </c>
      <c r="D503">
        <v>0</v>
      </c>
      <c r="E503">
        <v>0</v>
      </c>
      <c r="F503">
        <v>0</v>
      </c>
    </row>
    <row r="504" spans="1:6" x14ac:dyDescent="0.2">
      <c r="A504" t="s">
        <v>1264</v>
      </c>
      <c r="B504" t="s">
        <v>750</v>
      </c>
      <c r="C504" t="s">
        <v>751</v>
      </c>
      <c r="D504">
        <v>0.32424655079999898</v>
      </c>
      <c r="E504">
        <v>0.21972131750000001</v>
      </c>
      <c r="F504">
        <v>0.44180473999999997</v>
      </c>
    </row>
    <row r="505" spans="1:6" x14ac:dyDescent="0.2">
      <c r="A505" t="s">
        <v>1265</v>
      </c>
      <c r="B505" t="s">
        <v>868</v>
      </c>
      <c r="C505" t="s">
        <v>869</v>
      </c>
      <c r="D505">
        <v>6.08338594999999E-2</v>
      </c>
      <c r="E505">
        <v>3.9587362499999897E-2</v>
      </c>
      <c r="F505">
        <v>8.9085129999999998E-2</v>
      </c>
    </row>
    <row r="506" spans="1:6" x14ac:dyDescent="0.2">
      <c r="A506" t="s">
        <v>1266</v>
      </c>
      <c r="B506" t="s">
        <v>877</v>
      </c>
      <c r="C506" t="s">
        <v>878</v>
      </c>
      <c r="D506">
        <v>0.40161053799999902</v>
      </c>
      <c r="E506">
        <v>0.2682705675</v>
      </c>
      <c r="F506">
        <v>0.54533271750000001</v>
      </c>
    </row>
    <row r="507" spans="1:6" x14ac:dyDescent="0.2">
      <c r="A507" t="s">
        <v>1267</v>
      </c>
      <c r="B507" t="s">
        <v>871</v>
      </c>
      <c r="C507" t="s">
        <v>653</v>
      </c>
      <c r="D507">
        <v>0.23648531544898699</v>
      </c>
      <c r="E507">
        <v>0.16477131335158501</v>
      </c>
      <c r="F507">
        <v>0.32307596056295501</v>
      </c>
    </row>
    <row r="508" spans="1:6" x14ac:dyDescent="0.2">
      <c r="A508" t="s">
        <v>1268</v>
      </c>
      <c r="B508" t="s">
        <v>873</v>
      </c>
      <c r="C508" t="s">
        <v>653</v>
      </c>
    </row>
    <row r="509" spans="1:6" x14ac:dyDescent="0.2">
      <c r="A509" t="s">
        <v>1269</v>
      </c>
      <c r="B509" t="s">
        <v>875</v>
      </c>
      <c r="C509" t="s">
        <v>653</v>
      </c>
    </row>
    <row r="510" spans="1:6" x14ac:dyDescent="0.2">
      <c r="A510" t="s">
        <v>1269</v>
      </c>
      <c r="B510" t="s">
        <v>875</v>
      </c>
      <c r="C510" t="s">
        <v>653</v>
      </c>
    </row>
    <row r="511" spans="1:6" x14ac:dyDescent="0.2">
      <c r="A511" t="s">
        <v>1270</v>
      </c>
      <c r="B511" t="s">
        <v>884</v>
      </c>
      <c r="C511" t="s">
        <v>653</v>
      </c>
      <c r="D511">
        <v>0.35103802944739299</v>
      </c>
      <c r="E511">
        <v>0.245212131291454</v>
      </c>
      <c r="F511">
        <v>0.46739038855932402</v>
      </c>
    </row>
    <row r="512" spans="1:6" x14ac:dyDescent="0.2">
      <c r="A512" t="s">
        <v>1270</v>
      </c>
      <c r="B512" t="s">
        <v>884</v>
      </c>
      <c r="C512" t="s">
        <v>653</v>
      </c>
      <c r="D512">
        <v>0.35103802944739299</v>
      </c>
      <c r="E512">
        <v>0.245212131291454</v>
      </c>
      <c r="F512">
        <v>0.46739038855932402</v>
      </c>
    </row>
    <row r="513" spans="1:6" x14ac:dyDescent="0.2">
      <c r="A513" t="s">
        <v>1271</v>
      </c>
      <c r="B513" t="s">
        <v>886</v>
      </c>
      <c r="C513" t="s">
        <v>653</v>
      </c>
    </row>
    <row r="514" spans="1:6" x14ac:dyDescent="0.2">
      <c r="A514" t="s">
        <v>1271</v>
      </c>
      <c r="B514" t="s">
        <v>886</v>
      </c>
      <c r="C514" t="s">
        <v>653</v>
      </c>
    </row>
    <row r="515" spans="1:6" x14ac:dyDescent="0.2">
      <c r="A515" t="s">
        <v>1272</v>
      </c>
      <c r="B515" t="s">
        <v>888</v>
      </c>
      <c r="C515" t="s">
        <v>653</v>
      </c>
    </row>
    <row r="516" spans="1:6" x14ac:dyDescent="0.2">
      <c r="A516" t="s">
        <v>1272</v>
      </c>
      <c r="B516" t="s">
        <v>888</v>
      </c>
      <c r="C516" t="s">
        <v>653</v>
      </c>
    </row>
    <row r="517" spans="1:6" x14ac:dyDescent="0.2">
      <c r="A517" t="s">
        <v>1272</v>
      </c>
      <c r="B517" t="s">
        <v>888</v>
      </c>
      <c r="C517" t="s">
        <v>653</v>
      </c>
    </row>
    <row r="518" spans="1:6" x14ac:dyDescent="0.2">
      <c r="A518" t="s">
        <v>1273</v>
      </c>
      <c r="B518" t="s">
        <v>880</v>
      </c>
      <c r="C518" t="s">
        <v>653</v>
      </c>
      <c r="D518">
        <v>0.51154796962864801</v>
      </c>
      <c r="E518">
        <v>0.36513903067502901</v>
      </c>
      <c r="F518">
        <v>0.65776340132739497</v>
      </c>
    </row>
    <row r="519" spans="1:6" x14ac:dyDescent="0.2">
      <c r="A519" t="s">
        <v>1274</v>
      </c>
      <c r="B519" t="s">
        <v>882</v>
      </c>
      <c r="C519" t="s">
        <v>653</v>
      </c>
    </row>
    <row r="520" spans="1:6" x14ac:dyDescent="0.2">
      <c r="A520" t="s">
        <v>1275</v>
      </c>
      <c r="B520" t="s">
        <v>890</v>
      </c>
      <c r="C520" t="s">
        <v>653</v>
      </c>
    </row>
    <row r="521" spans="1:6" x14ac:dyDescent="0.2">
      <c r="A521" t="s">
        <v>1275</v>
      </c>
      <c r="B521" t="s">
        <v>890</v>
      </c>
      <c r="C521" t="s">
        <v>653</v>
      </c>
    </row>
    <row r="522" spans="1:6" x14ac:dyDescent="0.2">
      <c r="A522" t="s">
        <v>1276</v>
      </c>
      <c r="B522" t="s">
        <v>892</v>
      </c>
      <c r="C522" t="s">
        <v>653</v>
      </c>
      <c r="D522">
        <v>0.62507767911441803</v>
      </c>
      <c r="E522">
        <v>0.45449602852545301</v>
      </c>
      <c r="F522">
        <v>0.77777199816193399</v>
      </c>
    </row>
    <row r="523" spans="1:6" x14ac:dyDescent="0.2">
      <c r="A523" t="s">
        <v>1276</v>
      </c>
      <c r="B523" t="s">
        <v>892</v>
      </c>
      <c r="C523" t="s">
        <v>653</v>
      </c>
      <c r="D523">
        <v>0.62507767911441803</v>
      </c>
      <c r="E523">
        <v>0.45449602852545301</v>
      </c>
      <c r="F523">
        <v>0.77777199816193399</v>
      </c>
    </row>
    <row r="524" spans="1:6" x14ac:dyDescent="0.2">
      <c r="A524" t="s">
        <v>1277</v>
      </c>
      <c r="B524" t="s">
        <v>894</v>
      </c>
      <c r="C524" t="s">
        <v>653</v>
      </c>
    </row>
    <row r="525" spans="1:6" x14ac:dyDescent="0.2">
      <c r="A525" t="s">
        <v>1277</v>
      </c>
      <c r="B525" t="s">
        <v>894</v>
      </c>
      <c r="C525" t="s">
        <v>653</v>
      </c>
    </row>
    <row r="526" spans="1:6" x14ac:dyDescent="0.2">
      <c r="A526" t="s">
        <v>1278</v>
      </c>
      <c r="B526" t="s">
        <v>896</v>
      </c>
      <c r="C526" t="s">
        <v>653</v>
      </c>
    </row>
    <row r="527" spans="1:6" x14ac:dyDescent="0.2">
      <c r="A527" t="s">
        <v>1278</v>
      </c>
      <c r="B527" t="s">
        <v>896</v>
      </c>
      <c r="C527" t="s">
        <v>653</v>
      </c>
    </row>
    <row r="528" spans="1:6" x14ac:dyDescent="0.2">
      <c r="A528" t="s">
        <v>1278</v>
      </c>
      <c r="B528" t="s">
        <v>896</v>
      </c>
      <c r="C528" t="s">
        <v>653</v>
      </c>
    </row>
    <row r="529" spans="1:6" x14ac:dyDescent="0.2">
      <c r="A529" t="s">
        <v>1279</v>
      </c>
      <c r="B529" t="s">
        <v>769</v>
      </c>
    </row>
    <row r="530" spans="1:6" x14ac:dyDescent="0.2">
      <c r="A530" t="s">
        <v>1280</v>
      </c>
      <c r="B530" t="s">
        <v>1281</v>
      </c>
      <c r="C530" t="s">
        <v>1282</v>
      </c>
      <c r="D530">
        <v>5.0987424099999998E-2</v>
      </c>
      <c r="E530">
        <v>3.0721927499999999E-2</v>
      </c>
      <c r="F530">
        <v>7.9410747500000003E-2</v>
      </c>
    </row>
    <row r="531" spans="1:6" x14ac:dyDescent="0.2">
      <c r="A531" t="s">
        <v>1283</v>
      </c>
      <c r="B531" t="s">
        <v>990</v>
      </c>
      <c r="C531" t="s">
        <v>991</v>
      </c>
      <c r="D531">
        <v>0.12765389569999999</v>
      </c>
      <c r="E531">
        <v>8.1910120000000003E-2</v>
      </c>
      <c r="F531">
        <v>0.18267661999999901</v>
      </c>
    </row>
    <row r="532" spans="1:6" x14ac:dyDescent="0.2">
      <c r="A532" t="s">
        <v>1284</v>
      </c>
      <c r="B532" t="s">
        <v>703</v>
      </c>
      <c r="D532">
        <v>0</v>
      </c>
      <c r="E532">
        <v>0</v>
      </c>
      <c r="F532">
        <v>0</v>
      </c>
    </row>
    <row r="533" spans="1:6" x14ac:dyDescent="0.2">
      <c r="A533" t="s">
        <v>1285</v>
      </c>
      <c r="B533" t="s">
        <v>1286</v>
      </c>
      <c r="C533" t="s">
        <v>653</v>
      </c>
      <c r="D533">
        <v>0.17194649122928701</v>
      </c>
      <c r="E533">
        <v>0.11473802245259</v>
      </c>
      <c r="F533">
        <v>0.23843374808057999</v>
      </c>
    </row>
    <row r="534" spans="1:6" x14ac:dyDescent="0.2">
      <c r="A534" t="s">
        <v>1287</v>
      </c>
      <c r="B534" t="s">
        <v>711</v>
      </c>
      <c r="C534" t="s">
        <v>712</v>
      </c>
      <c r="D534">
        <v>1.10162523999999E-2</v>
      </c>
      <c r="E534">
        <v>5.2397625E-3</v>
      </c>
      <c r="F534">
        <v>2.06195424999999E-2</v>
      </c>
    </row>
    <row r="535" spans="1:6" x14ac:dyDescent="0.2">
      <c r="A535" t="s">
        <v>1288</v>
      </c>
      <c r="B535" t="s">
        <v>1289</v>
      </c>
      <c r="C535" t="s">
        <v>653</v>
      </c>
      <c r="D535">
        <v>0.35791108266017102</v>
      </c>
      <c r="E535">
        <v>0.25206510125413301</v>
      </c>
      <c r="F535">
        <v>0.47525300517050401</v>
      </c>
    </row>
    <row r="536" spans="1:6" x14ac:dyDescent="0.2">
      <c r="A536" t="s">
        <v>1290</v>
      </c>
      <c r="B536" t="s">
        <v>1291</v>
      </c>
      <c r="C536" t="s">
        <v>653</v>
      </c>
      <c r="D536">
        <v>0.32590274776349998</v>
      </c>
      <c r="E536">
        <v>0.23322890059125201</v>
      </c>
      <c r="F536">
        <v>0.43762367329817298</v>
      </c>
    </row>
    <row r="537" spans="1:6" x14ac:dyDescent="0.2">
      <c r="A537" t="s">
        <v>1292</v>
      </c>
      <c r="B537" t="s">
        <v>703</v>
      </c>
      <c r="D537">
        <v>0</v>
      </c>
      <c r="E537">
        <v>0</v>
      </c>
      <c r="F537">
        <v>0</v>
      </c>
    </row>
    <row r="538" spans="1:6" x14ac:dyDescent="0.2">
      <c r="A538" t="s">
        <v>1293</v>
      </c>
      <c r="B538" t="s">
        <v>964</v>
      </c>
      <c r="C538" t="s">
        <v>965</v>
      </c>
      <c r="D538">
        <v>3.0842126399999899E-2</v>
      </c>
      <c r="E538">
        <v>1.8822002500000001E-2</v>
      </c>
      <c r="F538">
        <v>4.8710372499999897E-2</v>
      </c>
    </row>
    <row r="539" spans="1:6" x14ac:dyDescent="0.2">
      <c r="A539" t="s">
        <v>1294</v>
      </c>
      <c r="B539" t="s">
        <v>967</v>
      </c>
      <c r="C539" t="s">
        <v>968</v>
      </c>
      <c r="D539">
        <v>0.18404848779999999</v>
      </c>
      <c r="E539">
        <v>0.1251250575</v>
      </c>
      <c r="F539">
        <v>0.25828618249999902</v>
      </c>
    </row>
    <row r="540" spans="1:6" x14ac:dyDescent="0.2">
      <c r="A540" t="s">
        <v>1295</v>
      </c>
      <c r="B540" t="s">
        <v>970</v>
      </c>
      <c r="C540" t="s">
        <v>971</v>
      </c>
      <c r="D540">
        <v>0.18736458340000001</v>
      </c>
      <c r="E540">
        <v>0.1244286775</v>
      </c>
      <c r="F540">
        <v>0.26021716249999999</v>
      </c>
    </row>
    <row r="541" spans="1:6" x14ac:dyDescent="0.2">
      <c r="A541" t="s">
        <v>1296</v>
      </c>
      <c r="B541" t="s">
        <v>855</v>
      </c>
      <c r="C541" t="s">
        <v>856</v>
      </c>
      <c r="D541">
        <v>3.69639789999999E-3</v>
      </c>
      <c r="E541">
        <v>1.3124725E-3</v>
      </c>
      <c r="F541">
        <v>8.1387825000000004E-3</v>
      </c>
    </row>
    <row r="542" spans="1:6" x14ac:dyDescent="0.2">
      <c r="A542" t="s">
        <v>1297</v>
      </c>
      <c r="B542" t="s">
        <v>858</v>
      </c>
      <c r="C542" t="s">
        <v>859</v>
      </c>
      <c r="D542">
        <v>5.1541961499999997E-2</v>
      </c>
      <c r="E542">
        <v>3.3847374999999999E-2</v>
      </c>
      <c r="F542">
        <v>7.5721812499999999E-2</v>
      </c>
    </row>
    <row r="543" spans="1:6" x14ac:dyDescent="0.2">
      <c r="A543" t="s">
        <v>1298</v>
      </c>
      <c r="B543" t="s">
        <v>861</v>
      </c>
      <c r="C543" t="s">
        <v>862</v>
      </c>
      <c r="D543">
        <v>0.14876615300000001</v>
      </c>
      <c r="E543">
        <v>0.10073293999999899</v>
      </c>
      <c r="F543">
        <v>0.20911520249999899</v>
      </c>
    </row>
    <row r="544" spans="1:6" x14ac:dyDescent="0.2">
      <c r="A544" t="s">
        <v>1299</v>
      </c>
      <c r="B544" t="s">
        <v>855</v>
      </c>
      <c r="C544" t="s">
        <v>856</v>
      </c>
      <c r="D544">
        <v>3.69639789999999E-3</v>
      </c>
      <c r="E544">
        <v>1.3124725E-3</v>
      </c>
      <c r="F544">
        <v>8.1387825000000004E-3</v>
      </c>
    </row>
    <row r="545" spans="1:6" x14ac:dyDescent="0.2">
      <c r="A545" t="s">
        <v>1300</v>
      </c>
      <c r="B545" t="s">
        <v>858</v>
      </c>
      <c r="C545" t="s">
        <v>859</v>
      </c>
      <c r="D545">
        <v>5.1541961499999997E-2</v>
      </c>
      <c r="E545">
        <v>3.3847374999999999E-2</v>
      </c>
      <c r="F545">
        <v>7.5721812499999999E-2</v>
      </c>
    </row>
    <row r="546" spans="1:6" x14ac:dyDescent="0.2">
      <c r="A546" t="s">
        <v>1301</v>
      </c>
      <c r="B546" t="s">
        <v>861</v>
      </c>
      <c r="C546" t="s">
        <v>862</v>
      </c>
      <c r="D546">
        <v>0.14876615300000001</v>
      </c>
      <c r="E546">
        <v>0.10073293999999899</v>
      </c>
      <c r="F546">
        <v>0.20911520249999899</v>
      </c>
    </row>
    <row r="547" spans="1:6" x14ac:dyDescent="0.2">
      <c r="A547" t="s">
        <v>1302</v>
      </c>
      <c r="B547" t="s">
        <v>769</v>
      </c>
    </row>
    <row r="548" spans="1:6" x14ac:dyDescent="0.2">
      <c r="A548" t="s">
        <v>1303</v>
      </c>
      <c r="B548" t="s">
        <v>1304</v>
      </c>
      <c r="C548" t="s">
        <v>1305</v>
      </c>
      <c r="D548">
        <v>0.28750118009999998</v>
      </c>
      <c r="E548">
        <v>0.19259088999999999</v>
      </c>
      <c r="F548">
        <v>0.39893967000000002</v>
      </c>
    </row>
    <row r="549" spans="1:6" x14ac:dyDescent="0.2">
      <c r="A549" t="s">
        <v>1306</v>
      </c>
      <c r="B549" t="s">
        <v>1307</v>
      </c>
      <c r="C549" t="s">
        <v>1308</v>
      </c>
      <c r="D549">
        <v>0.45136111719999999</v>
      </c>
      <c r="E549">
        <v>0.30716694</v>
      </c>
      <c r="F549">
        <v>0.60029983249999996</v>
      </c>
    </row>
    <row r="550" spans="1:6" x14ac:dyDescent="0.2">
      <c r="A550" t="s">
        <v>1309</v>
      </c>
      <c r="B550" t="s">
        <v>1310</v>
      </c>
      <c r="C550" t="s">
        <v>1311</v>
      </c>
      <c r="D550">
        <v>0.539560491899999</v>
      </c>
      <c r="E550">
        <v>0.37669583249999999</v>
      </c>
      <c r="F550">
        <v>0.68709526999999904</v>
      </c>
    </row>
    <row r="551" spans="1:6" x14ac:dyDescent="0.2">
      <c r="A551" t="s">
        <v>1312</v>
      </c>
      <c r="B551" t="s">
        <v>916</v>
      </c>
      <c r="C551" t="s">
        <v>917</v>
      </c>
      <c r="D551">
        <v>4.9011414699999999E-2</v>
      </c>
      <c r="E551">
        <v>3.1121342499999899E-2</v>
      </c>
      <c r="F551">
        <v>7.2092547499999896E-2</v>
      </c>
    </row>
    <row r="552" spans="1:6" x14ac:dyDescent="0.2">
      <c r="A552" t="s">
        <v>1313</v>
      </c>
      <c r="B552" t="s">
        <v>1304</v>
      </c>
      <c r="C552" t="s">
        <v>1305</v>
      </c>
      <c r="D552">
        <v>0.28750118009999998</v>
      </c>
      <c r="E552">
        <v>0.19259088999999999</v>
      </c>
      <c r="F552">
        <v>0.39893967000000002</v>
      </c>
    </row>
    <row r="553" spans="1:6" x14ac:dyDescent="0.2">
      <c r="A553" t="s">
        <v>1314</v>
      </c>
      <c r="B553" t="s">
        <v>1307</v>
      </c>
      <c r="C553" t="s">
        <v>1308</v>
      </c>
      <c r="D553">
        <v>0.45136111719999999</v>
      </c>
      <c r="E553">
        <v>0.30716694</v>
      </c>
      <c r="F553">
        <v>0.60029983249999996</v>
      </c>
    </row>
    <row r="554" spans="1:6" x14ac:dyDescent="0.2">
      <c r="A554" t="s">
        <v>1315</v>
      </c>
      <c r="B554" t="s">
        <v>1310</v>
      </c>
      <c r="C554" t="s">
        <v>1311</v>
      </c>
      <c r="D554">
        <v>0.539560491899999</v>
      </c>
      <c r="E554">
        <v>0.37669583249999999</v>
      </c>
      <c r="F554">
        <v>0.68709526999999904</v>
      </c>
    </row>
    <row r="555" spans="1:6" x14ac:dyDescent="0.2">
      <c r="A555" t="s">
        <v>1316</v>
      </c>
      <c r="B555" t="s">
        <v>916</v>
      </c>
      <c r="C555" t="s">
        <v>917</v>
      </c>
      <c r="D555">
        <v>4.9011414699999999E-2</v>
      </c>
      <c r="E555">
        <v>3.1121342499999899E-2</v>
      </c>
      <c r="F555">
        <v>7.2092547499999896E-2</v>
      </c>
    </row>
    <row r="556" spans="1:6" x14ac:dyDescent="0.2">
      <c r="A556" t="s">
        <v>1317</v>
      </c>
      <c r="B556" t="s">
        <v>1304</v>
      </c>
      <c r="C556" t="s">
        <v>1305</v>
      </c>
      <c r="D556">
        <v>0.28750118009999998</v>
      </c>
      <c r="E556">
        <v>0.19259088999999999</v>
      </c>
      <c r="F556">
        <v>0.39893967000000002</v>
      </c>
    </row>
    <row r="557" spans="1:6" x14ac:dyDescent="0.2">
      <c r="A557" t="s">
        <v>1318</v>
      </c>
      <c r="B557" t="s">
        <v>1307</v>
      </c>
      <c r="C557" t="s">
        <v>1308</v>
      </c>
      <c r="D557">
        <v>0.45136111719999999</v>
      </c>
      <c r="E557">
        <v>0.30716694</v>
      </c>
      <c r="F557">
        <v>0.60029983249999996</v>
      </c>
    </row>
    <row r="558" spans="1:6" x14ac:dyDescent="0.2">
      <c r="A558" t="s">
        <v>1319</v>
      </c>
      <c r="B558" t="s">
        <v>1310</v>
      </c>
      <c r="C558" t="s">
        <v>1311</v>
      </c>
      <c r="D558">
        <v>0.539560491899999</v>
      </c>
      <c r="E558">
        <v>0.37669583249999999</v>
      </c>
      <c r="F558">
        <v>0.68709526999999904</v>
      </c>
    </row>
    <row r="559" spans="1:6" x14ac:dyDescent="0.2">
      <c r="A559" t="s">
        <v>1320</v>
      </c>
      <c r="B559" t="s">
        <v>916</v>
      </c>
      <c r="C559" t="s">
        <v>917</v>
      </c>
      <c r="D559">
        <v>4.9011414699999999E-2</v>
      </c>
      <c r="E559">
        <v>3.1121342499999899E-2</v>
      </c>
      <c r="F559">
        <v>7.2092547499999896E-2</v>
      </c>
    </row>
    <row r="560" spans="1:6" x14ac:dyDescent="0.2">
      <c r="A560" t="s">
        <v>1321</v>
      </c>
      <c r="B560" t="s">
        <v>1304</v>
      </c>
      <c r="C560" t="s">
        <v>1305</v>
      </c>
      <c r="D560">
        <v>0.28750118009999998</v>
      </c>
      <c r="E560">
        <v>0.19259088999999999</v>
      </c>
      <c r="F560">
        <v>0.39893967000000002</v>
      </c>
    </row>
    <row r="561" spans="1:6" x14ac:dyDescent="0.2">
      <c r="A561" t="s">
        <v>1322</v>
      </c>
      <c r="B561" t="s">
        <v>1307</v>
      </c>
      <c r="C561" t="s">
        <v>1308</v>
      </c>
      <c r="D561">
        <v>0.45136111719999999</v>
      </c>
      <c r="E561">
        <v>0.30716694</v>
      </c>
      <c r="F561">
        <v>0.60029983249999996</v>
      </c>
    </row>
    <row r="562" spans="1:6" x14ac:dyDescent="0.2">
      <c r="A562" t="s">
        <v>1323</v>
      </c>
      <c r="B562" t="s">
        <v>1310</v>
      </c>
      <c r="C562" t="s">
        <v>1311</v>
      </c>
      <c r="D562">
        <v>0.539560491899999</v>
      </c>
      <c r="E562">
        <v>0.37669583249999999</v>
      </c>
      <c r="F562">
        <v>0.68709526999999904</v>
      </c>
    </row>
    <row r="563" spans="1:6" x14ac:dyDescent="0.2">
      <c r="A563" t="s">
        <v>1324</v>
      </c>
      <c r="B563" t="s">
        <v>916</v>
      </c>
      <c r="C563" t="s">
        <v>917</v>
      </c>
      <c r="D563">
        <v>4.9011414699999999E-2</v>
      </c>
      <c r="E563">
        <v>3.1121342499999899E-2</v>
      </c>
      <c r="F563">
        <v>7.2092547499999896E-2</v>
      </c>
    </row>
    <row r="564" spans="1:6" x14ac:dyDescent="0.2">
      <c r="A564" t="s">
        <v>1325</v>
      </c>
      <c r="B564" t="s">
        <v>1304</v>
      </c>
      <c r="C564" t="s">
        <v>1305</v>
      </c>
      <c r="D564">
        <v>0.28750118009999998</v>
      </c>
      <c r="E564">
        <v>0.19259088999999999</v>
      </c>
      <c r="F564">
        <v>0.39893967000000002</v>
      </c>
    </row>
    <row r="565" spans="1:6" x14ac:dyDescent="0.2">
      <c r="A565" t="s">
        <v>1326</v>
      </c>
      <c r="B565" t="s">
        <v>1307</v>
      </c>
      <c r="C565" t="s">
        <v>1308</v>
      </c>
      <c r="D565">
        <v>0.45136111719999999</v>
      </c>
      <c r="E565">
        <v>0.30716694</v>
      </c>
      <c r="F565">
        <v>0.60029983249999996</v>
      </c>
    </row>
    <row r="566" spans="1:6" x14ac:dyDescent="0.2">
      <c r="A566" t="s">
        <v>1327</v>
      </c>
      <c r="B566" t="s">
        <v>1310</v>
      </c>
      <c r="C566" t="s">
        <v>1311</v>
      </c>
      <c r="D566">
        <v>0.539560491899999</v>
      </c>
      <c r="E566">
        <v>0.37669583249999999</v>
      </c>
      <c r="F566">
        <v>0.68709526999999904</v>
      </c>
    </row>
    <row r="567" spans="1:6" x14ac:dyDescent="0.2">
      <c r="A567" t="s">
        <v>1328</v>
      </c>
      <c r="B567" t="s">
        <v>916</v>
      </c>
      <c r="C567" t="s">
        <v>917</v>
      </c>
      <c r="D567">
        <v>4.9011414699999999E-2</v>
      </c>
      <c r="E567">
        <v>3.1121342499999899E-2</v>
      </c>
      <c r="F567">
        <v>7.2092547499999896E-2</v>
      </c>
    </row>
    <row r="568" spans="1:6" x14ac:dyDescent="0.2">
      <c r="A568" t="s">
        <v>1329</v>
      </c>
      <c r="B568" t="s">
        <v>1304</v>
      </c>
      <c r="C568" t="s">
        <v>1305</v>
      </c>
      <c r="D568">
        <v>0.28750118009999998</v>
      </c>
      <c r="E568">
        <v>0.19259088999999999</v>
      </c>
      <c r="F568">
        <v>0.39893967000000002</v>
      </c>
    </row>
    <row r="569" spans="1:6" x14ac:dyDescent="0.2">
      <c r="A569" t="s">
        <v>1330</v>
      </c>
      <c r="B569" t="s">
        <v>1307</v>
      </c>
      <c r="C569" t="s">
        <v>1308</v>
      </c>
      <c r="D569">
        <v>0.45136111719999999</v>
      </c>
      <c r="E569">
        <v>0.30716694</v>
      </c>
      <c r="F569">
        <v>0.60029983249999996</v>
      </c>
    </row>
    <row r="570" spans="1:6" x14ac:dyDescent="0.2">
      <c r="A570" t="s">
        <v>1331</v>
      </c>
      <c r="B570" t="s">
        <v>1332</v>
      </c>
      <c r="C570" t="s">
        <v>1333</v>
      </c>
      <c r="D570">
        <v>9.5103117299999901E-2</v>
      </c>
      <c r="E570">
        <v>6.3240879999999999E-2</v>
      </c>
      <c r="F570">
        <v>0.13132577749999999</v>
      </c>
    </row>
    <row r="571" spans="1:6" x14ac:dyDescent="0.2">
      <c r="A571" t="s">
        <v>1334</v>
      </c>
      <c r="B571" t="s">
        <v>1310</v>
      </c>
      <c r="C571" t="s">
        <v>1311</v>
      </c>
      <c r="D571">
        <v>0.539560491899999</v>
      </c>
      <c r="E571">
        <v>0.37669583249999999</v>
      </c>
      <c r="F571">
        <v>0.68709526999999904</v>
      </c>
    </row>
    <row r="572" spans="1:6" x14ac:dyDescent="0.2">
      <c r="A572" t="s">
        <v>1335</v>
      </c>
      <c r="B572" t="s">
        <v>916</v>
      </c>
      <c r="C572" t="s">
        <v>917</v>
      </c>
      <c r="D572">
        <v>4.9011414699999999E-2</v>
      </c>
      <c r="E572">
        <v>3.1121342499999899E-2</v>
      </c>
      <c r="F572">
        <v>7.2092547499999896E-2</v>
      </c>
    </row>
    <row r="573" spans="1:6" x14ac:dyDescent="0.2">
      <c r="A573" t="s">
        <v>1336</v>
      </c>
      <c r="B573" t="s">
        <v>1337</v>
      </c>
      <c r="C573" t="s">
        <v>653</v>
      </c>
      <c r="D573">
        <v>0.13929730187226699</v>
      </c>
      <c r="E573">
        <v>9.4411918536530304E-2</v>
      </c>
      <c r="F573">
        <v>0.19234549409774901</v>
      </c>
    </row>
    <row r="574" spans="1:6" x14ac:dyDescent="0.2">
      <c r="A574" t="s">
        <v>1338</v>
      </c>
      <c r="B574" t="s">
        <v>1304</v>
      </c>
      <c r="C574" t="s">
        <v>1305</v>
      </c>
      <c r="D574">
        <v>0.28750118009999998</v>
      </c>
      <c r="E574">
        <v>0.19259088999999999</v>
      </c>
      <c r="F574">
        <v>0.39893967000000002</v>
      </c>
    </row>
    <row r="575" spans="1:6" x14ac:dyDescent="0.2">
      <c r="A575" t="s">
        <v>1339</v>
      </c>
      <c r="B575" t="s">
        <v>1307</v>
      </c>
      <c r="C575" t="s">
        <v>1308</v>
      </c>
      <c r="D575">
        <v>0.45136111719999999</v>
      </c>
      <c r="E575">
        <v>0.30716694</v>
      </c>
      <c r="F575">
        <v>0.60029983249999996</v>
      </c>
    </row>
    <row r="576" spans="1:6" x14ac:dyDescent="0.2">
      <c r="A576" t="s">
        <v>1340</v>
      </c>
      <c r="B576" t="s">
        <v>1310</v>
      </c>
      <c r="C576" t="s">
        <v>1311</v>
      </c>
      <c r="D576">
        <v>0.539560491899999</v>
      </c>
      <c r="E576">
        <v>0.37669583249999999</v>
      </c>
      <c r="F576">
        <v>0.68709526999999904</v>
      </c>
    </row>
    <row r="577" spans="1:6" x14ac:dyDescent="0.2">
      <c r="A577" t="s">
        <v>1341</v>
      </c>
      <c r="B577" t="s">
        <v>916</v>
      </c>
      <c r="C577" t="s">
        <v>917</v>
      </c>
      <c r="D577">
        <v>4.9011414699999999E-2</v>
      </c>
      <c r="E577">
        <v>3.1121342499999899E-2</v>
      </c>
      <c r="F577">
        <v>7.2092547499999896E-2</v>
      </c>
    </row>
    <row r="578" spans="1:6" x14ac:dyDescent="0.2">
      <c r="A578" t="s">
        <v>1342</v>
      </c>
      <c r="B578" t="s">
        <v>1304</v>
      </c>
      <c r="C578" t="s">
        <v>1305</v>
      </c>
      <c r="D578">
        <v>0.28750118009999998</v>
      </c>
      <c r="E578">
        <v>0.19259088999999999</v>
      </c>
      <c r="F578">
        <v>0.39893967000000002</v>
      </c>
    </row>
    <row r="579" spans="1:6" x14ac:dyDescent="0.2">
      <c r="A579" t="s">
        <v>1343</v>
      </c>
      <c r="B579" t="s">
        <v>1307</v>
      </c>
      <c r="C579" t="s">
        <v>1308</v>
      </c>
      <c r="D579">
        <v>0.45136111719999999</v>
      </c>
      <c r="E579">
        <v>0.30716694</v>
      </c>
      <c r="F579">
        <v>0.60029983249999996</v>
      </c>
    </row>
    <row r="580" spans="1:6" x14ac:dyDescent="0.2">
      <c r="A580" t="s">
        <v>1344</v>
      </c>
      <c r="B580" t="s">
        <v>1310</v>
      </c>
      <c r="C580" t="s">
        <v>1311</v>
      </c>
      <c r="D580">
        <v>0.539560491899999</v>
      </c>
      <c r="E580">
        <v>0.37669583249999999</v>
      </c>
      <c r="F580">
        <v>0.68709526999999904</v>
      </c>
    </row>
    <row r="581" spans="1:6" x14ac:dyDescent="0.2">
      <c r="A581" t="s">
        <v>1345</v>
      </c>
      <c r="B581" t="s">
        <v>916</v>
      </c>
      <c r="C581" t="s">
        <v>917</v>
      </c>
      <c r="D581">
        <v>4.9011414699999999E-2</v>
      </c>
      <c r="E581">
        <v>3.1121342499999899E-2</v>
      </c>
      <c r="F581">
        <v>7.2092547499999896E-2</v>
      </c>
    </row>
    <row r="582" spans="1:6" x14ac:dyDescent="0.2">
      <c r="A582" t="s">
        <v>1346</v>
      </c>
      <c r="B582" t="s">
        <v>1304</v>
      </c>
      <c r="C582" t="s">
        <v>1305</v>
      </c>
      <c r="D582">
        <v>0.28750118009999998</v>
      </c>
      <c r="E582">
        <v>0.19259088999999999</v>
      </c>
      <c r="F582">
        <v>0.39893967000000002</v>
      </c>
    </row>
    <row r="583" spans="1:6" x14ac:dyDescent="0.2">
      <c r="A583" t="s">
        <v>1347</v>
      </c>
      <c r="B583" t="s">
        <v>1307</v>
      </c>
      <c r="C583" t="s">
        <v>1308</v>
      </c>
      <c r="D583">
        <v>0.45136111719999999</v>
      </c>
      <c r="E583">
        <v>0.30716694</v>
      </c>
      <c r="F583">
        <v>0.60029983249999996</v>
      </c>
    </row>
    <row r="584" spans="1:6" x14ac:dyDescent="0.2">
      <c r="A584" t="s">
        <v>1348</v>
      </c>
      <c r="B584" t="s">
        <v>1310</v>
      </c>
      <c r="C584" t="s">
        <v>1311</v>
      </c>
      <c r="D584">
        <v>0.539560491899999</v>
      </c>
      <c r="E584">
        <v>0.37669583249999999</v>
      </c>
      <c r="F584">
        <v>0.68709526999999904</v>
      </c>
    </row>
    <row r="585" spans="1:6" x14ac:dyDescent="0.2">
      <c r="A585" t="s">
        <v>1349</v>
      </c>
      <c r="B585" t="s">
        <v>916</v>
      </c>
      <c r="C585" t="s">
        <v>917</v>
      </c>
      <c r="D585">
        <v>4.9011414699999999E-2</v>
      </c>
      <c r="E585">
        <v>3.1121342499999899E-2</v>
      </c>
      <c r="F585">
        <v>7.2092547499999896E-2</v>
      </c>
    </row>
    <row r="586" spans="1:6" x14ac:dyDescent="0.2">
      <c r="A586" t="s">
        <v>1350</v>
      </c>
      <c r="B586" t="s">
        <v>1304</v>
      </c>
      <c r="C586" t="s">
        <v>1305</v>
      </c>
      <c r="D586">
        <v>0.28750118009999998</v>
      </c>
      <c r="E586">
        <v>0.19259088999999999</v>
      </c>
      <c r="F586">
        <v>0.39893967000000002</v>
      </c>
    </row>
    <row r="587" spans="1:6" x14ac:dyDescent="0.2">
      <c r="A587" t="s">
        <v>1351</v>
      </c>
      <c r="B587" t="s">
        <v>1307</v>
      </c>
      <c r="C587" t="s">
        <v>1308</v>
      </c>
      <c r="D587">
        <v>0.45136111719999999</v>
      </c>
      <c r="E587">
        <v>0.30716694</v>
      </c>
      <c r="F587">
        <v>0.60029983249999996</v>
      </c>
    </row>
    <row r="588" spans="1:6" x14ac:dyDescent="0.2">
      <c r="A588" t="s">
        <v>1352</v>
      </c>
      <c r="B588" t="s">
        <v>1353</v>
      </c>
      <c r="C588" t="s">
        <v>1354</v>
      </c>
      <c r="D588">
        <v>0.56850238799999897</v>
      </c>
      <c r="E588">
        <v>0.38881356</v>
      </c>
      <c r="F588">
        <v>0.72678767</v>
      </c>
    </row>
    <row r="589" spans="1:6" x14ac:dyDescent="0.2">
      <c r="A589" t="s">
        <v>1355</v>
      </c>
      <c r="B589" t="s">
        <v>916</v>
      </c>
      <c r="C589" t="s">
        <v>917</v>
      </c>
      <c r="D589">
        <v>4.9011414699999999E-2</v>
      </c>
      <c r="E589">
        <v>3.1121342499999899E-2</v>
      </c>
      <c r="F589">
        <v>7.2092547499999896E-2</v>
      </c>
    </row>
    <row r="590" spans="1:6" x14ac:dyDescent="0.2">
      <c r="A590" t="s">
        <v>1356</v>
      </c>
      <c r="B590" t="s">
        <v>1304</v>
      </c>
      <c r="C590" t="s">
        <v>1305</v>
      </c>
      <c r="D590">
        <v>0.28750118009999998</v>
      </c>
      <c r="E590">
        <v>0.19259088999999999</v>
      </c>
      <c r="F590">
        <v>0.39893967000000002</v>
      </c>
    </row>
    <row r="591" spans="1:6" x14ac:dyDescent="0.2">
      <c r="A591" t="s">
        <v>1357</v>
      </c>
      <c r="B591" t="s">
        <v>1307</v>
      </c>
      <c r="C591" t="s">
        <v>1308</v>
      </c>
      <c r="D591">
        <v>0.45136111719999999</v>
      </c>
      <c r="E591">
        <v>0.30716694</v>
      </c>
      <c r="F591">
        <v>0.60029983249999996</v>
      </c>
    </row>
    <row r="592" spans="1:6" x14ac:dyDescent="0.2">
      <c r="A592" t="s">
        <v>1358</v>
      </c>
      <c r="B592" t="s">
        <v>1310</v>
      </c>
      <c r="C592" t="s">
        <v>1311</v>
      </c>
      <c r="D592">
        <v>0.539560491899999</v>
      </c>
      <c r="E592">
        <v>0.37669583249999999</v>
      </c>
      <c r="F592">
        <v>0.68709526999999904</v>
      </c>
    </row>
    <row r="593" spans="1:6" x14ac:dyDescent="0.2">
      <c r="A593" t="s">
        <v>1359</v>
      </c>
      <c r="B593" t="s">
        <v>916</v>
      </c>
      <c r="C593" t="s">
        <v>917</v>
      </c>
      <c r="D593">
        <v>4.9011414699999999E-2</v>
      </c>
      <c r="E593">
        <v>3.1121342499999899E-2</v>
      </c>
      <c r="F593">
        <v>7.2092547499999896E-2</v>
      </c>
    </row>
    <row r="594" spans="1:6" x14ac:dyDescent="0.2">
      <c r="A594" t="s">
        <v>1360</v>
      </c>
      <c r="B594" t="s">
        <v>1304</v>
      </c>
      <c r="C594" t="s">
        <v>1305</v>
      </c>
      <c r="D594">
        <v>0.28750118009999998</v>
      </c>
      <c r="E594">
        <v>0.19259088999999999</v>
      </c>
      <c r="F594">
        <v>0.39893967000000002</v>
      </c>
    </row>
    <row r="595" spans="1:6" x14ac:dyDescent="0.2">
      <c r="A595" t="s">
        <v>1361</v>
      </c>
      <c r="B595" t="s">
        <v>1307</v>
      </c>
      <c r="C595" t="s">
        <v>1308</v>
      </c>
      <c r="D595">
        <v>0.45136111719999999</v>
      </c>
      <c r="E595">
        <v>0.30716694</v>
      </c>
      <c r="F595">
        <v>0.60029983249999996</v>
      </c>
    </row>
    <row r="596" spans="1:6" x14ac:dyDescent="0.2">
      <c r="A596" t="s">
        <v>1362</v>
      </c>
      <c r="B596" t="s">
        <v>1310</v>
      </c>
      <c r="C596" t="s">
        <v>1311</v>
      </c>
      <c r="D596">
        <v>0.539560491899999</v>
      </c>
      <c r="E596">
        <v>0.37669583249999999</v>
      </c>
      <c r="F596">
        <v>0.68709526999999904</v>
      </c>
    </row>
    <row r="597" spans="1:6" x14ac:dyDescent="0.2">
      <c r="A597" t="s">
        <v>1363</v>
      </c>
      <c r="B597" t="s">
        <v>916</v>
      </c>
      <c r="C597" t="s">
        <v>917</v>
      </c>
      <c r="D597">
        <v>4.9011414699999999E-2</v>
      </c>
      <c r="E597">
        <v>3.1121342499999899E-2</v>
      </c>
      <c r="F597">
        <v>7.2092547499999896E-2</v>
      </c>
    </row>
    <row r="598" spans="1:6" x14ac:dyDescent="0.2">
      <c r="A598" t="s">
        <v>1364</v>
      </c>
      <c r="B598" t="s">
        <v>1304</v>
      </c>
      <c r="C598" t="s">
        <v>1305</v>
      </c>
      <c r="D598">
        <v>0.28750118009999998</v>
      </c>
      <c r="E598">
        <v>0.19259088999999999</v>
      </c>
      <c r="F598">
        <v>0.39893967000000002</v>
      </c>
    </row>
    <row r="599" spans="1:6" x14ac:dyDescent="0.2">
      <c r="A599" t="s">
        <v>1365</v>
      </c>
      <c r="B599" t="s">
        <v>1307</v>
      </c>
      <c r="C599" t="s">
        <v>1308</v>
      </c>
      <c r="D599">
        <v>0.45136111719999999</v>
      </c>
      <c r="E599">
        <v>0.30716694</v>
      </c>
      <c r="F599">
        <v>0.60029983249999996</v>
      </c>
    </row>
    <row r="600" spans="1:6" x14ac:dyDescent="0.2">
      <c r="A600" t="s">
        <v>1366</v>
      </c>
      <c r="B600" t="s">
        <v>1310</v>
      </c>
      <c r="C600" t="s">
        <v>1311</v>
      </c>
      <c r="D600">
        <v>0.539560491899999</v>
      </c>
      <c r="E600">
        <v>0.37669583249999999</v>
      </c>
      <c r="F600">
        <v>0.68709526999999904</v>
      </c>
    </row>
    <row r="601" spans="1:6" x14ac:dyDescent="0.2">
      <c r="A601" t="s">
        <v>1367</v>
      </c>
      <c r="B601" t="s">
        <v>916</v>
      </c>
      <c r="C601" t="s">
        <v>917</v>
      </c>
      <c r="D601">
        <v>4.9011414699999999E-2</v>
      </c>
      <c r="E601">
        <v>3.1121342499999899E-2</v>
      </c>
      <c r="F601">
        <v>7.2092547499999896E-2</v>
      </c>
    </row>
    <row r="602" spans="1:6" x14ac:dyDescent="0.2">
      <c r="A602" t="s">
        <v>1368</v>
      </c>
      <c r="B602" t="s">
        <v>1304</v>
      </c>
      <c r="C602" t="s">
        <v>1305</v>
      </c>
      <c r="D602">
        <v>0.28750118009999998</v>
      </c>
      <c r="E602">
        <v>0.19259088999999999</v>
      </c>
      <c r="F602">
        <v>0.39893967000000002</v>
      </c>
    </row>
    <row r="603" spans="1:6" x14ac:dyDescent="0.2">
      <c r="A603" t="s">
        <v>1369</v>
      </c>
      <c r="B603" t="s">
        <v>1307</v>
      </c>
      <c r="C603" t="s">
        <v>1308</v>
      </c>
      <c r="D603">
        <v>0.45136111719999999</v>
      </c>
      <c r="E603">
        <v>0.30716694</v>
      </c>
      <c r="F603">
        <v>0.60029983249999996</v>
      </c>
    </row>
    <row r="604" spans="1:6" x14ac:dyDescent="0.2">
      <c r="A604" t="s">
        <v>1370</v>
      </c>
      <c r="B604" t="s">
        <v>1310</v>
      </c>
      <c r="C604" t="s">
        <v>1311</v>
      </c>
      <c r="D604">
        <v>0.539560491899999</v>
      </c>
      <c r="E604">
        <v>0.37669583249999999</v>
      </c>
      <c r="F604">
        <v>0.68709526999999904</v>
      </c>
    </row>
    <row r="605" spans="1:6" x14ac:dyDescent="0.2">
      <c r="A605" t="s">
        <v>1371</v>
      </c>
      <c r="B605" t="s">
        <v>916</v>
      </c>
      <c r="C605" t="s">
        <v>917</v>
      </c>
      <c r="D605">
        <v>4.9011414699999999E-2</v>
      </c>
      <c r="E605">
        <v>3.1121342499999899E-2</v>
      </c>
      <c r="F605">
        <v>7.2092547499999896E-2</v>
      </c>
    </row>
    <row r="606" spans="1:6" x14ac:dyDescent="0.2">
      <c r="A606" t="s">
        <v>1372</v>
      </c>
      <c r="B606" t="s">
        <v>1304</v>
      </c>
      <c r="C606" t="s">
        <v>1305</v>
      </c>
      <c r="D606">
        <v>0.28750118009999998</v>
      </c>
      <c r="E606">
        <v>0.19259088999999999</v>
      </c>
      <c r="F606">
        <v>0.39893967000000002</v>
      </c>
    </row>
    <row r="607" spans="1:6" x14ac:dyDescent="0.2">
      <c r="A607" t="s">
        <v>1373</v>
      </c>
      <c r="B607" t="s">
        <v>1307</v>
      </c>
      <c r="C607" t="s">
        <v>1308</v>
      </c>
      <c r="D607">
        <v>0.45136111719999999</v>
      </c>
      <c r="E607">
        <v>0.30716694</v>
      </c>
      <c r="F607">
        <v>0.60029983249999996</v>
      </c>
    </row>
    <row r="608" spans="1:6" x14ac:dyDescent="0.2">
      <c r="A608" t="s">
        <v>1374</v>
      </c>
      <c r="B608" t="s">
        <v>1310</v>
      </c>
      <c r="C608" t="s">
        <v>1311</v>
      </c>
      <c r="D608">
        <v>0.539560491899999</v>
      </c>
      <c r="E608">
        <v>0.37669583249999999</v>
      </c>
      <c r="F608">
        <v>0.68709526999999904</v>
      </c>
    </row>
    <row r="609" spans="1:6" x14ac:dyDescent="0.2">
      <c r="A609" t="s">
        <v>1375</v>
      </c>
      <c r="B609" t="s">
        <v>1376</v>
      </c>
      <c r="C609" t="s">
        <v>1377</v>
      </c>
      <c r="D609">
        <v>5.1099214300000001E-2</v>
      </c>
      <c r="E609">
        <v>3.2206930000000002E-2</v>
      </c>
      <c r="F609">
        <v>7.8285442499999996E-2</v>
      </c>
    </row>
    <row r="610" spans="1:6" x14ac:dyDescent="0.2">
      <c r="A610" t="s">
        <v>1378</v>
      </c>
      <c r="B610" t="s">
        <v>916</v>
      </c>
      <c r="C610" t="s">
        <v>917</v>
      </c>
      <c r="D610">
        <v>4.9011414699999999E-2</v>
      </c>
      <c r="E610">
        <v>3.1121342499999899E-2</v>
      </c>
      <c r="F610">
        <v>7.2092547499999896E-2</v>
      </c>
    </row>
    <row r="611" spans="1:6" x14ac:dyDescent="0.2">
      <c r="A611" t="s">
        <v>1379</v>
      </c>
      <c r="B611" t="s">
        <v>1380</v>
      </c>
      <c r="C611" t="s">
        <v>653</v>
      </c>
      <c r="D611">
        <v>9.7501369848810401E-2</v>
      </c>
      <c r="E611">
        <v>6.3341666482086098E-2</v>
      </c>
      <c r="F611">
        <v>0.14484667581692501</v>
      </c>
    </row>
    <row r="612" spans="1:6" x14ac:dyDescent="0.2">
      <c r="A612" t="s">
        <v>1381</v>
      </c>
      <c r="B612" t="s">
        <v>1304</v>
      </c>
      <c r="C612" t="s">
        <v>1305</v>
      </c>
      <c r="D612">
        <v>0.28750118009999998</v>
      </c>
      <c r="E612">
        <v>0.19259088999999999</v>
      </c>
      <c r="F612">
        <v>0.39893967000000002</v>
      </c>
    </row>
    <row r="613" spans="1:6" x14ac:dyDescent="0.2">
      <c r="A613" t="s">
        <v>1382</v>
      </c>
      <c r="B613" t="s">
        <v>1307</v>
      </c>
      <c r="C613" t="s">
        <v>1308</v>
      </c>
      <c r="D613">
        <v>0.45136111719999999</v>
      </c>
      <c r="E613">
        <v>0.30716694</v>
      </c>
      <c r="F613">
        <v>0.60029983249999996</v>
      </c>
    </row>
    <row r="614" spans="1:6" x14ac:dyDescent="0.2">
      <c r="A614" t="s">
        <v>1383</v>
      </c>
      <c r="B614" t="s">
        <v>1310</v>
      </c>
      <c r="C614" t="s">
        <v>1311</v>
      </c>
      <c r="D614">
        <v>0.539560491899999</v>
      </c>
      <c r="E614">
        <v>0.37669583249999999</v>
      </c>
      <c r="F614">
        <v>0.68709526999999904</v>
      </c>
    </row>
    <row r="615" spans="1:6" x14ac:dyDescent="0.2">
      <c r="A615" t="s">
        <v>1384</v>
      </c>
      <c r="B615" t="s">
        <v>916</v>
      </c>
      <c r="C615" t="s">
        <v>917</v>
      </c>
      <c r="D615">
        <v>4.9011414699999999E-2</v>
      </c>
      <c r="E615">
        <v>3.1121342499999899E-2</v>
      </c>
      <c r="F615">
        <v>7.2092547499999896E-2</v>
      </c>
    </row>
    <row r="616" spans="1:6" x14ac:dyDescent="0.2">
      <c r="A616" t="s">
        <v>1385</v>
      </c>
      <c r="B616" t="s">
        <v>1304</v>
      </c>
      <c r="C616" t="s">
        <v>1305</v>
      </c>
      <c r="D616">
        <v>0.28750118009999998</v>
      </c>
      <c r="E616">
        <v>0.19259088999999999</v>
      </c>
      <c r="F616">
        <v>0.39893967000000002</v>
      </c>
    </row>
    <row r="617" spans="1:6" x14ac:dyDescent="0.2">
      <c r="A617" t="s">
        <v>1386</v>
      </c>
      <c r="B617" t="s">
        <v>1307</v>
      </c>
      <c r="C617" t="s">
        <v>1308</v>
      </c>
      <c r="D617">
        <v>0.45136111719999999</v>
      </c>
      <c r="E617">
        <v>0.30716694</v>
      </c>
      <c r="F617">
        <v>0.60029983249999996</v>
      </c>
    </row>
    <row r="618" spans="1:6" x14ac:dyDescent="0.2">
      <c r="A618" t="s">
        <v>1387</v>
      </c>
      <c r="B618" t="s">
        <v>1310</v>
      </c>
      <c r="C618" t="s">
        <v>1311</v>
      </c>
      <c r="D618">
        <v>0.539560491899999</v>
      </c>
      <c r="E618">
        <v>0.37669583249999999</v>
      </c>
      <c r="F618">
        <v>0.68709526999999904</v>
      </c>
    </row>
    <row r="619" spans="1:6" x14ac:dyDescent="0.2">
      <c r="A619" t="s">
        <v>1388</v>
      </c>
      <c r="B619" t="s">
        <v>916</v>
      </c>
      <c r="C619" t="s">
        <v>917</v>
      </c>
      <c r="D619">
        <v>4.9011414699999999E-2</v>
      </c>
      <c r="E619">
        <v>3.1121342499999899E-2</v>
      </c>
      <c r="F619">
        <v>7.2092547499999896E-2</v>
      </c>
    </row>
    <row r="620" spans="1:6" x14ac:dyDescent="0.2">
      <c r="A620" t="s">
        <v>1389</v>
      </c>
      <c r="B620" t="s">
        <v>711</v>
      </c>
      <c r="C620" t="s">
        <v>712</v>
      </c>
      <c r="D620">
        <v>1.10162523999999E-2</v>
      </c>
      <c r="E620">
        <v>5.2397625E-3</v>
      </c>
      <c r="F620">
        <v>2.06195424999999E-2</v>
      </c>
    </row>
    <row r="621" spans="1:6" x14ac:dyDescent="0.2">
      <c r="A621" t="s">
        <v>1390</v>
      </c>
      <c r="B621" t="s">
        <v>921</v>
      </c>
      <c r="C621" t="s">
        <v>922</v>
      </c>
      <c r="D621">
        <v>6.6991753799999998E-2</v>
      </c>
      <c r="E621">
        <v>4.4417720000000001E-2</v>
      </c>
      <c r="F621">
        <v>9.5900522499999905E-2</v>
      </c>
    </row>
    <row r="622" spans="1:6" x14ac:dyDescent="0.2">
      <c r="A622" t="s">
        <v>1391</v>
      </c>
      <c r="B622" t="s">
        <v>1392</v>
      </c>
      <c r="C622" t="s">
        <v>1393</v>
      </c>
      <c r="D622">
        <v>0.57631682819999996</v>
      </c>
      <c r="E622">
        <v>0.40142909249999997</v>
      </c>
      <c r="F622">
        <v>0.73075530999999905</v>
      </c>
    </row>
    <row r="623" spans="1:6" x14ac:dyDescent="0.2">
      <c r="A623" t="s">
        <v>1394</v>
      </c>
      <c r="B623" t="s">
        <v>711</v>
      </c>
      <c r="C623" t="s">
        <v>712</v>
      </c>
      <c r="D623">
        <v>1.10162523999999E-2</v>
      </c>
      <c r="E623">
        <v>5.2397625E-3</v>
      </c>
      <c r="F623">
        <v>2.06195424999999E-2</v>
      </c>
    </row>
    <row r="624" spans="1:6" x14ac:dyDescent="0.2">
      <c r="A624" t="s">
        <v>1395</v>
      </c>
      <c r="B624" t="s">
        <v>703</v>
      </c>
      <c r="D624">
        <v>0</v>
      </c>
      <c r="E624">
        <v>0</v>
      </c>
      <c r="F624">
        <v>0</v>
      </c>
    </row>
    <row r="625" spans="1:6" x14ac:dyDescent="0.2">
      <c r="A625" t="s">
        <v>1396</v>
      </c>
      <c r="B625" t="s">
        <v>1304</v>
      </c>
      <c r="C625" t="s">
        <v>1305</v>
      </c>
      <c r="D625">
        <v>0.28750118009999998</v>
      </c>
      <c r="E625">
        <v>0.19259088999999999</v>
      </c>
      <c r="F625">
        <v>0.39893967000000002</v>
      </c>
    </row>
    <row r="626" spans="1:6" x14ac:dyDescent="0.2">
      <c r="A626" t="s">
        <v>1397</v>
      </c>
      <c r="B626" t="s">
        <v>1307</v>
      </c>
      <c r="C626" t="s">
        <v>1308</v>
      </c>
      <c r="D626">
        <v>0.45136111719999999</v>
      </c>
      <c r="E626">
        <v>0.30716694</v>
      </c>
      <c r="F626">
        <v>0.60029983249999996</v>
      </c>
    </row>
    <row r="627" spans="1:6" x14ac:dyDescent="0.2">
      <c r="A627" t="s">
        <v>1398</v>
      </c>
      <c r="B627" t="s">
        <v>1310</v>
      </c>
      <c r="C627" t="s">
        <v>1311</v>
      </c>
      <c r="D627">
        <v>0.539560491899999</v>
      </c>
      <c r="E627">
        <v>0.37669583249999999</v>
      </c>
      <c r="F627">
        <v>0.68709526999999904</v>
      </c>
    </row>
    <row r="628" spans="1:6" x14ac:dyDescent="0.2">
      <c r="A628" t="s">
        <v>1399</v>
      </c>
      <c r="B628" t="s">
        <v>916</v>
      </c>
      <c r="C628" t="s">
        <v>917</v>
      </c>
      <c r="D628">
        <v>4.9011414699999999E-2</v>
      </c>
      <c r="E628">
        <v>3.1121342499999899E-2</v>
      </c>
      <c r="F628">
        <v>7.2092547499999896E-2</v>
      </c>
    </row>
    <row r="629" spans="1:6" x14ac:dyDescent="0.2">
      <c r="A629" t="s">
        <v>1400</v>
      </c>
      <c r="B629" t="s">
        <v>1304</v>
      </c>
      <c r="C629" t="s">
        <v>1305</v>
      </c>
      <c r="D629">
        <v>0.28750118009999998</v>
      </c>
      <c r="E629">
        <v>0.19259088999999999</v>
      </c>
      <c r="F629">
        <v>0.39893967000000002</v>
      </c>
    </row>
    <row r="630" spans="1:6" x14ac:dyDescent="0.2">
      <c r="A630" t="s">
        <v>1401</v>
      </c>
      <c r="B630" t="s">
        <v>1307</v>
      </c>
      <c r="C630" t="s">
        <v>1308</v>
      </c>
      <c r="D630">
        <v>0.45136111719999999</v>
      </c>
      <c r="E630">
        <v>0.30716694</v>
      </c>
      <c r="F630">
        <v>0.60029983249999996</v>
      </c>
    </row>
    <row r="631" spans="1:6" x14ac:dyDescent="0.2">
      <c r="A631" t="s">
        <v>1402</v>
      </c>
      <c r="B631" t="s">
        <v>1310</v>
      </c>
      <c r="C631" t="s">
        <v>1311</v>
      </c>
      <c r="D631">
        <v>0.539560491899999</v>
      </c>
      <c r="E631">
        <v>0.37669583249999999</v>
      </c>
      <c r="F631">
        <v>0.68709526999999904</v>
      </c>
    </row>
    <row r="632" spans="1:6" x14ac:dyDescent="0.2">
      <c r="A632" t="s">
        <v>1403</v>
      </c>
      <c r="B632" t="s">
        <v>916</v>
      </c>
      <c r="C632" t="s">
        <v>917</v>
      </c>
      <c r="D632">
        <v>4.9011414699999999E-2</v>
      </c>
      <c r="E632">
        <v>3.1121342499999899E-2</v>
      </c>
      <c r="F632">
        <v>7.2092547499999896E-2</v>
      </c>
    </row>
    <row r="633" spans="1:6" x14ac:dyDescent="0.2">
      <c r="A633" t="s">
        <v>1404</v>
      </c>
      <c r="B633" t="s">
        <v>1304</v>
      </c>
      <c r="C633" t="s">
        <v>1305</v>
      </c>
      <c r="D633">
        <v>0.28750118009999998</v>
      </c>
      <c r="E633">
        <v>0.19259088999999999</v>
      </c>
      <c r="F633">
        <v>0.39893967000000002</v>
      </c>
    </row>
    <row r="634" spans="1:6" x14ac:dyDescent="0.2">
      <c r="A634" t="s">
        <v>1405</v>
      </c>
      <c r="B634" t="s">
        <v>1307</v>
      </c>
      <c r="C634" t="s">
        <v>1308</v>
      </c>
      <c r="D634">
        <v>0.45136111719999999</v>
      </c>
      <c r="E634">
        <v>0.30716694</v>
      </c>
      <c r="F634">
        <v>0.60029983249999996</v>
      </c>
    </row>
    <row r="635" spans="1:6" x14ac:dyDescent="0.2">
      <c r="A635" t="s">
        <v>1406</v>
      </c>
      <c r="B635" t="s">
        <v>1407</v>
      </c>
      <c r="C635" t="s">
        <v>1408</v>
      </c>
      <c r="D635">
        <v>3.5575111800000003E-2</v>
      </c>
      <c r="E635">
        <v>2.0313504999999999E-2</v>
      </c>
      <c r="F635">
        <v>5.6776484999999897E-2</v>
      </c>
    </row>
    <row r="636" spans="1:6" x14ac:dyDescent="0.2">
      <c r="A636" t="s">
        <v>1409</v>
      </c>
      <c r="B636" t="s">
        <v>1310</v>
      </c>
      <c r="C636" t="s">
        <v>1311</v>
      </c>
      <c r="D636">
        <v>0.539560491899999</v>
      </c>
      <c r="E636">
        <v>0.37669583249999999</v>
      </c>
      <c r="F636">
        <v>0.68709526999999904</v>
      </c>
    </row>
    <row r="637" spans="1:6" x14ac:dyDescent="0.2">
      <c r="A637" t="s">
        <v>1410</v>
      </c>
      <c r="B637" t="s">
        <v>916</v>
      </c>
      <c r="C637" t="s">
        <v>917</v>
      </c>
      <c r="D637">
        <v>4.9011414699999999E-2</v>
      </c>
      <c r="E637">
        <v>3.1121342499999899E-2</v>
      </c>
      <c r="F637">
        <v>7.2092547499999896E-2</v>
      </c>
    </row>
    <row r="638" spans="1:6" x14ac:dyDescent="0.2">
      <c r="A638" t="s">
        <v>1411</v>
      </c>
      <c r="B638" t="s">
        <v>1412</v>
      </c>
      <c r="C638" t="s">
        <v>653</v>
      </c>
      <c r="D638">
        <v>8.2760722598848799E-2</v>
      </c>
      <c r="E638">
        <v>5.1866643838752897E-2</v>
      </c>
      <c r="F638">
        <v>0.12394512669789</v>
      </c>
    </row>
    <row r="639" spans="1:6" x14ac:dyDescent="0.2">
      <c r="A639" t="s">
        <v>1413</v>
      </c>
      <c r="B639" t="s">
        <v>1304</v>
      </c>
      <c r="C639" t="s">
        <v>1305</v>
      </c>
      <c r="D639">
        <v>0.28750118009999998</v>
      </c>
      <c r="E639">
        <v>0.19259088999999999</v>
      </c>
      <c r="F639">
        <v>0.39893967000000002</v>
      </c>
    </row>
    <row r="640" spans="1:6" x14ac:dyDescent="0.2">
      <c r="A640" t="s">
        <v>1414</v>
      </c>
      <c r="B640" t="s">
        <v>1307</v>
      </c>
      <c r="C640" t="s">
        <v>1308</v>
      </c>
      <c r="D640">
        <v>0.45136111719999999</v>
      </c>
      <c r="E640">
        <v>0.30716694</v>
      </c>
      <c r="F640">
        <v>0.60029983249999996</v>
      </c>
    </row>
    <row r="641" spans="1:6" x14ac:dyDescent="0.2">
      <c r="A641" t="s">
        <v>1415</v>
      </c>
      <c r="B641" t="s">
        <v>1310</v>
      </c>
      <c r="C641" t="s">
        <v>1311</v>
      </c>
      <c r="D641">
        <v>0.539560491899999</v>
      </c>
      <c r="E641">
        <v>0.37669583249999999</v>
      </c>
      <c r="F641">
        <v>0.68709526999999904</v>
      </c>
    </row>
    <row r="642" spans="1:6" x14ac:dyDescent="0.2">
      <c r="A642" t="s">
        <v>1416</v>
      </c>
      <c r="B642" t="s">
        <v>916</v>
      </c>
      <c r="C642" t="s">
        <v>917</v>
      </c>
      <c r="D642">
        <v>4.9011414699999999E-2</v>
      </c>
      <c r="E642">
        <v>3.1121342499999899E-2</v>
      </c>
      <c r="F642">
        <v>7.2092547499999896E-2</v>
      </c>
    </row>
    <row r="643" spans="1:6" x14ac:dyDescent="0.2">
      <c r="A643" t="s">
        <v>1417</v>
      </c>
      <c r="B643" t="s">
        <v>1304</v>
      </c>
      <c r="C643" t="s">
        <v>1305</v>
      </c>
      <c r="D643">
        <v>0.28750118009999998</v>
      </c>
      <c r="E643">
        <v>0.19259088999999999</v>
      </c>
      <c r="F643">
        <v>0.39893967000000002</v>
      </c>
    </row>
    <row r="644" spans="1:6" x14ac:dyDescent="0.2">
      <c r="A644" t="s">
        <v>1418</v>
      </c>
      <c r="B644" t="s">
        <v>1307</v>
      </c>
      <c r="C644" t="s">
        <v>1308</v>
      </c>
      <c r="D644">
        <v>0.45136111719999999</v>
      </c>
      <c r="E644">
        <v>0.30716694</v>
      </c>
      <c r="F644">
        <v>0.60029983249999996</v>
      </c>
    </row>
    <row r="645" spans="1:6" x14ac:dyDescent="0.2">
      <c r="A645" t="s">
        <v>1419</v>
      </c>
      <c r="B645" t="s">
        <v>1310</v>
      </c>
      <c r="C645" t="s">
        <v>1311</v>
      </c>
      <c r="D645">
        <v>0.539560491899999</v>
      </c>
      <c r="E645">
        <v>0.37669583249999999</v>
      </c>
      <c r="F645">
        <v>0.68709526999999904</v>
      </c>
    </row>
    <row r="646" spans="1:6" x14ac:dyDescent="0.2">
      <c r="A646" t="s">
        <v>1420</v>
      </c>
      <c r="B646" t="s">
        <v>916</v>
      </c>
      <c r="C646" t="s">
        <v>917</v>
      </c>
      <c r="D646">
        <v>4.9011414699999999E-2</v>
      </c>
      <c r="E646">
        <v>3.1121342499999899E-2</v>
      </c>
      <c r="F646">
        <v>7.2092547499999896E-2</v>
      </c>
    </row>
    <row r="647" spans="1:6" x14ac:dyDescent="0.2">
      <c r="A647" t="s">
        <v>1421</v>
      </c>
      <c r="B647" t="s">
        <v>1304</v>
      </c>
      <c r="C647" t="s">
        <v>1305</v>
      </c>
      <c r="D647">
        <v>0.28750118009999998</v>
      </c>
      <c r="E647">
        <v>0.19259088999999999</v>
      </c>
      <c r="F647">
        <v>0.39893967000000002</v>
      </c>
    </row>
    <row r="648" spans="1:6" x14ac:dyDescent="0.2">
      <c r="A648" t="s">
        <v>1422</v>
      </c>
      <c r="B648" t="s">
        <v>1307</v>
      </c>
      <c r="C648" t="s">
        <v>1308</v>
      </c>
      <c r="D648">
        <v>0.45136111719999999</v>
      </c>
      <c r="E648">
        <v>0.30716694</v>
      </c>
      <c r="F648">
        <v>0.60029983249999996</v>
      </c>
    </row>
    <row r="649" spans="1:6" x14ac:dyDescent="0.2">
      <c r="A649" t="s">
        <v>1423</v>
      </c>
      <c r="B649" t="s">
        <v>1310</v>
      </c>
      <c r="C649" t="s">
        <v>1311</v>
      </c>
      <c r="D649">
        <v>0.539560491899999</v>
      </c>
      <c r="E649">
        <v>0.37669583249999999</v>
      </c>
      <c r="F649">
        <v>0.68709526999999904</v>
      </c>
    </row>
    <row r="650" spans="1:6" x14ac:dyDescent="0.2">
      <c r="A650" t="s">
        <v>1424</v>
      </c>
      <c r="B650" t="s">
        <v>916</v>
      </c>
      <c r="C650" t="s">
        <v>917</v>
      </c>
      <c r="D650">
        <v>4.9011414699999999E-2</v>
      </c>
      <c r="E650">
        <v>3.1121342499999899E-2</v>
      </c>
      <c r="F650">
        <v>7.2092547499999896E-2</v>
      </c>
    </row>
    <row r="651" spans="1:6" x14ac:dyDescent="0.2">
      <c r="A651" t="s">
        <v>1425</v>
      </c>
      <c r="B651" t="s">
        <v>1304</v>
      </c>
      <c r="C651" t="s">
        <v>1305</v>
      </c>
      <c r="D651">
        <v>0.28750118009999998</v>
      </c>
      <c r="E651">
        <v>0.19259088999999999</v>
      </c>
      <c r="F651">
        <v>0.39893967000000002</v>
      </c>
    </row>
    <row r="652" spans="1:6" x14ac:dyDescent="0.2">
      <c r="A652" t="s">
        <v>1426</v>
      </c>
      <c r="B652" t="s">
        <v>1307</v>
      </c>
      <c r="C652" t="s">
        <v>1308</v>
      </c>
      <c r="D652">
        <v>0.45136111719999999</v>
      </c>
      <c r="E652">
        <v>0.30716694</v>
      </c>
      <c r="F652">
        <v>0.60029983249999996</v>
      </c>
    </row>
    <row r="653" spans="1:6" x14ac:dyDescent="0.2">
      <c r="A653" t="s">
        <v>1427</v>
      </c>
      <c r="B653" t="s">
        <v>1310</v>
      </c>
      <c r="C653" t="s">
        <v>1311</v>
      </c>
      <c r="D653">
        <v>0.539560491899999</v>
      </c>
      <c r="E653">
        <v>0.37669583249999999</v>
      </c>
      <c r="F653">
        <v>0.68709526999999904</v>
      </c>
    </row>
    <row r="654" spans="1:6" x14ac:dyDescent="0.2">
      <c r="A654" t="s">
        <v>1428</v>
      </c>
      <c r="B654" t="s">
        <v>916</v>
      </c>
      <c r="C654" t="s">
        <v>917</v>
      </c>
      <c r="D654">
        <v>4.9011414699999999E-2</v>
      </c>
      <c r="E654">
        <v>3.1121342499999899E-2</v>
      </c>
      <c r="F654">
        <v>7.2092547499999896E-2</v>
      </c>
    </row>
    <row r="655" spans="1:6" x14ac:dyDescent="0.2">
      <c r="A655" t="s">
        <v>1429</v>
      </c>
      <c r="B655" t="s">
        <v>1430</v>
      </c>
      <c r="C655" t="s">
        <v>653</v>
      </c>
      <c r="D655">
        <v>6.5453189731461497E-2</v>
      </c>
      <c r="E655">
        <v>4.0391078454069897E-2</v>
      </c>
      <c r="F655">
        <v>9.9544406514228106E-2</v>
      </c>
    </row>
    <row r="656" spans="1:6" x14ac:dyDescent="0.2">
      <c r="A656" t="s">
        <v>1431</v>
      </c>
      <c r="B656" t="s">
        <v>1432</v>
      </c>
      <c r="C656" t="s">
        <v>653</v>
      </c>
      <c r="D656">
        <v>0.18113356032772801</v>
      </c>
      <c r="E656">
        <v>0.123591028699686</v>
      </c>
      <c r="F656">
        <v>0.248083542775097</v>
      </c>
    </row>
    <row r="657" spans="1:6" x14ac:dyDescent="0.2">
      <c r="A657" t="s">
        <v>1433</v>
      </c>
      <c r="B657" t="s">
        <v>1434</v>
      </c>
      <c r="C657" t="s">
        <v>1435</v>
      </c>
      <c r="D657">
        <v>0.13913545869999999</v>
      </c>
      <c r="E657">
        <v>9.4181122500000006E-2</v>
      </c>
      <c r="F657">
        <v>0.19754553749999901</v>
      </c>
    </row>
    <row r="658" spans="1:6" x14ac:dyDescent="0.2">
      <c r="A658" t="s">
        <v>1436</v>
      </c>
      <c r="B658" t="s">
        <v>1437</v>
      </c>
      <c r="C658" t="s">
        <v>1438</v>
      </c>
      <c r="D658">
        <v>1.7338896900000001E-2</v>
      </c>
      <c r="E658">
        <v>8.8922649999999999E-3</v>
      </c>
      <c r="F658">
        <v>3.0323860000000001E-2</v>
      </c>
    </row>
    <row r="659" spans="1:6" x14ac:dyDescent="0.2">
      <c r="A659" t="s">
        <v>1439</v>
      </c>
      <c r="B659" t="s">
        <v>1304</v>
      </c>
      <c r="C659" t="s">
        <v>1305</v>
      </c>
      <c r="D659">
        <v>0.28750118009999998</v>
      </c>
      <c r="E659">
        <v>0.19259088999999999</v>
      </c>
      <c r="F659">
        <v>0.39893967000000002</v>
      </c>
    </row>
    <row r="660" spans="1:6" x14ac:dyDescent="0.2">
      <c r="A660" t="s">
        <v>1440</v>
      </c>
      <c r="B660" t="s">
        <v>1307</v>
      </c>
      <c r="C660" t="s">
        <v>1308</v>
      </c>
      <c r="D660">
        <v>0.45136111719999999</v>
      </c>
      <c r="E660">
        <v>0.30716694</v>
      </c>
      <c r="F660">
        <v>0.60029983249999996</v>
      </c>
    </row>
    <row r="661" spans="1:6" x14ac:dyDescent="0.2">
      <c r="A661" t="s">
        <v>1441</v>
      </c>
      <c r="B661" t="s">
        <v>1310</v>
      </c>
      <c r="C661" t="s">
        <v>1311</v>
      </c>
      <c r="D661">
        <v>0.539560491899999</v>
      </c>
      <c r="E661">
        <v>0.37669583249999999</v>
      </c>
      <c r="F661">
        <v>0.68709526999999904</v>
      </c>
    </row>
    <row r="662" spans="1:6" x14ac:dyDescent="0.2">
      <c r="A662" t="s">
        <v>1442</v>
      </c>
      <c r="B662" t="s">
        <v>916</v>
      </c>
      <c r="C662" t="s">
        <v>917</v>
      </c>
      <c r="D662">
        <v>4.9011414699999999E-2</v>
      </c>
      <c r="E662">
        <v>3.1121342499999899E-2</v>
      </c>
      <c r="F662">
        <v>7.2092547499999896E-2</v>
      </c>
    </row>
    <row r="663" spans="1:6" x14ac:dyDescent="0.2">
      <c r="A663" t="s">
        <v>1443</v>
      </c>
      <c r="B663" t="s">
        <v>1304</v>
      </c>
      <c r="C663" t="s">
        <v>1305</v>
      </c>
      <c r="D663">
        <v>0.28750118009999998</v>
      </c>
      <c r="E663">
        <v>0.19259088999999999</v>
      </c>
      <c r="F663">
        <v>0.39893967000000002</v>
      </c>
    </row>
    <row r="664" spans="1:6" x14ac:dyDescent="0.2">
      <c r="A664" t="s">
        <v>1444</v>
      </c>
      <c r="B664" t="s">
        <v>1307</v>
      </c>
      <c r="C664" t="s">
        <v>1308</v>
      </c>
      <c r="D664">
        <v>0.45136111719999999</v>
      </c>
      <c r="E664">
        <v>0.30716694</v>
      </c>
      <c r="F664">
        <v>0.60029983249999996</v>
      </c>
    </row>
    <row r="665" spans="1:6" x14ac:dyDescent="0.2">
      <c r="A665" t="s">
        <v>1445</v>
      </c>
      <c r="B665" t="s">
        <v>1310</v>
      </c>
      <c r="C665" t="s">
        <v>1311</v>
      </c>
      <c r="D665">
        <v>0.539560491899999</v>
      </c>
      <c r="E665">
        <v>0.37669583249999999</v>
      </c>
      <c r="F665">
        <v>0.68709526999999904</v>
      </c>
    </row>
    <row r="666" spans="1:6" x14ac:dyDescent="0.2">
      <c r="A666" t="s">
        <v>1446</v>
      </c>
      <c r="B666" t="s">
        <v>916</v>
      </c>
      <c r="C666" t="s">
        <v>917</v>
      </c>
      <c r="D666">
        <v>4.9011414699999999E-2</v>
      </c>
      <c r="E666">
        <v>3.1121342499999899E-2</v>
      </c>
      <c r="F666">
        <v>7.2092547499999896E-2</v>
      </c>
    </row>
    <row r="667" spans="1:6" x14ac:dyDescent="0.2">
      <c r="A667" t="s">
        <v>1447</v>
      </c>
      <c r="B667" t="s">
        <v>1304</v>
      </c>
      <c r="C667" t="s">
        <v>1305</v>
      </c>
      <c r="D667">
        <v>0.28750118009999998</v>
      </c>
      <c r="E667">
        <v>0.19259088999999999</v>
      </c>
      <c r="F667">
        <v>0.39893967000000002</v>
      </c>
    </row>
    <row r="668" spans="1:6" x14ac:dyDescent="0.2">
      <c r="A668" t="s">
        <v>1448</v>
      </c>
      <c r="B668" t="s">
        <v>1307</v>
      </c>
      <c r="C668" t="s">
        <v>1308</v>
      </c>
      <c r="D668">
        <v>0.45136111719999999</v>
      </c>
      <c r="E668">
        <v>0.30716694</v>
      </c>
      <c r="F668">
        <v>0.60029983249999996</v>
      </c>
    </row>
    <row r="669" spans="1:6" x14ac:dyDescent="0.2">
      <c r="A669" t="s">
        <v>1449</v>
      </c>
      <c r="B669" t="s">
        <v>1310</v>
      </c>
      <c r="C669" t="s">
        <v>1311</v>
      </c>
      <c r="D669">
        <v>0.539560491899999</v>
      </c>
      <c r="E669">
        <v>0.37669583249999999</v>
      </c>
      <c r="F669">
        <v>0.68709526999999904</v>
      </c>
    </row>
    <row r="670" spans="1:6" x14ac:dyDescent="0.2">
      <c r="A670" t="s">
        <v>1450</v>
      </c>
      <c r="B670" t="s">
        <v>1434</v>
      </c>
      <c r="C670" t="s">
        <v>1435</v>
      </c>
      <c r="D670">
        <v>0.13913545869999999</v>
      </c>
      <c r="E670">
        <v>9.4181122500000006E-2</v>
      </c>
      <c r="F670">
        <v>0.19754553749999901</v>
      </c>
    </row>
    <row r="671" spans="1:6" x14ac:dyDescent="0.2">
      <c r="A671" t="s">
        <v>1451</v>
      </c>
      <c r="B671" t="s">
        <v>916</v>
      </c>
      <c r="C671" t="s">
        <v>917</v>
      </c>
      <c r="D671">
        <v>4.9011414699999999E-2</v>
      </c>
      <c r="E671">
        <v>3.1121342499999899E-2</v>
      </c>
      <c r="F671">
        <v>7.2092547499999896E-2</v>
      </c>
    </row>
    <row r="672" spans="1:6" x14ac:dyDescent="0.2">
      <c r="A672" t="s">
        <v>1452</v>
      </c>
      <c r="B672" t="s">
        <v>1432</v>
      </c>
      <c r="C672" t="s">
        <v>653</v>
      </c>
      <c r="D672">
        <v>0.18113356032772801</v>
      </c>
      <c r="E672">
        <v>0.123591028699686</v>
      </c>
      <c r="F672">
        <v>0.248083542775097</v>
      </c>
    </row>
    <row r="673" spans="1:6" x14ac:dyDescent="0.2">
      <c r="A673" t="s">
        <v>1453</v>
      </c>
      <c r="B673" t="s">
        <v>1304</v>
      </c>
      <c r="C673" t="s">
        <v>1305</v>
      </c>
      <c r="D673">
        <v>0.28750118009999998</v>
      </c>
      <c r="E673">
        <v>0.19259088999999999</v>
      </c>
      <c r="F673">
        <v>0.39893967000000002</v>
      </c>
    </row>
    <row r="674" spans="1:6" x14ac:dyDescent="0.2">
      <c r="A674" t="s">
        <v>1454</v>
      </c>
      <c r="B674" t="s">
        <v>1307</v>
      </c>
      <c r="C674" t="s">
        <v>1308</v>
      </c>
      <c r="D674">
        <v>0.45136111719999999</v>
      </c>
      <c r="E674">
        <v>0.30716694</v>
      </c>
      <c r="F674">
        <v>0.60029983249999996</v>
      </c>
    </row>
    <row r="675" spans="1:6" x14ac:dyDescent="0.2">
      <c r="A675" t="s">
        <v>1455</v>
      </c>
      <c r="B675" t="s">
        <v>1310</v>
      </c>
      <c r="C675" t="s">
        <v>1311</v>
      </c>
      <c r="D675">
        <v>0.539560491899999</v>
      </c>
      <c r="E675">
        <v>0.37669583249999999</v>
      </c>
      <c r="F675">
        <v>0.68709526999999904</v>
      </c>
    </row>
    <row r="676" spans="1:6" x14ac:dyDescent="0.2">
      <c r="A676" t="s">
        <v>1456</v>
      </c>
      <c r="B676" t="s">
        <v>916</v>
      </c>
      <c r="C676" t="s">
        <v>917</v>
      </c>
      <c r="D676">
        <v>4.9011414699999999E-2</v>
      </c>
      <c r="E676">
        <v>3.1121342499999899E-2</v>
      </c>
      <c r="F676">
        <v>7.2092547499999896E-2</v>
      </c>
    </row>
    <row r="677" spans="1:6" x14ac:dyDescent="0.2">
      <c r="A677" t="s">
        <v>1457</v>
      </c>
      <c r="B677" t="s">
        <v>1304</v>
      </c>
      <c r="C677" t="s">
        <v>1305</v>
      </c>
      <c r="D677">
        <v>0.28750118009999998</v>
      </c>
      <c r="E677">
        <v>0.19259088999999999</v>
      </c>
      <c r="F677">
        <v>0.39893967000000002</v>
      </c>
    </row>
    <row r="678" spans="1:6" x14ac:dyDescent="0.2">
      <c r="A678" t="s">
        <v>1458</v>
      </c>
      <c r="B678" t="s">
        <v>1307</v>
      </c>
      <c r="C678" t="s">
        <v>1308</v>
      </c>
      <c r="D678">
        <v>0.45136111719999999</v>
      </c>
      <c r="E678">
        <v>0.30716694</v>
      </c>
      <c r="F678">
        <v>0.60029983249999996</v>
      </c>
    </row>
    <row r="679" spans="1:6" x14ac:dyDescent="0.2">
      <c r="A679" t="s">
        <v>1459</v>
      </c>
      <c r="B679" t="s">
        <v>1310</v>
      </c>
      <c r="C679" t="s">
        <v>1311</v>
      </c>
      <c r="D679">
        <v>0.539560491899999</v>
      </c>
      <c r="E679">
        <v>0.37669583249999999</v>
      </c>
      <c r="F679">
        <v>0.68709526999999904</v>
      </c>
    </row>
    <row r="680" spans="1:6" x14ac:dyDescent="0.2">
      <c r="A680" t="s">
        <v>1460</v>
      </c>
      <c r="B680" t="s">
        <v>916</v>
      </c>
      <c r="C680" t="s">
        <v>917</v>
      </c>
      <c r="D680">
        <v>4.9011414699999999E-2</v>
      </c>
      <c r="E680">
        <v>3.1121342499999899E-2</v>
      </c>
      <c r="F680">
        <v>7.2092547499999896E-2</v>
      </c>
    </row>
    <row r="681" spans="1:6" x14ac:dyDescent="0.2">
      <c r="A681" t="s">
        <v>1461</v>
      </c>
      <c r="B681" t="s">
        <v>1304</v>
      </c>
      <c r="C681" t="s">
        <v>1305</v>
      </c>
      <c r="D681">
        <v>0.28750118009999998</v>
      </c>
      <c r="E681">
        <v>0.19259088999999999</v>
      </c>
      <c r="F681">
        <v>0.39893967000000002</v>
      </c>
    </row>
    <row r="682" spans="1:6" x14ac:dyDescent="0.2">
      <c r="A682" t="s">
        <v>1462</v>
      </c>
      <c r="B682" t="s">
        <v>1307</v>
      </c>
      <c r="C682" t="s">
        <v>1308</v>
      </c>
      <c r="D682">
        <v>0.45136111719999999</v>
      </c>
      <c r="E682">
        <v>0.30716694</v>
      </c>
      <c r="F682">
        <v>0.60029983249999996</v>
      </c>
    </row>
    <row r="683" spans="1:6" x14ac:dyDescent="0.2">
      <c r="A683" t="s">
        <v>1463</v>
      </c>
      <c r="B683" t="s">
        <v>1310</v>
      </c>
      <c r="C683" t="s">
        <v>1311</v>
      </c>
      <c r="D683">
        <v>0.539560491899999</v>
      </c>
      <c r="E683">
        <v>0.37669583249999999</v>
      </c>
      <c r="F683">
        <v>0.68709526999999904</v>
      </c>
    </row>
    <row r="684" spans="1:6" x14ac:dyDescent="0.2">
      <c r="A684" t="s">
        <v>1464</v>
      </c>
      <c r="B684" t="s">
        <v>916</v>
      </c>
      <c r="C684" t="s">
        <v>917</v>
      </c>
      <c r="D684">
        <v>4.9011414699999999E-2</v>
      </c>
      <c r="E684">
        <v>3.1121342499999899E-2</v>
      </c>
      <c r="F684">
        <v>7.2092547499999896E-2</v>
      </c>
    </row>
    <row r="685" spans="1:6" x14ac:dyDescent="0.2">
      <c r="A685" t="s">
        <v>1465</v>
      </c>
      <c r="B685" t="s">
        <v>1304</v>
      </c>
      <c r="C685" t="s">
        <v>1305</v>
      </c>
      <c r="D685">
        <v>0.28750118009999998</v>
      </c>
      <c r="E685">
        <v>0.19259088999999999</v>
      </c>
      <c r="F685">
        <v>0.39893967000000002</v>
      </c>
    </row>
    <row r="686" spans="1:6" x14ac:dyDescent="0.2">
      <c r="A686" t="s">
        <v>1466</v>
      </c>
      <c r="B686" t="s">
        <v>1307</v>
      </c>
      <c r="C686" t="s">
        <v>1308</v>
      </c>
      <c r="D686">
        <v>0.45136111719999999</v>
      </c>
      <c r="E686">
        <v>0.30716694</v>
      </c>
      <c r="F686">
        <v>0.60029983249999996</v>
      </c>
    </row>
    <row r="687" spans="1:6" x14ac:dyDescent="0.2">
      <c r="A687" t="s">
        <v>1467</v>
      </c>
      <c r="B687" t="s">
        <v>1310</v>
      </c>
      <c r="C687" t="s">
        <v>1311</v>
      </c>
      <c r="D687">
        <v>0.539560491899999</v>
      </c>
      <c r="E687">
        <v>0.37669583249999999</v>
      </c>
      <c r="F687">
        <v>0.68709526999999904</v>
      </c>
    </row>
    <row r="688" spans="1:6" x14ac:dyDescent="0.2">
      <c r="A688" t="s">
        <v>1468</v>
      </c>
      <c r="B688" t="s">
        <v>916</v>
      </c>
      <c r="C688" t="s">
        <v>917</v>
      </c>
      <c r="D688">
        <v>4.9011414699999999E-2</v>
      </c>
      <c r="E688">
        <v>3.1121342499999899E-2</v>
      </c>
      <c r="F688">
        <v>7.2092547499999896E-2</v>
      </c>
    </row>
    <row r="689" spans="1:6" x14ac:dyDescent="0.2">
      <c r="A689" t="s">
        <v>1469</v>
      </c>
      <c r="B689" t="s">
        <v>1304</v>
      </c>
      <c r="C689" t="s">
        <v>1305</v>
      </c>
      <c r="D689">
        <v>0.28750118009999998</v>
      </c>
      <c r="E689">
        <v>0.19259088999999999</v>
      </c>
      <c r="F689">
        <v>0.39893967000000002</v>
      </c>
    </row>
    <row r="690" spans="1:6" x14ac:dyDescent="0.2">
      <c r="A690" t="s">
        <v>1470</v>
      </c>
      <c r="B690" t="s">
        <v>1307</v>
      </c>
      <c r="C690" t="s">
        <v>1308</v>
      </c>
      <c r="D690">
        <v>0.45136111719999999</v>
      </c>
      <c r="E690">
        <v>0.30716694</v>
      </c>
      <c r="F690">
        <v>0.60029983249999996</v>
      </c>
    </row>
    <row r="691" spans="1:6" x14ac:dyDescent="0.2">
      <c r="A691" t="s">
        <v>1471</v>
      </c>
      <c r="B691" t="s">
        <v>1310</v>
      </c>
      <c r="C691" t="s">
        <v>1311</v>
      </c>
      <c r="D691">
        <v>0.539560491899999</v>
      </c>
      <c r="E691">
        <v>0.37669583249999999</v>
      </c>
      <c r="F691">
        <v>0.68709526999999904</v>
      </c>
    </row>
    <row r="692" spans="1:6" x14ac:dyDescent="0.2">
      <c r="A692" t="s">
        <v>1472</v>
      </c>
      <c r="B692" t="s">
        <v>916</v>
      </c>
      <c r="C692" t="s">
        <v>917</v>
      </c>
      <c r="D692">
        <v>4.9011414699999999E-2</v>
      </c>
      <c r="E692">
        <v>3.1121342499999899E-2</v>
      </c>
      <c r="F692">
        <v>7.2092547499999896E-2</v>
      </c>
    </row>
    <row r="693" spans="1:6" x14ac:dyDescent="0.2">
      <c r="A693" t="s">
        <v>1473</v>
      </c>
      <c r="B693" t="s">
        <v>1304</v>
      </c>
      <c r="C693" t="s">
        <v>1305</v>
      </c>
      <c r="D693">
        <v>0.28750118009999998</v>
      </c>
      <c r="E693">
        <v>0.19259088999999999</v>
      </c>
      <c r="F693">
        <v>0.39893967000000002</v>
      </c>
    </row>
    <row r="694" spans="1:6" x14ac:dyDescent="0.2">
      <c r="A694" t="s">
        <v>1474</v>
      </c>
      <c r="B694" t="s">
        <v>1307</v>
      </c>
      <c r="C694" t="s">
        <v>1308</v>
      </c>
      <c r="D694">
        <v>0.45136111719999999</v>
      </c>
      <c r="E694">
        <v>0.30716694</v>
      </c>
      <c r="F694">
        <v>0.60029983249999996</v>
      </c>
    </row>
    <row r="695" spans="1:6" x14ac:dyDescent="0.2">
      <c r="A695" t="s">
        <v>1475</v>
      </c>
      <c r="B695" t="s">
        <v>1310</v>
      </c>
      <c r="C695" t="s">
        <v>1311</v>
      </c>
      <c r="D695">
        <v>0.539560491899999</v>
      </c>
      <c r="E695">
        <v>0.37669583249999999</v>
      </c>
      <c r="F695">
        <v>0.68709526999999904</v>
      </c>
    </row>
    <row r="696" spans="1:6" x14ac:dyDescent="0.2">
      <c r="A696" t="s">
        <v>1476</v>
      </c>
      <c r="B696" t="s">
        <v>916</v>
      </c>
      <c r="C696" t="s">
        <v>917</v>
      </c>
      <c r="D696">
        <v>4.9011414699999999E-2</v>
      </c>
      <c r="E696">
        <v>3.1121342499999899E-2</v>
      </c>
      <c r="F696">
        <v>7.2092547499999896E-2</v>
      </c>
    </row>
    <row r="697" spans="1:6" x14ac:dyDescent="0.2">
      <c r="A697" t="s">
        <v>1477</v>
      </c>
      <c r="B697" t="s">
        <v>1304</v>
      </c>
      <c r="C697" t="s">
        <v>1305</v>
      </c>
      <c r="D697">
        <v>0.28750118009999998</v>
      </c>
      <c r="E697">
        <v>0.19259088999999999</v>
      </c>
      <c r="F697">
        <v>0.39893967000000002</v>
      </c>
    </row>
    <row r="698" spans="1:6" x14ac:dyDescent="0.2">
      <c r="A698" t="s">
        <v>1478</v>
      </c>
      <c r="B698" t="s">
        <v>1307</v>
      </c>
      <c r="C698" t="s">
        <v>1308</v>
      </c>
      <c r="D698">
        <v>0.45136111719999999</v>
      </c>
      <c r="E698">
        <v>0.30716694</v>
      </c>
      <c r="F698">
        <v>0.60029983249999996</v>
      </c>
    </row>
    <row r="699" spans="1:6" x14ac:dyDescent="0.2">
      <c r="A699" t="s">
        <v>1479</v>
      </c>
      <c r="B699" t="s">
        <v>1310</v>
      </c>
      <c r="C699" t="s">
        <v>1311</v>
      </c>
      <c r="D699">
        <v>0.539560491899999</v>
      </c>
      <c r="E699">
        <v>0.37669583249999999</v>
      </c>
      <c r="F699">
        <v>0.68709526999999904</v>
      </c>
    </row>
    <row r="700" spans="1:6" x14ac:dyDescent="0.2">
      <c r="A700" t="s">
        <v>1480</v>
      </c>
      <c r="B700" t="s">
        <v>916</v>
      </c>
      <c r="C700" t="s">
        <v>917</v>
      </c>
      <c r="D700">
        <v>4.9011414699999999E-2</v>
      </c>
      <c r="E700">
        <v>3.1121342499999899E-2</v>
      </c>
      <c r="F700">
        <v>7.2092547499999896E-2</v>
      </c>
    </row>
    <row r="701" spans="1:6" x14ac:dyDescent="0.2">
      <c r="A701" t="s">
        <v>1481</v>
      </c>
      <c r="B701" t="s">
        <v>1304</v>
      </c>
      <c r="C701" t="s">
        <v>1305</v>
      </c>
      <c r="D701">
        <v>0.28750118009999998</v>
      </c>
      <c r="E701">
        <v>0.19259088999999999</v>
      </c>
      <c r="F701">
        <v>0.39893967000000002</v>
      </c>
    </row>
    <row r="702" spans="1:6" x14ac:dyDescent="0.2">
      <c r="A702" t="s">
        <v>1482</v>
      </c>
      <c r="B702" t="s">
        <v>1307</v>
      </c>
      <c r="C702" t="s">
        <v>1308</v>
      </c>
      <c r="D702">
        <v>0.45136111719999999</v>
      </c>
      <c r="E702">
        <v>0.30716694</v>
      </c>
      <c r="F702">
        <v>0.60029983249999996</v>
      </c>
    </row>
    <row r="703" spans="1:6" x14ac:dyDescent="0.2">
      <c r="A703" t="s">
        <v>1483</v>
      </c>
      <c r="B703" t="s">
        <v>1310</v>
      </c>
      <c r="C703" t="s">
        <v>1311</v>
      </c>
      <c r="D703">
        <v>0.539560491899999</v>
      </c>
      <c r="E703">
        <v>0.37669583249999999</v>
      </c>
      <c r="F703">
        <v>0.68709526999999904</v>
      </c>
    </row>
    <row r="704" spans="1:6" x14ac:dyDescent="0.2">
      <c r="A704" t="s">
        <v>1484</v>
      </c>
      <c r="B704" t="s">
        <v>916</v>
      </c>
      <c r="C704" t="s">
        <v>917</v>
      </c>
      <c r="D704">
        <v>4.9011414699999999E-2</v>
      </c>
      <c r="E704">
        <v>3.1121342499999899E-2</v>
      </c>
      <c r="F704">
        <v>7.2092547499999896E-2</v>
      </c>
    </row>
    <row r="705" spans="1:6" x14ac:dyDescent="0.2">
      <c r="A705" t="s">
        <v>1485</v>
      </c>
      <c r="B705" t="s">
        <v>1304</v>
      </c>
      <c r="C705" t="s">
        <v>1305</v>
      </c>
      <c r="D705">
        <v>0.28750118009999998</v>
      </c>
      <c r="E705">
        <v>0.19259088999999999</v>
      </c>
      <c r="F705">
        <v>0.39893967000000002</v>
      </c>
    </row>
    <row r="706" spans="1:6" x14ac:dyDescent="0.2">
      <c r="A706" t="s">
        <v>1486</v>
      </c>
      <c r="B706" t="s">
        <v>1307</v>
      </c>
      <c r="C706" t="s">
        <v>1308</v>
      </c>
      <c r="D706">
        <v>0.45136111719999999</v>
      </c>
      <c r="E706">
        <v>0.30716694</v>
      </c>
      <c r="F706">
        <v>0.60029983249999996</v>
      </c>
    </row>
    <row r="707" spans="1:6" x14ac:dyDescent="0.2">
      <c r="A707" t="s">
        <v>1487</v>
      </c>
      <c r="B707" t="s">
        <v>1310</v>
      </c>
      <c r="C707" t="s">
        <v>1311</v>
      </c>
      <c r="D707">
        <v>0.539560491899999</v>
      </c>
      <c r="E707">
        <v>0.37669583249999999</v>
      </c>
      <c r="F707">
        <v>0.68709526999999904</v>
      </c>
    </row>
    <row r="708" spans="1:6" x14ac:dyDescent="0.2">
      <c r="A708" t="s">
        <v>1488</v>
      </c>
      <c r="B708" t="s">
        <v>916</v>
      </c>
      <c r="C708" t="s">
        <v>917</v>
      </c>
      <c r="D708">
        <v>4.9011414699999999E-2</v>
      </c>
      <c r="E708">
        <v>3.1121342499999899E-2</v>
      </c>
      <c r="F708">
        <v>7.2092547499999896E-2</v>
      </c>
    </row>
    <row r="709" spans="1:6" x14ac:dyDescent="0.2">
      <c r="A709" t="s">
        <v>1489</v>
      </c>
      <c r="B709" t="s">
        <v>1304</v>
      </c>
      <c r="C709" t="s">
        <v>1305</v>
      </c>
      <c r="D709">
        <v>0.28750118009999998</v>
      </c>
      <c r="E709">
        <v>0.19259088999999999</v>
      </c>
      <c r="F709">
        <v>0.39893967000000002</v>
      </c>
    </row>
    <row r="710" spans="1:6" x14ac:dyDescent="0.2">
      <c r="A710" t="s">
        <v>1490</v>
      </c>
      <c r="B710" t="s">
        <v>1307</v>
      </c>
      <c r="C710" t="s">
        <v>1308</v>
      </c>
      <c r="D710">
        <v>0.45136111719999999</v>
      </c>
      <c r="E710">
        <v>0.30716694</v>
      </c>
      <c r="F710">
        <v>0.60029983249999996</v>
      </c>
    </row>
    <row r="711" spans="1:6" x14ac:dyDescent="0.2">
      <c r="A711" t="s">
        <v>1491</v>
      </c>
      <c r="B711" t="s">
        <v>1310</v>
      </c>
      <c r="C711" t="s">
        <v>1311</v>
      </c>
      <c r="D711">
        <v>0.539560491899999</v>
      </c>
      <c r="E711">
        <v>0.37669583249999999</v>
      </c>
      <c r="F711">
        <v>0.68709526999999904</v>
      </c>
    </row>
    <row r="712" spans="1:6" x14ac:dyDescent="0.2">
      <c r="A712" t="s">
        <v>1492</v>
      </c>
      <c r="B712" t="s">
        <v>916</v>
      </c>
      <c r="C712" t="s">
        <v>917</v>
      </c>
      <c r="D712">
        <v>4.9011414699999999E-2</v>
      </c>
      <c r="E712">
        <v>3.1121342499999899E-2</v>
      </c>
      <c r="F712">
        <v>7.2092547499999896E-2</v>
      </c>
    </row>
    <row r="713" spans="1:6" x14ac:dyDescent="0.2">
      <c r="A713" t="s">
        <v>1493</v>
      </c>
      <c r="B713" t="s">
        <v>1304</v>
      </c>
      <c r="C713" t="s">
        <v>1305</v>
      </c>
      <c r="D713">
        <v>0.28750118009999998</v>
      </c>
      <c r="E713">
        <v>0.19259088999999999</v>
      </c>
      <c r="F713">
        <v>0.39893967000000002</v>
      </c>
    </row>
    <row r="714" spans="1:6" x14ac:dyDescent="0.2">
      <c r="A714" t="s">
        <v>1494</v>
      </c>
      <c r="B714" t="s">
        <v>1307</v>
      </c>
      <c r="C714" t="s">
        <v>1308</v>
      </c>
      <c r="D714">
        <v>0.45136111719999999</v>
      </c>
      <c r="E714">
        <v>0.30716694</v>
      </c>
      <c r="F714">
        <v>0.60029983249999996</v>
      </c>
    </row>
    <row r="715" spans="1:6" x14ac:dyDescent="0.2">
      <c r="A715" t="s">
        <v>1495</v>
      </c>
      <c r="B715" t="s">
        <v>1310</v>
      </c>
      <c r="C715" t="s">
        <v>1311</v>
      </c>
      <c r="D715">
        <v>0.539560491899999</v>
      </c>
      <c r="E715">
        <v>0.37669583249999999</v>
      </c>
      <c r="F715">
        <v>0.68709526999999904</v>
      </c>
    </row>
    <row r="716" spans="1:6" x14ac:dyDescent="0.2">
      <c r="A716" t="s">
        <v>1496</v>
      </c>
      <c r="B716" t="s">
        <v>916</v>
      </c>
      <c r="C716" t="s">
        <v>917</v>
      </c>
      <c r="D716">
        <v>4.9011414699999999E-2</v>
      </c>
      <c r="E716">
        <v>3.1121342499999899E-2</v>
      </c>
      <c r="F716">
        <v>7.2092547499999896E-2</v>
      </c>
    </row>
    <row r="717" spans="1:6" x14ac:dyDescent="0.2">
      <c r="A717" t="s">
        <v>1497</v>
      </c>
      <c r="B717" t="s">
        <v>1304</v>
      </c>
      <c r="C717" t="s">
        <v>1305</v>
      </c>
      <c r="D717">
        <v>0.28750118009999998</v>
      </c>
      <c r="E717">
        <v>0.19259088999999999</v>
      </c>
      <c r="F717">
        <v>0.39893967000000002</v>
      </c>
    </row>
    <row r="718" spans="1:6" x14ac:dyDescent="0.2">
      <c r="A718" t="s">
        <v>1498</v>
      </c>
      <c r="B718" t="s">
        <v>1307</v>
      </c>
      <c r="C718" t="s">
        <v>1308</v>
      </c>
      <c r="D718">
        <v>0.45136111719999999</v>
      </c>
      <c r="E718">
        <v>0.30716694</v>
      </c>
      <c r="F718">
        <v>0.60029983249999996</v>
      </c>
    </row>
    <row r="719" spans="1:6" x14ac:dyDescent="0.2">
      <c r="A719" t="s">
        <v>1499</v>
      </c>
      <c r="B719" t="s">
        <v>1310</v>
      </c>
      <c r="C719" t="s">
        <v>1311</v>
      </c>
      <c r="D719">
        <v>0.539560491899999</v>
      </c>
      <c r="E719">
        <v>0.37669583249999999</v>
      </c>
      <c r="F719">
        <v>0.68709526999999904</v>
      </c>
    </row>
    <row r="720" spans="1:6" x14ac:dyDescent="0.2">
      <c r="A720" t="s">
        <v>1500</v>
      </c>
      <c r="B720" t="s">
        <v>916</v>
      </c>
      <c r="C720" t="s">
        <v>917</v>
      </c>
      <c r="D720">
        <v>4.9011414699999999E-2</v>
      </c>
      <c r="E720">
        <v>3.1121342499999899E-2</v>
      </c>
      <c r="F720">
        <v>7.2092547499999896E-2</v>
      </c>
    </row>
    <row r="721" spans="1:6" x14ac:dyDescent="0.2">
      <c r="A721" t="s">
        <v>1501</v>
      </c>
      <c r="B721" t="s">
        <v>1304</v>
      </c>
      <c r="C721" t="s">
        <v>1305</v>
      </c>
      <c r="D721">
        <v>0.28750118009999998</v>
      </c>
      <c r="E721">
        <v>0.19259088999999999</v>
      </c>
      <c r="F721">
        <v>0.39893967000000002</v>
      </c>
    </row>
    <row r="722" spans="1:6" x14ac:dyDescent="0.2">
      <c r="A722" t="s">
        <v>1502</v>
      </c>
      <c r="B722" t="s">
        <v>1307</v>
      </c>
      <c r="C722" t="s">
        <v>1308</v>
      </c>
      <c r="D722">
        <v>0.45136111719999999</v>
      </c>
      <c r="E722">
        <v>0.30716694</v>
      </c>
      <c r="F722">
        <v>0.60029983249999996</v>
      </c>
    </row>
    <row r="723" spans="1:6" x14ac:dyDescent="0.2">
      <c r="A723" t="s">
        <v>1503</v>
      </c>
      <c r="B723" t="s">
        <v>1310</v>
      </c>
      <c r="C723" t="s">
        <v>1311</v>
      </c>
      <c r="D723">
        <v>0.539560491899999</v>
      </c>
      <c r="E723">
        <v>0.37669583249999999</v>
      </c>
      <c r="F723">
        <v>0.68709526999999904</v>
      </c>
    </row>
    <row r="724" spans="1:6" x14ac:dyDescent="0.2">
      <c r="A724" t="s">
        <v>1504</v>
      </c>
      <c r="B724" t="s">
        <v>916</v>
      </c>
      <c r="C724" t="s">
        <v>917</v>
      </c>
      <c r="D724">
        <v>4.9011414699999999E-2</v>
      </c>
      <c r="E724">
        <v>3.1121342499999899E-2</v>
      </c>
      <c r="F724">
        <v>7.2092547499999896E-2</v>
      </c>
    </row>
    <row r="725" spans="1:6" x14ac:dyDescent="0.2">
      <c r="A725" t="s">
        <v>1505</v>
      </c>
      <c r="B725" t="s">
        <v>1304</v>
      </c>
      <c r="C725" t="s">
        <v>1305</v>
      </c>
      <c r="D725">
        <v>0.28750118009999998</v>
      </c>
      <c r="E725">
        <v>0.19259088999999999</v>
      </c>
      <c r="F725">
        <v>0.39893967000000002</v>
      </c>
    </row>
    <row r="726" spans="1:6" x14ac:dyDescent="0.2">
      <c r="A726" t="s">
        <v>1506</v>
      </c>
      <c r="B726" t="s">
        <v>1307</v>
      </c>
      <c r="C726" t="s">
        <v>1308</v>
      </c>
      <c r="D726">
        <v>0.45136111719999999</v>
      </c>
      <c r="E726">
        <v>0.30716694</v>
      </c>
      <c r="F726">
        <v>0.60029983249999996</v>
      </c>
    </row>
    <row r="727" spans="1:6" x14ac:dyDescent="0.2">
      <c r="A727" t="s">
        <v>1507</v>
      </c>
      <c r="B727" t="s">
        <v>1310</v>
      </c>
      <c r="C727" t="s">
        <v>1311</v>
      </c>
      <c r="D727">
        <v>0.539560491899999</v>
      </c>
      <c r="E727">
        <v>0.37669583249999999</v>
      </c>
      <c r="F727">
        <v>0.68709526999999904</v>
      </c>
    </row>
    <row r="728" spans="1:6" x14ac:dyDescent="0.2">
      <c r="A728" t="s">
        <v>1508</v>
      </c>
      <c r="B728" t="s">
        <v>916</v>
      </c>
      <c r="C728" t="s">
        <v>917</v>
      </c>
      <c r="D728">
        <v>4.9011414699999999E-2</v>
      </c>
      <c r="E728">
        <v>3.1121342499999899E-2</v>
      </c>
      <c r="F728">
        <v>7.2092547499999896E-2</v>
      </c>
    </row>
    <row r="729" spans="1:6" x14ac:dyDescent="0.2">
      <c r="A729" t="s">
        <v>1509</v>
      </c>
      <c r="B729" t="s">
        <v>1304</v>
      </c>
      <c r="C729" t="s">
        <v>1305</v>
      </c>
      <c r="D729">
        <v>0.28750118009999998</v>
      </c>
      <c r="E729">
        <v>0.19259088999999999</v>
      </c>
      <c r="F729">
        <v>0.39893967000000002</v>
      </c>
    </row>
    <row r="730" spans="1:6" x14ac:dyDescent="0.2">
      <c r="A730" t="s">
        <v>1510</v>
      </c>
      <c r="B730" t="s">
        <v>1307</v>
      </c>
      <c r="C730" t="s">
        <v>1308</v>
      </c>
      <c r="D730">
        <v>0.45136111719999999</v>
      </c>
      <c r="E730">
        <v>0.30716694</v>
      </c>
      <c r="F730">
        <v>0.60029983249999996</v>
      </c>
    </row>
    <row r="731" spans="1:6" x14ac:dyDescent="0.2">
      <c r="A731" t="s">
        <v>1511</v>
      </c>
      <c r="B731" t="s">
        <v>1310</v>
      </c>
      <c r="C731" t="s">
        <v>1311</v>
      </c>
      <c r="D731">
        <v>0.539560491899999</v>
      </c>
      <c r="E731">
        <v>0.37669583249999999</v>
      </c>
      <c r="F731">
        <v>0.68709526999999904</v>
      </c>
    </row>
    <row r="732" spans="1:6" x14ac:dyDescent="0.2">
      <c r="A732" t="s">
        <v>1512</v>
      </c>
      <c r="B732" t="s">
        <v>916</v>
      </c>
      <c r="C732" t="s">
        <v>917</v>
      </c>
      <c r="D732">
        <v>4.9011414699999999E-2</v>
      </c>
      <c r="E732">
        <v>3.1121342499999899E-2</v>
      </c>
      <c r="F732">
        <v>7.2092547499999896E-2</v>
      </c>
    </row>
    <row r="733" spans="1:6" x14ac:dyDescent="0.2">
      <c r="A733" t="s">
        <v>1513</v>
      </c>
      <c r="B733" t="s">
        <v>1304</v>
      </c>
      <c r="C733" t="s">
        <v>1305</v>
      </c>
      <c r="D733">
        <v>0.28750118009999998</v>
      </c>
      <c r="E733">
        <v>0.19259088999999999</v>
      </c>
      <c r="F733">
        <v>0.39893967000000002</v>
      </c>
    </row>
    <row r="734" spans="1:6" x14ac:dyDescent="0.2">
      <c r="A734" t="s">
        <v>1514</v>
      </c>
      <c r="B734" t="s">
        <v>1307</v>
      </c>
      <c r="C734" t="s">
        <v>1308</v>
      </c>
      <c r="D734">
        <v>0.45136111719999999</v>
      </c>
      <c r="E734">
        <v>0.30716694</v>
      </c>
      <c r="F734">
        <v>0.60029983249999996</v>
      </c>
    </row>
    <row r="735" spans="1:6" x14ac:dyDescent="0.2">
      <c r="A735" t="s">
        <v>1515</v>
      </c>
      <c r="B735" t="s">
        <v>1310</v>
      </c>
      <c r="C735" t="s">
        <v>1311</v>
      </c>
      <c r="D735">
        <v>0.539560491899999</v>
      </c>
      <c r="E735">
        <v>0.37669583249999999</v>
      </c>
      <c r="F735">
        <v>0.68709526999999904</v>
      </c>
    </row>
    <row r="736" spans="1:6" x14ac:dyDescent="0.2">
      <c r="A736" t="s">
        <v>1516</v>
      </c>
      <c r="B736" t="s">
        <v>916</v>
      </c>
      <c r="C736" t="s">
        <v>917</v>
      </c>
      <c r="D736">
        <v>4.9011414699999999E-2</v>
      </c>
      <c r="E736">
        <v>3.1121342499999899E-2</v>
      </c>
      <c r="F736">
        <v>7.2092547499999896E-2</v>
      </c>
    </row>
    <row r="737" spans="1:6" x14ac:dyDescent="0.2">
      <c r="A737" t="s">
        <v>1517</v>
      </c>
      <c r="B737" t="s">
        <v>916</v>
      </c>
      <c r="C737" t="s">
        <v>917</v>
      </c>
      <c r="D737">
        <v>4.9011414699999999E-2</v>
      </c>
      <c r="E737">
        <v>3.1121342499999899E-2</v>
      </c>
      <c r="F737">
        <v>7.2092547499999896E-2</v>
      </c>
    </row>
    <row r="738" spans="1:6" x14ac:dyDescent="0.2">
      <c r="A738" t="s">
        <v>1518</v>
      </c>
      <c r="B738" t="s">
        <v>703</v>
      </c>
      <c r="D738">
        <v>0</v>
      </c>
      <c r="E738">
        <v>0</v>
      </c>
      <c r="F738">
        <v>0</v>
      </c>
    </row>
    <row r="739" spans="1:6" x14ac:dyDescent="0.2">
      <c r="A739" t="s">
        <v>1519</v>
      </c>
      <c r="B739" t="s">
        <v>703</v>
      </c>
      <c r="D739">
        <v>0</v>
      </c>
      <c r="E739">
        <v>0</v>
      </c>
      <c r="F739">
        <v>0</v>
      </c>
    </row>
    <row r="740" spans="1:6" x14ac:dyDescent="0.2">
      <c r="A740" t="s">
        <v>1520</v>
      </c>
      <c r="B740" t="s">
        <v>703</v>
      </c>
      <c r="D740">
        <v>0</v>
      </c>
      <c r="E740">
        <v>0</v>
      </c>
      <c r="F740">
        <v>0</v>
      </c>
    </row>
    <row r="741" spans="1:6" x14ac:dyDescent="0.2">
      <c r="A741" t="s">
        <v>1521</v>
      </c>
      <c r="B741" t="s">
        <v>916</v>
      </c>
      <c r="C741" t="s">
        <v>917</v>
      </c>
      <c r="D741">
        <v>4.9011414699999999E-2</v>
      </c>
      <c r="E741">
        <v>3.1121342499999899E-2</v>
      </c>
      <c r="F741">
        <v>7.2092547499999896E-2</v>
      </c>
    </row>
    <row r="742" spans="1:6" x14ac:dyDescent="0.2">
      <c r="A742" t="s">
        <v>1522</v>
      </c>
      <c r="B742" t="s">
        <v>903</v>
      </c>
      <c r="C742" t="s">
        <v>904</v>
      </c>
      <c r="D742">
        <v>4.14518940999999E-2</v>
      </c>
      <c r="E742">
        <v>2.6103222499999999E-2</v>
      </c>
      <c r="F742">
        <v>6.2339544999999899E-2</v>
      </c>
    </row>
    <row r="743" spans="1:6" x14ac:dyDescent="0.2">
      <c r="A743" t="s">
        <v>1523</v>
      </c>
      <c r="B743" t="s">
        <v>906</v>
      </c>
      <c r="C743" t="s">
        <v>907</v>
      </c>
      <c r="D743">
        <v>7.1653432699999894E-2</v>
      </c>
      <c r="E743">
        <v>4.6600777500000003E-2</v>
      </c>
      <c r="F743">
        <v>0.10308943</v>
      </c>
    </row>
    <row r="744" spans="1:6" x14ac:dyDescent="0.2">
      <c r="A744" t="s">
        <v>1524</v>
      </c>
      <c r="B744" t="s">
        <v>909</v>
      </c>
      <c r="C744" t="s">
        <v>910</v>
      </c>
      <c r="D744">
        <v>0.17906669619999999</v>
      </c>
      <c r="E744">
        <v>0.1215548</v>
      </c>
      <c r="F744">
        <v>0.25072915749999902</v>
      </c>
    </row>
    <row r="745" spans="1:6" x14ac:dyDescent="0.2">
      <c r="A745" t="s">
        <v>1525</v>
      </c>
      <c r="B745" t="s">
        <v>916</v>
      </c>
      <c r="C745" t="s">
        <v>917</v>
      </c>
      <c r="D745">
        <v>4.9011414699999999E-2</v>
      </c>
      <c r="E745">
        <v>3.1121342499999899E-2</v>
      </c>
      <c r="F745">
        <v>7.2092547499999896E-2</v>
      </c>
    </row>
    <row r="746" spans="1:6" x14ac:dyDescent="0.2">
      <c r="A746" t="s">
        <v>1526</v>
      </c>
      <c r="B746" t="s">
        <v>703</v>
      </c>
      <c r="D746">
        <v>0</v>
      </c>
      <c r="E746">
        <v>0</v>
      </c>
      <c r="F746">
        <v>0</v>
      </c>
    </row>
    <row r="747" spans="1:6" x14ac:dyDescent="0.2">
      <c r="A747" t="s">
        <v>1527</v>
      </c>
      <c r="B747" t="s">
        <v>1528</v>
      </c>
      <c r="C747" t="s">
        <v>1529</v>
      </c>
      <c r="D747">
        <v>3.3191743099999997E-2</v>
      </c>
      <c r="E747">
        <v>2.0411369999999901E-2</v>
      </c>
      <c r="F747">
        <v>5.1785499999999998E-2</v>
      </c>
    </row>
    <row r="748" spans="1:6" x14ac:dyDescent="0.2">
      <c r="A748" t="s">
        <v>1530</v>
      </c>
      <c r="B748" t="s">
        <v>1531</v>
      </c>
      <c r="C748" t="s">
        <v>1532</v>
      </c>
      <c r="D748">
        <v>7.9503995500000105E-2</v>
      </c>
      <c r="E748">
        <v>5.1910617499999999E-2</v>
      </c>
      <c r="F748">
        <v>0.112882594999999</v>
      </c>
    </row>
    <row r="749" spans="1:6" x14ac:dyDescent="0.2">
      <c r="A749" t="s">
        <v>1533</v>
      </c>
      <c r="B749" t="s">
        <v>1534</v>
      </c>
      <c r="C749" t="s">
        <v>1535</v>
      </c>
      <c r="D749">
        <v>0.16688266169999999</v>
      </c>
      <c r="E749">
        <v>0.1099840325</v>
      </c>
      <c r="F749">
        <v>0.23953090999999899</v>
      </c>
    </row>
    <row r="750" spans="1:6" x14ac:dyDescent="0.2">
      <c r="A750" t="s">
        <v>1536</v>
      </c>
      <c r="B750" t="s">
        <v>703</v>
      </c>
      <c r="D750">
        <v>0</v>
      </c>
      <c r="E750">
        <v>0</v>
      </c>
      <c r="F750">
        <v>0</v>
      </c>
    </row>
    <row r="751" spans="1:6" x14ac:dyDescent="0.2">
      <c r="A751" t="s">
        <v>1537</v>
      </c>
      <c r="B751" t="s">
        <v>903</v>
      </c>
      <c r="C751" t="s">
        <v>904</v>
      </c>
      <c r="D751">
        <v>4.14518940999999E-2</v>
      </c>
      <c r="E751">
        <v>2.6103222499999999E-2</v>
      </c>
      <c r="F751">
        <v>6.2339544999999899E-2</v>
      </c>
    </row>
    <row r="752" spans="1:6" x14ac:dyDescent="0.2">
      <c r="A752" t="s">
        <v>1538</v>
      </c>
      <c r="B752" t="s">
        <v>906</v>
      </c>
      <c r="C752" t="s">
        <v>907</v>
      </c>
      <c r="D752">
        <v>7.1653432699999894E-2</v>
      </c>
      <c r="E752">
        <v>4.6600777500000003E-2</v>
      </c>
      <c r="F752">
        <v>0.10308943</v>
      </c>
    </row>
    <row r="753" spans="1:6" x14ac:dyDescent="0.2">
      <c r="A753" t="s">
        <v>1539</v>
      </c>
      <c r="B753" t="s">
        <v>909</v>
      </c>
      <c r="C753" t="s">
        <v>910</v>
      </c>
      <c r="D753">
        <v>0.17906669619999999</v>
      </c>
      <c r="E753">
        <v>0.1215548</v>
      </c>
      <c r="F753">
        <v>0.25072915749999902</v>
      </c>
    </row>
    <row r="754" spans="1:6" x14ac:dyDescent="0.2">
      <c r="A754" t="s">
        <v>1540</v>
      </c>
      <c r="B754" t="s">
        <v>916</v>
      </c>
      <c r="C754" t="s">
        <v>917</v>
      </c>
      <c r="D754">
        <v>4.9011414699999999E-2</v>
      </c>
      <c r="E754">
        <v>3.1121342499999899E-2</v>
      </c>
      <c r="F754">
        <v>7.2092547499999896E-2</v>
      </c>
    </row>
    <row r="755" spans="1:6" x14ac:dyDescent="0.2">
      <c r="A755" t="s">
        <v>1541</v>
      </c>
      <c r="B755" t="s">
        <v>1542</v>
      </c>
      <c r="C755" t="s">
        <v>1543</v>
      </c>
      <c r="D755">
        <v>0.4322702155</v>
      </c>
      <c r="E755">
        <v>0.28814891999999998</v>
      </c>
      <c r="F755">
        <v>0.57909744499999904</v>
      </c>
    </row>
    <row r="756" spans="1:6" x14ac:dyDescent="0.2">
      <c r="A756" t="s">
        <v>1544</v>
      </c>
      <c r="B756" t="s">
        <v>1545</v>
      </c>
      <c r="C756" t="s">
        <v>1546</v>
      </c>
      <c r="D756">
        <v>7.4100214599999895E-2</v>
      </c>
      <c r="E756">
        <v>4.8690887500000002E-2</v>
      </c>
      <c r="F756">
        <v>0.10531088</v>
      </c>
    </row>
    <row r="757" spans="1:6" x14ac:dyDescent="0.2">
      <c r="A757" t="s">
        <v>1547</v>
      </c>
      <c r="B757" t="s">
        <v>1548</v>
      </c>
      <c r="C757" t="s">
        <v>1549</v>
      </c>
      <c r="D757">
        <v>1.9010281399999999E-2</v>
      </c>
      <c r="E757">
        <v>1.0070084999999999E-2</v>
      </c>
      <c r="F757">
        <v>3.2253339999999998E-2</v>
      </c>
    </row>
    <row r="758" spans="1:6" x14ac:dyDescent="0.2">
      <c r="A758" t="s">
        <v>1550</v>
      </c>
      <c r="B758" t="s">
        <v>1551</v>
      </c>
      <c r="C758" t="s">
        <v>1552</v>
      </c>
      <c r="D758">
        <v>7.0059834899999895E-2</v>
      </c>
      <c r="E758">
        <v>4.6415625000000002E-2</v>
      </c>
      <c r="F758">
        <v>9.9395024999999998E-2</v>
      </c>
    </row>
    <row r="759" spans="1:6" x14ac:dyDescent="0.2">
      <c r="A759" t="s">
        <v>1553</v>
      </c>
      <c r="B759" t="s">
        <v>1554</v>
      </c>
      <c r="C759" t="s">
        <v>653</v>
      </c>
      <c r="D759">
        <v>0.11550699671223399</v>
      </c>
      <c r="E759">
        <v>7.6176283662702099E-2</v>
      </c>
      <c r="F759">
        <v>0.16382252235911099</v>
      </c>
    </row>
    <row r="760" spans="1:6" x14ac:dyDescent="0.2">
      <c r="A760" t="s">
        <v>1555</v>
      </c>
      <c r="B760" t="s">
        <v>1556</v>
      </c>
      <c r="C760" t="s">
        <v>653</v>
      </c>
      <c r="D760">
        <v>0.10849538907589</v>
      </c>
      <c r="E760">
        <v>7.3519290042004998E-2</v>
      </c>
      <c r="F760">
        <v>0.15402047107273001</v>
      </c>
    </row>
    <row r="761" spans="1:6" x14ac:dyDescent="0.2">
      <c r="A761" t="s">
        <v>1557</v>
      </c>
      <c r="B761" t="s">
        <v>1558</v>
      </c>
      <c r="C761" t="s">
        <v>653</v>
      </c>
      <c r="D761">
        <v>0.13651289717948001</v>
      </c>
      <c r="E761">
        <v>9.1287636148285098E-2</v>
      </c>
      <c r="F761">
        <v>0.19065364996242601</v>
      </c>
    </row>
    <row r="762" spans="1:6" x14ac:dyDescent="0.2">
      <c r="A762" t="s">
        <v>1559</v>
      </c>
      <c r="B762" t="s">
        <v>1560</v>
      </c>
      <c r="C762" t="s">
        <v>653</v>
      </c>
      <c r="D762">
        <v>0.236222262269112</v>
      </c>
      <c r="E762">
        <v>0.165268246791726</v>
      </c>
      <c r="F762">
        <v>0.31938408271870899</v>
      </c>
    </row>
    <row r="763" spans="1:6" x14ac:dyDescent="0.2">
      <c r="A763" t="s">
        <v>1561</v>
      </c>
      <c r="B763" t="s">
        <v>1562</v>
      </c>
      <c r="C763" t="s">
        <v>1563</v>
      </c>
      <c r="D763">
        <v>0.31634430260000002</v>
      </c>
      <c r="E763">
        <v>0.205675055</v>
      </c>
      <c r="F763">
        <v>0.4373492725</v>
      </c>
    </row>
    <row r="764" spans="1:6" x14ac:dyDescent="0.2">
      <c r="A764" t="s">
        <v>1564</v>
      </c>
      <c r="B764" t="s">
        <v>1565</v>
      </c>
      <c r="C764" t="s">
        <v>653</v>
      </c>
      <c r="D764">
        <v>0.34959209832848598</v>
      </c>
      <c r="E764">
        <v>0.240566177916543</v>
      </c>
      <c r="F764">
        <v>0.47013132633835902</v>
      </c>
    </row>
    <row r="765" spans="1:6" x14ac:dyDescent="0.2">
      <c r="A765" t="s">
        <v>1566</v>
      </c>
      <c r="B765" t="s">
        <v>1567</v>
      </c>
      <c r="C765" t="s">
        <v>653</v>
      </c>
      <c r="D765">
        <v>0.34449130984930698</v>
      </c>
      <c r="E765">
        <v>0.23749653804307799</v>
      </c>
      <c r="F765">
        <v>0.46443068990940301</v>
      </c>
    </row>
    <row r="766" spans="1:6" x14ac:dyDescent="0.2">
      <c r="A766" t="s">
        <v>1568</v>
      </c>
      <c r="B766" t="s">
        <v>1569</v>
      </c>
      <c r="C766" t="s">
        <v>653</v>
      </c>
      <c r="D766">
        <v>0.36481637276607598</v>
      </c>
      <c r="E766">
        <v>0.25318012588344602</v>
      </c>
      <c r="F766">
        <v>0.48666830599338701</v>
      </c>
    </row>
    <row r="767" spans="1:6" x14ac:dyDescent="0.2">
      <c r="A767" t="s">
        <v>1570</v>
      </c>
      <c r="B767" t="s">
        <v>1571</v>
      </c>
      <c r="C767" t="s">
        <v>653</v>
      </c>
      <c r="D767">
        <v>0.43701702717526802</v>
      </c>
      <c r="E767">
        <v>0.30824900681738598</v>
      </c>
      <c r="F767">
        <v>0.57526310552081905</v>
      </c>
    </row>
    <row r="768" spans="1:6" x14ac:dyDescent="0.2">
      <c r="A768" t="s">
        <v>1572</v>
      </c>
      <c r="B768" t="s">
        <v>1573</v>
      </c>
      <c r="C768" t="s">
        <v>1574</v>
      </c>
      <c r="D768">
        <v>0.55200139250000002</v>
      </c>
      <c r="E768">
        <v>0.37678311249999902</v>
      </c>
      <c r="F768">
        <v>0.70691958999999904</v>
      </c>
    </row>
    <row r="769" spans="1:6" x14ac:dyDescent="0.2">
      <c r="A769" t="s">
        <v>1575</v>
      </c>
      <c r="B769" t="s">
        <v>1576</v>
      </c>
      <c r="C769" t="s">
        <v>653</v>
      </c>
      <c r="D769">
        <v>0.57375326559862805</v>
      </c>
      <c r="E769">
        <v>0.40780612002858802</v>
      </c>
      <c r="F769">
        <v>0.721438061881714</v>
      </c>
    </row>
    <row r="770" spans="1:6" x14ac:dyDescent="0.2">
      <c r="A770" t="s">
        <v>1577</v>
      </c>
      <c r="B770" t="s">
        <v>1578</v>
      </c>
      <c r="C770" t="s">
        <v>653</v>
      </c>
      <c r="D770">
        <v>0.57045221168801397</v>
      </c>
      <c r="E770">
        <v>0.40349875206823499</v>
      </c>
      <c r="F770">
        <v>0.72040329063216701</v>
      </c>
    </row>
    <row r="771" spans="1:6" x14ac:dyDescent="0.2">
      <c r="A771" t="s">
        <v>1579</v>
      </c>
      <c r="B771" t="s">
        <v>1580</v>
      </c>
      <c r="C771" t="s">
        <v>653</v>
      </c>
      <c r="D771">
        <v>0.58355582358288305</v>
      </c>
      <c r="E771">
        <v>0.417199500716877</v>
      </c>
      <c r="F771">
        <v>0.73236616822837197</v>
      </c>
    </row>
    <row r="772" spans="1:6" x14ac:dyDescent="0.2">
      <c r="A772" t="s">
        <v>1581</v>
      </c>
      <c r="B772" t="s">
        <v>1582</v>
      </c>
      <c r="C772" t="s">
        <v>653</v>
      </c>
      <c r="D772">
        <v>0.62989166068075297</v>
      </c>
      <c r="E772">
        <v>0.45832308006611999</v>
      </c>
      <c r="F772">
        <v>0.77673933035490395</v>
      </c>
    </row>
    <row r="773" spans="1:6" x14ac:dyDescent="0.2">
      <c r="A773" t="s">
        <v>1583</v>
      </c>
      <c r="B773" t="s">
        <v>1584</v>
      </c>
      <c r="C773" t="s">
        <v>1585</v>
      </c>
      <c r="D773">
        <v>0.58754583439999997</v>
      </c>
      <c r="E773">
        <v>0.4109979775</v>
      </c>
      <c r="F773">
        <v>0.74443417249999999</v>
      </c>
    </row>
    <row r="774" spans="1:6" x14ac:dyDescent="0.2">
      <c r="A774" t="s">
        <v>1586</v>
      </c>
      <c r="B774" t="s">
        <v>1587</v>
      </c>
      <c r="C774" t="s">
        <v>653</v>
      </c>
      <c r="D774">
        <v>0.60757001409394795</v>
      </c>
      <c r="E774">
        <v>0.43828786630579902</v>
      </c>
      <c r="F774">
        <v>0.75934048659864295</v>
      </c>
    </row>
    <row r="775" spans="1:6" x14ac:dyDescent="0.2">
      <c r="A775" t="s">
        <v>1588</v>
      </c>
      <c r="B775" t="s">
        <v>1589</v>
      </c>
      <c r="C775" t="s">
        <v>653</v>
      </c>
      <c r="D775">
        <v>0.604535787675755</v>
      </c>
      <c r="E775">
        <v>0.43625818319187298</v>
      </c>
      <c r="F775">
        <v>0.75809155397980998</v>
      </c>
    </row>
    <row r="776" spans="1:6" x14ac:dyDescent="0.2">
      <c r="A776" t="s">
        <v>1590</v>
      </c>
      <c r="B776" t="s">
        <v>1591</v>
      </c>
      <c r="C776" t="s">
        <v>653</v>
      </c>
      <c r="D776">
        <v>0.616569518087146</v>
      </c>
      <c r="E776">
        <v>0.447985945937315</v>
      </c>
      <c r="F776">
        <v>0.76819352683282904</v>
      </c>
    </row>
    <row r="777" spans="1:6" x14ac:dyDescent="0.2">
      <c r="A777" t="s">
        <v>1592</v>
      </c>
      <c r="B777" t="s">
        <v>1593</v>
      </c>
      <c r="C777" t="s">
        <v>653</v>
      </c>
      <c r="D777">
        <v>0.65906096991707197</v>
      </c>
      <c r="E777">
        <v>0.48854045382489703</v>
      </c>
      <c r="F777">
        <v>0.80805342256143697</v>
      </c>
    </row>
    <row r="778" spans="1:6" x14ac:dyDescent="0.2">
      <c r="A778" t="s">
        <v>1594</v>
      </c>
      <c r="B778" t="s">
        <v>703</v>
      </c>
      <c r="D778">
        <v>0</v>
      </c>
      <c r="E778">
        <v>0</v>
      </c>
      <c r="F778">
        <v>0</v>
      </c>
    </row>
    <row r="779" spans="1:6" x14ac:dyDescent="0.2">
      <c r="A779" t="s">
        <v>1595</v>
      </c>
      <c r="B779" t="s">
        <v>1548</v>
      </c>
      <c r="C779" t="s">
        <v>1549</v>
      </c>
      <c r="D779">
        <v>1.9010281399999999E-2</v>
      </c>
      <c r="E779">
        <v>1.0070084999999999E-2</v>
      </c>
      <c r="F779">
        <v>3.2253339999999998E-2</v>
      </c>
    </row>
    <row r="780" spans="1:6" x14ac:dyDescent="0.2">
      <c r="A780" t="s">
        <v>1596</v>
      </c>
      <c r="B780" t="s">
        <v>1548</v>
      </c>
      <c r="C780" t="s">
        <v>1549</v>
      </c>
      <c r="D780">
        <v>1.9010281399999999E-2</v>
      </c>
      <c r="E780">
        <v>1.0070084999999999E-2</v>
      </c>
      <c r="F780">
        <v>3.2253339999999998E-2</v>
      </c>
    </row>
    <row r="781" spans="1:6" x14ac:dyDescent="0.2">
      <c r="A781" t="s">
        <v>1597</v>
      </c>
      <c r="B781" t="s">
        <v>1551</v>
      </c>
      <c r="C781" t="s">
        <v>1552</v>
      </c>
      <c r="D781">
        <v>7.0059834899999895E-2</v>
      </c>
      <c r="E781">
        <v>4.6415625000000002E-2</v>
      </c>
      <c r="F781">
        <v>9.9395024999999998E-2</v>
      </c>
    </row>
    <row r="782" spans="1:6" x14ac:dyDescent="0.2">
      <c r="A782" t="s">
        <v>1598</v>
      </c>
      <c r="B782" t="s">
        <v>1554</v>
      </c>
      <c r="C782" t="s">
        <v>653</v>
      </c>
      <c r="D782">
        <v>0.11550699671223399</v>
      </c>
      <c r="E782">
        <v>7.6176283662702099E-2</v>
      </c>
      <c r="F782">
        <v>0.16382252235911099</v>
      </c>
    </row>
    <row r="783" spans="1:6" x14ac:dyDescent="0.2">
      <c r="A783" t="s">
        <v>1599</v>
      </c>
      <c r="B783" t="s">
        <v>1556</v>
      </c>
      <c r="C783" t="s">
        <v>653</v>
      </c>
      <c r="D783">
        <v>0.10849538907589</v>
      </c>
      <c r="E783">
        <v>7.3519290042004998E-2</v>
      </c>
      <c r="F783">
        <v>0.15402047107273001</v>
      </c>
    </row>
    <row r="784" spans="1:6" x14ac:dyDescent="0.2">
      <c r="A784" t="s">
        <v>1600</v>
      </c>
      <c r="B784" t="s">
        <v>1558</v>
      </c>
      <c r="C784" t="s">
        <v>653</v>
      </c>
      <c r="D784">
        <v>0.13651289717948001</v>
      </c>
      <c r="E784">
        <v>9.1287636148285098E-2</v>
      </c>
      <c r="F784">
        <v>0.19065364996242601</v>
      </c>
    </row>
    <row r="785" spans="1:6" x14ac:dyDescent="0.2">
      <c r="A785" t="s">
        <v>1601</v>
      </c>
      <c r="B785" t="s">
        <v>1560</v>
      </c>
      <c r="C785" t="s">
        <v>653</v>
      </c>
      <c r="D785">
        <v>0.236222262269112</v>
      </c>
      <c r="E785">
        <v>0.165268246791726</v>
      </c>
      <c r="F785">
        <v>0.31938408271870899</v>
      </c>
    </row>
    <row r="786" spans="1:6" x14ac:dyDescent="0.2">
      <c r="A786" t="s">
        <v>1602</v>
      </c>
      <c r="B786" t="s">
        <v>1562</v>
      </c>
      <c r="C786" t="s">
        <v>1563</v>
      </c>
      <c r="D786">
        <v>0.31634430260000002</v>
      </c>
      <c r="E786">
        <v>0.205675055</v>
      </c>
      <c r="F786">
        <v>0.4373492725</v>
      </c>
    </row>
    <row r="787" spans="1:6" x14ac:dyDescent="0.2">
      <c r="A787" t="s">
        <v>1603</v>
      </c>
      <c r="B787" t="s">
        <v>1565</v>
      </c>
      <c r="C787" t="s">
        <v>653</v>
      </c>
      <c r="D787">
        <v>0.34959209832848598</v>
      </c>
      <c r="E787">
        <v>0.240566177916543</v>
      </c>
      <c r="F787">
        <v>0.47013132633835902</v>
      </c>
    </row>
    <row r="788" spans="1:6" x14ac:dyDescent="0.2">
      <c r="A788" t="s">
        <v>1604</v>
      </c>
      <c r="B788" t="s">
        <v>1567</v>
      </c>
      <c r="C788" t="s">
        <v>653</v>
      </c>
      <c r="D788">
        <v>0.34449130984930698</v>
      </c>
      <c r="E788">
        <v>0.23749653804307799</v>
      </c>
      <c r="F788">
        <v>0.46443068990940301</v>
      </c>
    </row>
    <row r="789" spans="1:6" x14ac:dyDescent="0.2">
      <c r="A789" t="s">
        <v>1605</v>
      </c>
      <c r="B789" t="s">
        <v>1569</v>
      </c>
      <c r="C789" t="s">
        <v>653</v>
      </c>
      <c r="D789">
        <v>0.36481637276607598</v>
      </c>
      <c r="E789">
        <v>0.25318012588344602</v>
      </c>
      <c r="F789">
        <v>0.48666830599338701</v>
      </c>
    </row>
    <row r="790" spans="1:6" x14ac:dyDescent="0.2">
      <c r="A790" t="s">
        <v>1606</v>
      </c>
      <c r="B790" t="s">
        <v>1571</v>
      </c>
      <c r="C790" t="s">
        <v>653</v>
      </c>
      <c r="D790">
        <v>0.43701702717526802</v>
      </c>
      <c r="E790">
        <v>0.30824900681738598</v>
      </c>
      <c r="F790">
        <v>0.57526310552081905</v>
      </c>
    </row>
    <row r="791" spans="1:6" x14ac:dyDescent="0.2">
      <c r="A791" t="s">
        <v>1607</v>
      </c>
      <c r="B791" t="s">
        <v>1573</v>
      </c>
      <c r="C791" t="s">
        <v>1574</v>
      </c>
      <c r="D791">
        <v>0.55200139250000002</v>
      </c>
      <c r="E791">
        <v>0.37678311249999902</v>
      </c>
      <c r="F791">
        <v>0.70691958999999904</v>
      </c>
    </row>
    <row r="792" spans="1:6" x14ac:dyDescent="0.2">
      <c r="A792" t="s">
        <v>1608</v>
      </c>
      <c r="B792" t="s">
        <v>1576</v>
      </c>
      <c r="C792" t="s">
        <v>653</v>
      </c>
      <c r="D792">
        <v>0.57375326559862805</v>
      </c>
      <c r="E792">
        <v>0.40780612002858802</v>
      </c>
      <c r="F792">
        <v>0.721438061881714</v>
      </c>
    </row>
    <row r="793" spans="1:6" x14ac:dyDescent="0.2">
      <c r="A793" t="s">
        <v>1609</v>
      </c>
      <c r="B793" t="s">
        <v>1578</v>
      </c>
      <c r="C793" t="s">
        <v>653</v>
      </c>
      <c r="D793">
        <v>0.57045221168801397</v>
      </c>
      <c r="E793">
        <v>0.40349875206823499</v>
      </c>
      <c r="F793">
        <v>0.72040329063216701</v>
      </c>
    </row>
    <row r="794" spans="1:6" x14ac:dyDescent="0.2">
      <c r="A794" t="s">
        <v>1610</v>
      </c>
      <c r="B794" t="s">
        <v>1580</v>
      </c>
      <c r="C794" t="s">
        <v>653</v>
      </c>
      <c r="D794">
        <v>0.58355582358288305</v>
      </c>
      <c r="E794">
        <v>0.417199500716877</v>
      </c>
      <c r="F794">
        <v>0.73236616822837197</v>
      </c>
    </row>
    <row r="795" spans="1:6" x14ac:dyDescent="0.2">
      <c r="A795" t="s">
        <v>1611</v>
      </c>
      <c r="B795" t="s">
        <v>1582</v>
      </c>
      <c r="C795" t="s">
        <v>653</v>
      </c>
      <c r="D795">
        <v>0.62989166068075297</v>
      </c>
      <c r="E795">
        <v>0.45832308006611999</v>
      </c>
      <c r="F795">
        <v>0.77673933035490395</v>
      </c>
    </row>
    <row r="796" spans="1:6" x14ac:dyDescent="0.2">
      <c r="A796" t="s">
        <v>1612</v>
      </c>
      <c r="B796" t="s">
        <v>1584</v>
      </c>
      <c r="C796" t="s">
        <v>1585</v>
      </c>
      <c r="D796">
        <v>0.58754583439999997</v>
      </c>
      <c r="E796">
        <v>0.4109979775</v>
      </c>
      <c r="F796">
        <v>0.74443417249999999</v>
      </c>
    </row>
    <row r="797" spans="1:6" x14ac:dyDescent="0.2">
      <c r="A797" t="s">
        <v>1613</v>
      </c>
      <c r="B797" t="s">
        <v>1587</v>
      </c>
      <c r="C797" t="s">
        <v>653</v>
      </c>
      <c r="D797">
        <v>0.60757001409394795</v>
      </c>
      <c r="E797">
        <v>0.43828786630579902</v>
      </c>
      <c r="F797">
        <v>0.75934048659864295</v>
      </c>
    </row>
    <row r="798" spans="1:6" x14ac:dyDescent="0.2">
      <c r="A798" t="s">
        <v>1614</v>
      </c>
      <c r="B798" t="s">
        <v>1589</v>
      </c>
      <c r="C798" t="s">
        <v>653</v>
      </c>
      <c r="D798">
        <v>0.604535787675755</v>
      </c>
      <c r="E798">
        <v>0.43625818319187298</v>
      </c>
      <c r="F798">
        <v>0.75809155397980998</v>
      </c>
    </row>
    <row r="799" spans="1:6" x14ac:dyDescent="0.2">
      <c r="A799" t="s">
        <v>1615</v>
      </c>
      <c r="B799" t="s">
        <v>1591</v>
      </c>
      <c r="C799" t="s">
        <v>653</v>
      </c>
      <c r="D799">
        <v>0.616569518087146</v>
      </c>
      <c r="E799">
        <v>0.447985945937315</v>
      </c>
      <c r="F799">
        <v>0.76819352683282904</v>
      </c>
    </row>
    <row r="800" spans="1:6" x14ac:dyDescent="0.2">
      <c r="A800" t="s">
        <v>1616</v>
      </c>
      <c r="B800" t="s">
        <v>1593</v>
      </c>
      <c r="C800" t="s">
        <v>653</v>
      </c>
      <c r="D800">
        <v>0.65906096991707197</v>
      </c>
      <c r="E800">
        <v>0.48854045382489703</v>
      </c>
      <c r="F800">
        <v>0.80805342256143697</v>
      </c>
    </row>
    <row r="801" spans="1:6" x14ac:dyDescent="0.2">
      <c r="A801" t="s">
        <v>1617</v>
      </c>
      <c r="B801" t="s">
        <v>703</v>
      </c>
      <c r="D801">
        <v>0</v>
      </c>
      <c r="E801">
        <v>0</v>
      </c>
      <c r="F801">
        <v>0</v>
      </c>
    </row>
    <row r="802" spans="1:6" x14ac:dyDescent="0.2">
      <c r="A802" t="s">
        <v>1618</v>
      </c>
      <c r="B802" t="s">
        <v>1548</v>
      </c>
      <c r="C802" t="s">
        <v>1549</v>
      </c>
      <c r="D802">
        <v>1.9010281399999999E-2</v>
      </c>
      <c r="E802">
        <v>1.0070084999999999E-2</v>
      </c>
      <c r="F802">
        <v>3.2253339999999998E-2</v>
      </c>
    </row>
    <row r="803" spans="1:6" x14ac:dyDescent="0.2">
      <c r="A803" t="s">
        <v>1619</v>
      </c>
      <c r="B803" t="s">
        <v>1548</v>
      </c>
      <c r="C803" t="s">
        <v>1549</v>
      </c>
      <c r="D803">
        <v>1.9010281399999999E-2</v>
      </c>
      <c r="E803">
        <v>1.0070084999999999E-2</v>
      </c>
      <c r="F803">
        <v>3.2253339999999998E-2</v>
      </c>
    </row>
    <row r="804" spans="1:6" x14ac:dyDescent="0.2">
      <c r="A804" t="s">
        <v>1620</v>
      </c>
      <c r="B804" t="s">
        <v>1551</v>
      </c>
      <c r="C804" t="s">
        <v>1552</v>
      </c>
      <c r="D804">
        <v>7.0059834899999895E-2</v>
      </c>
      <c r="E804">
        <v>4.6415625000000002E-2</v>
      </c>
      <c r="F804">
        <v>9.9395024999999998E-2</v>
      </c>
    </row>
    <row r="805" spans="1:6" x14ac:dyDescent="0.2">
      <c r="A805" t="s">
        <v>1621</v>
      </c>
      <c r="B805" t="s">
        <v>1554</v>
      </c>
      <c r="C805" t="s">
        <v>653</v>
      </c>
      <c r="D805">
        <v>0.11550699671223399</v>
      </c>
      <c r="E805">
        <v>7.6176283662702099E-2</v>
      </c>
      <c r="F805">
        <v>0.16382252235911099</v>
      </c>
    </row>
    <row r="806" spans="1:6" x14ac:dyDescent="0.2">
      <c r="A806" t="s">
        <v>1622</v>
      </c>
      <c r="B806" t="s">
        <v>1556</v>
      </c>
      <c r="C806" t="s">
        <v>653</v>
      </c>
      <c r="D806">
        <v>0.10849538907589</v>
      </c>
      <c r="E806">
        <v>7.3519290042004998E-2</v>
      </c>
      <c r="F806">
        <v>0.15402047107273001</v>
      </c>
    </row>
    <row r="807" spans="1:6" x14ac:dyDescent="0.2">
      <c r="A807" t="s">
        <v>1623</v>
      </c>
      <c r="B807" t="s">
        <v>1558</v>
      </c>
      <c r="C807" t="s">
        <v>653</v>
      </c>
      <c r="D807">
        <v>0.13651289717948001</v>
      </c>
      <c r="E807">
        <v>9.1287636148285098E-2</v>
      </c>
      <c r="F807">
        <v>0.19065364996242601</v>
      </c>
    </row>
    <row r="808" spans="1:6" x14ac:dyDescent="0.2">
      <c r="A808" t="s">
        <v>1624</v>
      </c>
      <c r="B808" t="s">
        <v>1560</v>
      </c>
      <c r="C808" t="s">
        <v>653</v>
      </c>
      <c r="D808">
        <v>0.236222262269112</v>
      </c>
      <c r="E808">
        <v>0.165268246791726</v>
      </c>
      <c r="F808">
        <v>0.31938408271870899</v>
      </c>
    </row>
    <row r="809" spans="1:6" x14ac:dyDescent="0.2">
      <c r="A809" t="s">
        <v>1625</v>
      </c>
      <c r="B809" t="s">
        <v>1562</v>
      </c>
      <c r="C809" t="s">
        <v>1563</v>
      </c>
      <c r="D809">
        <v>0.31634430260000002</v>
      </c>
      <c r="E809">
        <v>0.205675055</v>
      </c>
      <c r="F809">
        <v>0.4373492725</v>
      </c>
    </row>
    <row r="810" spans="1:6" x14ac:dyDescent="0.2">
      <c r="A810" t="s">
        <v>1626</v>
      </c>
      <c r="B810" t="s">
        <v>1565</v>
      </c>
      <c r="C810" t="s">
        <v>653</v>
      </c>
      <c r="D810">
        <v>0.34959209832848598</v>
      </c>
      <c r="E810">
        <v>0.240566177916543</v>
      </c>
      <c r="F810">
        <v>0.47013132633835902</v>
      </c>
    </row>
    <row r="811" spans="1:6" x14ac:dyDescent="0.2">
      <c r="A811" t="s">
        <v>1627</v>
      </c>
      <c r="B811" t="s">
        <v>1567</v>
      </c>
      <c r="C811" t="s">
        <v>653</v>
      </c>
      <c r="D811">
        <v>0.34449130984930698</v>
      </c>
      <c r="E811">
        <v>0.23749653804307799</v>
      </c>
      <c r="F811">
        <v>0.46443068990940301</v>
      </c>
    </row>
    <row r="812" spans="1:6" x14ac:dyDescent="0.2">
      <c r="A812" t="s">
        <v>1628</v>
      </c>
      <c r="B812" t="s">
        <v>1569</v>
      </c>
      <c r="C812" t="s">
        <v>653</v>
      </c>
      <c r="D812">
        <v>0.36481637276607598</v>
      </c>
      <c r="E812">
        <v>0.25318012588344602</v>
      </c>
      <c r="F812">
        <v>0.48666830599338701</v>
      </c>
    </row>
    <row r="813" spans="1:6" x14ac:dyDescent="0.2">
      <c r="A813" t="s">
        <v>1629</v>
      </c>
      <c r="B813" t="s">
        <v>1571</v>
      </c>
      <c r="C813" t="s">
        <v>653</v>
      </c>
      <c r="D813">
        <v>0.43701702717526802</v>
      </c>
      <c r="E813">
        <v>0.30824900681738598</v>
      </c>
      <c r="F813">
        <v>0.57526310552081905</v>
      </c>
    </row>
    <row r="814" spans="1:6" x14ac:dyDescent="0.2">
      <c r="A814" t="s">
        <v>1630</v>
      </c>
      <c r="B814" t="s">
        <v>1573</v>
      </c>
      <c r="C814" t="s">
        <v>1574</v>
      </c>
      <c r="D814">
        <v>0.55200139250000002</v>
      </c>
      <c r="E814">
        <v>0.37678311249999902</v>
      </c>
      <c r="F814">
        <v>0.70691958999999904</v>
      </c>
    </row>
    <row r="815" spans="1:6" x14ac:dyDescent="0.2">
      <c r="A815" t="s">
        <v>1631</v>
      </c>
      <c r="B815" t="s">
        <v>1576</v>
      </c>
      <c r="C815" t="s">
        <v>653</v>
      </c>
      <c r="D815">
        <v>0.57375326559862805</v>
      </c>
      <c r="E815">
        <v>0.40780612002858802</v>
      </c>
      <c r="F815">
        <v>0.721438061881714</v>
      </c>
    </row>
    <row r="816" spans="1:6" x14ac:dyDescent="0.2">
      <c r="A816" t="s">
        <v>1632</v>
      </c>
      <c r="B816" t="s">
        <v>1578</v>
      </c>
      <c r="C816" t="s">
        <v>653</v>
      </c>
      <c r="D816">
        <v>0.57045221168801397</v>
      </c>
      <c r="E816">
        <v>0.40349875206823499</v>
      </c>
      <c r="F816">
        <v>0.72040329063216701</v>
      </c>
    </row>
    <row r="817" spans="1:6" x14ac:dyDescent="0.2">
      <c r="A817" t="s">
        <v>1633</v>
      </c>
      <c r="B817" t="s">
        <v>1580</v>
      </c>
      <c r="C817" t="s">
        <v>653</v>
      </c>
      <c r="D817">
        <v>0.58355582358288305</v>
      </c>
      <c r="E817">
        <v>0.417199500716877</v>
      </c>
      <c r="F817">
        <v>0.73236616822837197</v>
      </c>
    </row>
    <row r="818" spans="1:6" x14ac:dyDescent="0.2">
      <c r="A818" t="s">
        <v>1634</v>
      </c>
      <c r="B818" t="s">
        <v>1582</v>
      </c>
      <c r="C818" t="s">
        <v>653</v>
      </c>
      <c r="D818">
        <v>0.62989166068075297</v>
      </c>
      <c r="E818">
        <v>0.45832308006611999</v>
      </c>
      <c r="F818">
        <v>0.77673933035490395</v>
      </c>
    </row>
    <row r="819" spans="1:6" x14ac:dyDescent="0.2">
      <c r="A819" t="s">
        <v>1635</v>
      </c>
      <c r="B819" t="s">
        <v>1584</v>
      </c>
      <c r="C819" t="s">
        <v>1585</v>
      </c>
      <c r="D819">
        <v>0.58754583439999997</v>
      </c>
      <c r="E819">
        <v>0.4109979775</v>
      </c>
      <c r="F819">
        <v>0.74443417249999999</v>
      </c>
    </row>
    <row r="820" spans="1:6" x14ac:dyDescent="0.2">
      <c r="A820" t="s">
        <v>1636</v>
      </c>
      <c r="B820" t="s">
        <v>1587</v>
      </c>
      <c r="C820" t="s">
        <v>653</v>
      </c>
      <c r="D820">
        <v>0.60757001409394795</v>
      </c>
      <c r="E820">
        <v>0.43828786630579902</v>
      </c>
      <c r="F820">
        <v>0.75934048659864295</v>
      </c>
    </row>
    <row r="821" spans="1:6" x14ac:dyDescent="0.2">
      <c r="A821" t="s">
        <v>1637</v>
      </c>
      <c r="B821" t="s">
        <v>1589</v>
      </c>
      <c r="C821" t="s">
        <v>653</v>
      </c>
      <c r="D821">
        <v>0.604535787675755</v>
      </c>
      <c r="E821">
        <v>0.43625818319187298</v>
      </c>
      <c r="F821">
        <v>0.75809155397980998</v>
      </c>
    </row>
    <row r="822" spans="1:6" x14ac:dyDescent="0.2">
      <c r="A822" t="s">
        <v>1638</v>
      </c>
      <c r="B822" t="s">
        <v>1591</v>
      </c>
      <c r="C822" t="s">
        <v>653</v>
      </c>
      <c r="D822">
        <v>0.616569518087146</v>
      </c>
      <c r="E822">
        <v>0.447985945937315</v>
      </c>
      <c r="F822">
        <v>0.76819352683282904</v>
      </c>
    </row>
    <row r="823" spans="1:6" x14ac:dyDescent="0.2">
      <c r="A823" t="s">
        <v>1639</v>
      </c>
      <c r="B823" t="s">
        <v>1593</v>
      </c>
      <c r="C823" t="s">
        <v>653</v>
      </c>
      <c r="D823">
        <v>0.65906096991707197</v>
      </c>
      <c r="E823">
        <v>0.48854045382489703</v>
      </c>
      <c r="F823">
        <v>0.80805342256143697</v>
      </c>
    </row>
    <row r="824" spans="1:6" x14ac:dyDescent="0.2">
      <c r="A824" t="s">
        <v>1640</v>
      </c>
      <c r="B824" t="s">
        <v>703</v>
      </c>
      <c r="D824">
        <v>0</v>
      </c>
      <c r="E824">
        <v>0</v>
      </c>
      <c r="F824">
        <v>0</v>
      </c>
    </row>
    <row r="825" spans="1:6" x14ac:dyDescent="0.2">
      <c r="A825" t="s">
        <v>1641</v>
      </c>
      <c r="B825" t="s">
        <v>1548</v>
      </c>
      <c r="C825" t="s">
        <v>1549</v>
      </c>
      <c r="D825">
        <v>1.9010281399999999E-2</v>
      </c>
      <c r="E825">
        <v>1.0070084999999999E-2</v>
      </c>
      <c r="F825">
        <v>3.2253339999999998E-2</v>
      </c>
    </row>
    <row r="826" spans="1:6" x14ac:dyDescent="0.2">
      <c r="A826" t="s">
        <v>1642</v>
      </c>
      <c r="B826" t="s">
        <v>903</v>
      </c>
      <c r="C826" t="s">
        <v>904</v>
      </c>
      <c r="D826">
        <v>4.14518940999999E-2</v>
      </c>
      <c r="E826">
        <v>2.6103222499999999E-2</v>
      </c>
      <c r="F826">
        <v>6.2339544999999899E-2</v>
      </c>
    </row>
    <row r="827" spans="1:6" x14ac:dyDescent="0.2">
      <c r="A827" t="s">
        <v>1643</v>
      </c>
      <c r="B827" t="s">
        <v>906</v>
      </c>
      <c r="C827" t="s">
        <v>907</v>
      </c>
      <c r="D827">
        <v>7.1653432699999894E-2</v>
      </c>
      <c r="E827">
        <v>4.6600777500000003E-2</v>
      </c>
      <c r="F827">
        <v>0.10308943</v>
      </c>
    </row>
    <row r="828" spans="1:6" x14ac:dyDescent="0.2">
      <c r="A828" t="s">
        <v>1644</v>
      </c>
      <c r="B828" t="s">
        <v>909</v>
      </c>
      <c r="C828" t="s">
        <v>910</v>
      </c>
      <c r="D828">
        <v>0.17906669619999999</v>
      </c>
      <c r="E828">
        <v>0.1215548</v>
      </c>
      <c r="F828">
        <v>0.25072915749999902</v>
      </c>
    </row>
    <row r="829" spans="1:6" x14ac:dyDescent="0.2">
      <c r="A829" t="s">
        <v>1645</v>
      </c>
      <c r="B829" t="s">
        <v>916</v>
      </c>
      <c r="C829" t="s">
        <v>917</v>
      </c>
      <c r="D829">
        <v>4.9011414699999999E-2</v>
      </c>
      <c r="E829">
        <v>3.1121342499999899E-2</v>
      </c>
      <c r="F829">
        <v>7.2092547499999896E-2</v>
      </c>
    </row>
    <row r="830" spans="1:6" x14ac:dyDescent="0.2">
      <c r="A830" t="s">
        <v>1646</v>
      </c>
      <c r="B830" t="s">
        <v>903</v>
      </c>
      <c r="C830" t="s">
        <v>904</v>
      </c>
      <c r="D830">
        <v>4.14518940999999E-2</v>
      </c>
      <c r="E830">
        <v>2.6103222499999999E-2</v>
      </c>
      <c r="F830">
        <v>6.2339544999999899E-2</v>
      </c>
    </row>
    <row r="831" spans="1:6" x14ac:dyDescent="0.2">
      <c r="A831" t="s">
        <v>1647</v>
      </c>
      <c r="B831" t="s">
        <v>906</v>
      </c>
      <c r="C831" t="s">
        <v>907</v>
      </c>
      <c r="D831">
        <v>7.1653432699999894E-2</v>
      </c>
      <c r="E831">
        <v>4.6600777500000003E-2</v>
      </c>
      <c r="F831">
        <v>0.10308943</v>
      </c>
    </row>
    <row r="832" spans="1:6" x14ac:dyDescent="0.2">
      <c r="A832" t="s">
        <v>1648</v>
      </c>
      <c r="B832" t="s">
        <v>909</v>
      </c>
      <c r="C832" t="s">
        <v>910</v>
      </c>
      <c r="D832">
        <v>0.17906669619999999</v>
      </c>
      <c r="E832">
        <v>0.1215548</v>
      </c>
      <c r="F832">
        <v>0.25072915749999902</v>
      </c>
    </row>
    <row r="833" spans="1:6" x14ac:dyDescent="0.2">
      <c r="A833" t="s">
        <v>1649</v>
      </c>
      <c r="B833" t="s">
        <v>916</v>
      </c>
      <c r="C833" t="s">
        <v>917</v>
      </c>
      <c r="D833">
        <v>4.9011414699999999E-2</v>
      </c>
      <c r="E833">
        <v>3.1121342499999899E-2</v>
      </c>
      <c r="F833">
        <v>7.2092547499999896E-2</v>
      </c>
    </row>
    <row r="834" spans="1:6" x14ac:dyDescent="0.2">
      <c r="A834" t="s">
        <v>1650</v>
      </c>
      <c r="B834" t="s">
        <v>916</v>
      </c>
      <c r="C834" t="s">
        <v>917</v>
      </c>
      <c r="D834">
        <v>4.9011414699999999E-2</v>
      </c>
      <c r="E834">
        <v>3.1121342499999899E-2</v>
      </c>
      <c r="F834">
        <v>7.2092547499999896E-2</v>
      </c>
    </row>
    <row r="835" spans="1:6" x14ac:dyDescent="0.2">
      <c r="A835" t="s">
        <v>1651</v>
      </c>
      <c r="B835" t="s">
        <v>703</v>
      </c>
      <c r="D835">
        <v>0</v>
      </c>
      <c r="E835">
        <v>0</v>
      </c>
      <c r="F835">
        <v>0</v>
      </c>
    </row>
    <row r="836" spans="1:6" x14ac:dyDescent="0.2">
      <c r="A836" t="s">
        <v>1652</v>
      </c>
      <c r="B836" t="s">
        <v>903</v>
      </c>
      <c r="C836" t="s">
        <v>904</v>
      </c>
      <c r="D836">
        <v>4.14518940999999E-2</v>
      </c>
      <c r="E836">
        <v>2.6103222499999999E-2</v>
      </c>
      <c r="F836">
        <v>6.2339544999999899E-2</v>
      </c>
    </row>
    <row r="837" spans="1:6" x14ac:dyDescent="0.2">
      <c r="A837" t="s">
        <v>1653</v>
      </c>
      <c r="B837" t="s">
        <v>906</v>
      </c>
      <c r="C837" t="s">
        <v>907</v>
      </c>
      <c r="D837">
        <v>7.1653432699999894E-2</v>
      </c>
      <c r="E837">
        <v>4.6600777500000003E-2</v>
      </c>
      <c r="F837">
        <v>0.10308943</v>
      </c>
    </row>
    <row r="838" spans="1:6" x14ac:dyDescent="0.2">
      <c r="A838" t="s">
        <v>1654</v>
      </c>
      <c r="B838" t="s">
        <v>909</v>
      </c>
      <c r="C838" t="s">
        <v>910</v>
      </c>
      <c r="D838">
        <v>0.17906669619999999</v>
      </c>
      <c r="E838">
        <v>0.1215548</v>
      </c>
      <c r="F838">
        <v>0.25072915749999902</v>
      </c>
    </row>
    <row r="839" spans="1:6" x14ac:dyDescent="0.2">
      <c r="A839" t="s">
        <v>1655</v>
      </c>
      <c r="B839" t="s">
        <v>916</v>
      </c>
      <c r="C839" t="s">
        <v>917</v>
      </c>
      <c r="D839">
        <v>4.9011414699999999E-2</v>
      </c>
      <c r="E839">
        <v>3.1121342499999899E-2</v>
      </c>
      <c r="F839">
        <v>7.2092547499999896E-2</v>
      </c>
    </row>
    <row r="840" spans="1:6" x14ac:dyDescent="0.2">
      <c r="A840" t="s">
        <v>1656</v>
      </c>
      <c r="B840" t="s">
        <v>916</v>
      </c>
      <c r="C840" t="s">
        <v>917</v>
      </c>
      <c r="D840">
        <v>4.9011414699999999E-2</v>
      </c>
      <c r="E840">
        <v>3.1121342499999899E-2</v>
      </c>
      <c r="F840">
        <v>7.2092547499999896E-2</v>
      </c>
    </row>
    <row r="841" spans="1:6" x14ac:dyDescent="0.2">
      <c r="A841" t="s">
        <v>1657</v>
      </c>
      <c r="B841" t="s">
        <v>703</v>
      </c>
      <c r="D841">
        <v>0</v>
      </c>
      <c r="E841">
        <v>0</v>
      </c>
      <c r="F841">
        <v>0</v>
      </c>
    </row>
    <row r="842" spans="1:6" x14ac:dyDescent="0.2">
      <c r="A842" t="s">
        <v>1658</v>
      </c>
      <c r="B842" t="s">
        <v>903</v>
      </c>
      <c r="C842" t="s">
        <v>904</v>
      </c>
      <c r="D842">
        <v>4.14518940999999E-2</v>
      </c>
      <c r="E842">
        <v>2.6103222499999999E-2</v>
      </c>
      <c r="F842">
        <v>6.2339544999999899E-2</v>
      </c>
    </row>
    <row r="843" spans="1:6" x14ac:dyDescent="0.2">
      <c r="A843" t="s">
        <v>1659</v>
      </c>
      <c r="B843" t="s">
        <v>906</v>
      </c>
      <c r="C843" t="s">
        <v>907</v>
      </c>
      <c r="D843">
        <v>7.1653432699999894E-2</v>
      </c>
      <c r="E843">
        <v>4.6600777500000003E-2</v>
      </c>
      <c r="F843">
        <v>0.10308943</v>
      </c>
    </row>
    <row r="844" spans="1:6" x14ac:dyDescent="0.2">
      <c r="A844" t="s">
        <v>1660</v>
      </c>
      <c r="B844" t="s">
        <v>909</v>
      </c>
      <c r="C844" t="s">
        <v>910</v>
      </c>
      <c r="D844">
        <v>0.17906669619999999</v>
      </c>
      <c r="E844">
        <v>0.1215548</v>
      </c>
      <c r="F844">
        <v>0.25072915749999902</v>
      </c>
    </row>
    <row r="845" spans="1:6" x14ac:dyDescent="0.2">
      <c r="A845" t="s">
        <v>1661</v>
      </c>
      <c r="B845" t="s">
        <v>916</v>
      </c>
      <c r="C845" t="s">
        <v>917</v>
      </c>
      <c r="D845">
        <v>4.9011414699999999E-2</v>
      </c>
      <c r="E845">
        <v>3.1121342499999899E-2</v>
      </c>
      <c r="F845">
        <v>7.2092547499999896E-2</v>
      </c>
    </row>
    <row r="846" spans="1:6" x14ac:dyDescent="0.2">
      <c r="A846" t="s">
        <v>1662</v>
      </c>
      <c r="B846" t="s">
        <v>705</v>
      </c>
      <c r="C846" t="s">
        <v>706</v>
      </c>
      <c r="D846">
        <v>5.0594945799999902E-2</v>
      </c>
      <c r="E846">
        <v>3.2378222499999998E-2</v>
      </c>
      <c r="F846">
        <v>7.4050449999999907E-2</v>
      </c>
    </row>
    <row r="847" spans="1:6" x14ac:dyDescent="0.2">
      <c r="A847" t="s">
        <v>1663</v>
      </c>
      <c r="B847" t="s">
        <v>903</v>
      </c>
      <c r="C847" t="s">
        <v>904</v>
      </c>
      <c r="D847">
        <v>4.14518940999999E-2</v>
      </c>
      <c r="E847">
        <v>2.6103222499999999E-2</v>
      </c>
      <c r="F847">
        <v>6.2339544999999899E-2</v>
      </c>
    </row>
    <row r="848" spans="1:6" x14ac:dyDescent="0.2">
      <c r="A848" t="s">
        <v>1664</v>
      </c>
      <c r="B848" t="s">
        <v>906</v>
      </c>
      <c r="C848" t="s">
        <v>907</v>
      </c>
      <c r="D848">
        <v>7.1653432699999894E-2</v>
      </c>
      <c r="E848">
        <v>4.6600777500000003E-2</v>
      </c>
      <c r="F848">
        <v>0.10308943</v>
      </c>
    </row>
    <row r="849" spans="1:6" x14ac:dyDescent="0.2">
      <c r="A849" t="s">
        <v>1665</v>
      </c>
      <c r="B849" t="s">
        <v>909</v>
      </c>
      <c r="C849" t="s">
        <v>910</v>
      </c>
      <c r="D849">
        <v>0.17906669619999999</v>
      </c>
      <c r="E849">
        <v>0.1215548</v>
      </c>
      <c r="F849">
        <v>0.25072915749999902</v>
      </c>
    </row>
    <row r="850" spans="1:6" x14ac:dyDescent="0.2">
      <c r="A850" t="s">
        <v>1666</v>
      </c>
      <c r="B850" t="s">
        <v>916</v>
      </c>
      <c r="C850" t="s">
        <v>917</v>
      </c>
      <c r="D850">
        <v>4.9011414699999999E-2</v>
      </c>
      <c r="E850">
        <v>3.1121342499999899E-2</v>
      </c>
      <c r="F850">
        <v>7.2092547499999896E-2</v>
      </c>
    </row>
    <row r="851" spans="1:6" x14ac:dyDescent="0.2">
      <c r="A851" t="s">
        <v>1667</v>
      </c>
      <c r="B851" t="s">
        <v>903</v>
      </c>
      <c r="C851" t="s">
        <v>904</v>
      </c>
      <c r="D851">
        <v>4.14518940999999E-2</v>
      </c>
      <c r="E851">
        <v>2.6103222499999999E-2</v>
      </c>
      <c r="F851">
        <v>6.2339544999999899E-2</v>
      </c>
    </row>
    <row r="852" spans="1:6" x14ac:dyDescent="0.2">
      <c r="A852" t="s">
        <v>1668</v>
      </c>
      <c r="B852" t="s">
        <v>906</v>
      </c>
      <c r="C852" t="s">
        <v>907</v>
      </c>
      <c r="D852">
        <v>7.1653432699999894E-2</v>
      </c>
      <c r="E852">
        <v>4.6600777500000003E-2</v>
      </c>
      <c r="F852">
        <v>0.10308943</v>
      </c>
    </row>
    <row r="853" spans="1:6" x14ac:dyDescent="0.2">
      <c r="A853" t="s">
        <v>1669</v>
      </c>
      <c r="B853" t="s">
        <v>909</v>
      </c>
      <c r="C853" t="s">
        <v>910</v>
      </c>
      <c r="D853">
        <v>0.17906669619999999</v>
      </c>
      <c r="E853">
        <v>0.1215548</v>
      </c>
      <c r="F853">
        <v>0.25072915749999902</v>
      </c>
    </row>
    <row r="854" spans="1:6" x14ac:dyDescent="0.2">
      <c r="A854" t="s">
        <v>1670</v>
      </c>
      <c r="B854" t="s">
        <v>916</v>
      </c>
      <c r="C854" t="s">
        <v>917</v>
      </c>
      <c r="D854">
        <v>4.9011414699999999E-2</v>
      </c>
      <c r="E854">
        <v>3.1121342499999899E-2</v>
      </c>
      <c r="F854">
        <v>7.2092547499999896E-2</v>
      </c>
    </row>
    <row r="855" spans="1:6" x14ac:dyDescent="0.2">
      <c r="A855" t="s">
        <v>1671</v>
      </c>
      <c r="B855" t="s">
        <v>903</v>
      </c>
      <c r="C855" t="s">
        <v>904</v>
      </c>
      <c r="D855">
        <v>4.14518940999999E-2</v>
      </c>
      <c r="E855">
        <v>2.6103222499999999E-2</v>
      </c>
      <c r="F855">
        <v>6.2339544999999899E-2</v>
      </c>
    </row>
    <row r="856" spans="1:6" x14ac:dyDescent="0.2">
      <c r="A856" t="s">
        <v>1672</v>
      </c>
      <c r="B856" t="s">
        <v>906</v>
      </c>
      <c r="C856" t="s">
        <v>907</v>
      </c>
      <c r="D856">
        <v>7.1653432699999894E-2</v>
      </c>
      <c r="E856">
        <v>4.6600777500000003E-2</v>
      </c>
      <c r="F856">
        <v>0.10308943</v>
      </c>
    </row>
    <row r="857" spans="1:6" x14ac:dyDescent="0.2">
      <c r="A857" t="s">
        <v>1673</v>
      </c>
      <c r="B857" t="s">
        <v>909</v>
      </c>
      <c r="C857" t="s">
        <v>910</v>
      </c>
      <c r="D857">
        <v>0.17906669619999999</v>
      </c>
      <c r="E857">
        <v>0.1215548</v>
      </c>
      <c r="F857">
        <v>0.25072915749999902</v>
      </c>
    </row>
    <row r="858" spans="1:6" x14ac:dyDescent="0.2">
      <c r="A858" t="s">
        <v>1674</v>
      </c>
      <c r="B858" t="s">
        <v>916</v>
      </c>
      <c r="C858" t="s">
        <v>917</v>
      </c>
      <c r="D858">
        <v>4.9011414699999999E-2</v>
      </c>
      <c r="E858">
        <v>3.1121342499999899E-2</v>
      </c>
      <c r="F858">
        <v>7.2092547499999896E-2</v>
      </c>
    </row>
    <row r="859" spans="1:6" x14ac:dyDescent="0.2">
      <c r="A859" t="s">
        <v>1675</v>
      </c>
      <c r="B859" t="s">
        <v>673</v>
      </c>
      <c r="C859" t="s">
        <v>674</v>
      </c>
      <c r="D859">
        <v>1.24408307999999E-2</v>
      </c>
      <c r="E859">
        <v>6.1947475000000002E-3</v>
      </c>
      <c r="F859">
        <v>2.2708942499999999E-2</v>
      </c>
    </row>
    <row r="860" spans="1:6" x14ac:dyDescent="0.2">
      <c r="A860" t="s">
        <v>1676</v>
      </c>
      <c r="B860" t="s">
        <v>903</v>
      </c>
      <c r="C860" t="s">
        <v>904</v>
      </c>
      <c r="D860">
        <v>4.14518940999999E-2</v>
      </c>
      <c r="E860">
        <v>2.6103222499999999E-2</v>
      </c>
      <c r="F860">
        <v>6.2339544999999899E-2</v>
      </c>
    </row>
    <row r="861" spans="1:6" x14ac:dyDescent="0.2">
      <c r="A861" t="s">
        <v>1677</v>
      </c>
      <c r="B861" t="s">
        <v>906</v>
      </c>
      <c r="C861" t="s">
        <v>907</v>
      </c>
      <c r="D861">
        <v>7.1653432699999894E-2</v>
      </c>
      <c r="E861">
        <v>4.6600777500000003E-2</v>
      </c>
      <c r="F861">
        <v>0.10308943</v>
      </c>
    </row>
    <row r="862" spans="1:6" x14ac:dyDescent="0.2">
      <c r="A862" t="s">
        <v>1678</v>
      </c>
      <c r="B862" t="s">
        <v>909</v>
      </c>
      <c r="C862" t="s">
        <v>910</v>
      </c>
      <c r="D862">
        <v>0.17906669619999999</v>
      </c>
      <c r="E862">
        <v>0.1215548</v>
      </c>
      <c r="F862">
        <v>0.25072915749999902</v>
      </c>
    </row>
    <row r="863" spans="1:6" x14ac:dyDescent="0.2">
      <c r="A863" t="s">
        <v>1679</v>
      </c>
      <c r="B863" t="s">
        <v>916</v>
      </c>
      <c r="C863" t="s">
        <v>917</v>
      </c>
      <c r="D863">
        <v>4.9011414699999999E-2</v>
      </c>
      <c r="E863">
        <v>3.1121342499999899E-2</v>
      </c>
      <c r="F863">
        <v>7.2092547499999896E-2</v>
      </c>
    </row>
    <row r="864" spans="1:6" x14ac:dyDescent="0.2">
      <c r="A864" t="s">
        <v>1680</v>
      </c>
      <c r="B864" t="s">
        <v>916</v>
      </c>
      <c r="C864" t="s">
        <v>917</v>
      </c>
      <c r="D864">
        <v>4.9011414699999999E-2</v>
      </c>
      <c r="E864">
        <v>3.1121342499999899E-2</v>
      </c>
      <c r="F864">
        <v>7.2092547499999896E-2</v>
      </c>
    </row>
    <row r="865" spans="1:6" x14ac:dyDescent="0.2">
      <c r="A865" t="s">
        <v>1681</v>
      </c>
      <c r="B865" t="s">
        <v>903</v>
      </c>
      <c r="C865" t="s">
        <v>904</v>
      </c>
      <c r="D865">
        <v>4.14518940999999E-2</v>
      </c>
      <c r="E865">
        <v>2.6103222499999999E-2</v>
      </c>
      <c r="F865">
        <v>6.2339544999999899E-2</v>
      </c>
    </row>
    <row r="866" spans="1:6" x14ac:dyDescent="0.2">
      <c r="A866" t="s">
        <v>1682</v>
      </c>
      <c r="B866" t="s">
        <v>906</v>
      </c>
      <c r="C866" t="s">
        <v>907</v>
      </c>
      <c r="D866">
        <v>7.1653432699999894E-2</v>
      </c>
      <c r="E866">
        <v>4.6600777500000003E-2</v>
      </c>
      <c r="F866">
        <v>0.10308943</v>
      </c>
    </row>
    <row r="867" spans="1:6" x14ac:dyDescent="0.2">
      <c r="A867" t="s">
        <v>1683</v>
      </c>
      <c r="B867" t="s">
        <v>909</v>
      </c>
      <c r="C867" t="s">
        <v>910</v>
      </c>
      <c r="D867">
        <v>0.17906669619999999</v>
      </c>
      <c r="E867">
        <v>0.1215548</v>
      </c>
      <c r="F867">
        <v>0.25072915749999902</v>
      </c>
    </row>
    <row r="868" spans="1:6" x14ac:dyDescent="0.2">
      <c r="A868" t="s">
        <v>1684</v>
      </c>
      <c r="B868" t="s">
        <v>900</v>
      </c>
      <c r="C868" t="s">
        <v>901</v>
      </c>
      <c r="D868">
        <v>0.224156355</v>
      </c>
      <c r="E868">
        <v>0.15097352250000001</v>
      </c>
      <c r="F868">
        <v>0.31209085249999902</v>
      </c>
    </row>
    <row r="869" spans="1:6" x14ac:dyDescent="0.2">
      <c r="A869" t="s">
        <v>1685</v>
      </c>
      <c r="B869" t="s">
        <v>703</v>
      </c>
      <c r="D869">
        <v>0</v>
      </c>
      <c r="E869">
        <v>0</v>
      </c>
      <c r="F869">
        <v>0</v>
      </c>
    </row>
    <row r="870" spans="1:6" x14ac:dyDescent="0.2">
      <c r="A870" t="s">
        <v>1686</v>
      </c>
      <c r="B870" t="s">
        <v>1687</v>
      </c>
      <c r="C870" t="s">
        <v>1688</v>
      </c>
      <c r="D870">
        <v>1.41852508E-2</v>
      </c>
      <c r="E870">
        <v>6.78562E-3</v>
      </c>
      <c r="F870">
        <v>2.5297475E-2</v>
      </c>
    </row>
    <row r="871" spans="1:6" x14ac:dyDescent="0.2">
      <c r="A871" t="s">
        <v>1689</v>
      </c>
      <c r="B871" t="s">
        <v>703</v>
      </c>
      <c r="D871">
        <v>0</v>
      </c>
      <c r="E871">
        <v>0</v>
      </c>
      <c r="F871">
        <v>0</v>
      </c>
    </row>
    <row r="872" spans="1:6" x14ac:dyDescent="0.2">
      <c r="A872" t="s">
        <v>1690</v>
      </c>
      <c r="B872" t="s">
        <v>705</v>
      </c>
      <c r="C872" t="s">
        <v>706</v>
      </c>
      <c r="D872">
        <v>5.0594945799999902E-2</v>
      </c>
      <c r="E872">
        <v>3.2378222499999998E-2</v>
      </c>
      <c r="F872">
        <v>7.4050449999999907E-2</v>
      </c>
    </row>
    <row r="873" spans="1:6" x14ac:dyDescent="0.2">
      <c r="A873" t="s">
        <v>1691</v>
      </c>
      <c r="B873" t="s">
        <v>781</v>
      </c>
      <c r="C873" t="s">
        <v>782</v>
      </c>
      <c r="D873">
        <v>0.13341151879999999</v>
      </c>
      <c r="E873">
        <v>8.8459514999999905E-2</v>
      </c>
      <c r="F873">
        <v>0.18950166500000001</v>
      </c>
    </row>
    <row r="874" spans="1:6" x14ac:dyDescent="0.2">
      <c r="A874" t="s">
        <v>1692</v>
      </c>
      <c r="B874" t="s">
        <v>903</v>
      </c>
      <c r="C874" t="s">
        <v>904</v>
      </c>
      <c r="D874">
        <v>4.14518940999999E-2</v>
      </c>
      <c r="E874">
        <v>2.6103222499999999E-2</v>
      </c>
      <c r="F874">
        <v>6.2339544999999899E-2</v>
      </c>
    </row>
    <row r="875" spans="1:6" x14ac:dyDescent="0.2">
      <c r="A875" t="s">
        <v>1693</v>
      </c>
      <c r="B875" t="s">
        <v>906</v>
      </c>
      <c r="C875" t="s">
        <v>907</v>
      </c>
      <c r="D875">
        <v>7.1653432699999894E-2</v>
      </c>
      <c r="E875">
        <v>4.6600777500000003E-2</v>
      </c>
      <c r="F875">
        <v>0.10308943</v>
      </c>
    </row>
    <row r="876" spans="1:6" x14ac:dyDescent="0.2">
      <c r="A876" t="s">
        <v>1694</v>
      </c>
      <c r="B876" t="s">
        <v>909</v>
      </c>
      <c r="C876" t="s">
        <v>910</v>
      </c>
      <c r="D876">
        <v>0.17906669619999999</v>
      </c>
      <c r="E876">
        <v>0.1215548</v>
      </c>
      <c r="F876">
        <v>0.25072915749999902</v>
      </c>
    </row>
    <row r="877" spans="1:6" x14ac:dyDescent="0.2">
      <c r="A877" t="s">
        <v>1695</v>
      </c>
      <c r="B877" t="s">
        <v>916</v>
      </c>
      <c r="C877" t="s">
        <v>917</v>
      </c>
      <c r="D877">
        <v>4.9011414699999999E-2</v>
      </c>
      <c r="E877">
        <v>3.1121342499999899E-2</v>
      </c>
      <c r="F877">
        <v>7.2092547499999896E-2</v>
      </c>
    </row>
    <row r="878" spans="1:6" x14ac:dyDescent="0.2">
      <c r="A878" t="s">
        <v>1696</v>
      </c>
      <c r="B878" t="s">
        <v>903</v>
      </c>
      <c r="C878" t="s">
        <v>904</v>
      </c>
      <c r="D878">
        <v>4.14518940999999E-2</v>
      </c>
      <c r="E878">
        <v>2.6103222499999999E-2</v>
      </c>
      <c r="F878">
        <v>6.2339544999999899E-2</v>
      </c>
    </row>
    <row r="879" spans="1:6" x14ac:dyDescent="0.2">
      <c r="A879" t="s">
        <v>1697</v>
      </c>
      <c r="B879" t="s">
        <v>906</v>
      </c>
      <c r="C879" t="s">
        <v>907</v>
      </c>
      <c r="D879">
        <v>7.1653432699999894E-2</v>
      </c>
      <c r="E879">
        <v>4.6600777500000003E-2</v>
      </c>
      <c r="F879">
        <v>0.10308943</v>
      </c>
    </row>
    <row r="880" spans="1:6" x14ac:dyDescent="0.2">
      <c r="A880" t="s">
        <v>1698</v>
      </c>
      <c r="B880" t="s">
        <v>909</v>
      </c>
      <c r="C880" t="s">
        <v>910</v>
      </c>
      <c r="D880">
        <v>0.17906669619999999</v>
      </c>
      <c r="E880">
        <v>0.1215548</v>
      </c>
      <c r="F880">
        <v>0.25072915749999902</v>
      </c>
    </row>
    <row r="881" spans="1:6" x14ac:dyDescent="0.2">
      <c r="A881" t="s">
        <v>1699</v>
      </c>
      <c r="B881" t="s">
        <v>916</v>
      </c>
      <c r="C881" t="s">
        <v>917</v>
      </c>
      <c r="D881">
        <v>4.9011414699999999E-2</v>
      </c>
      <c r="E881">
        <v>3.1121342499999899E-2</v>
      </c>
      <c r="F881">
        <v>7.2092547499999896E-2</v>
      </c>
    </row>
    <row r="882" spans="1:6" x14ac:dyDescent="0.2">
      <c r="A882" t="s">
        <v>1700</v>
      </c>
      <c r="B882" t="s">
        <v>903</v>
      </c>
      <c r="C882" t="s">
        <v>904</v>
      </c>
      <c r="D882">
        <v>4.14518940999999E-2</v>
      </c>
      <c r="E882">
        <v>2.6103222499999999E-2</v>
      </c>
      <c r="F882">
        <v>6.2339544999999899E-2</v>
      </c>
    </row>
    <row r="883" spans="1:6" x14ac:dyDescent="0.2">
      <c r="A883" t="s">
        <v>1701</v>
      </c>
      <c r="B883" t="s">
        <v>906</v>
      </c>
      <c r="C883" t="s">
        <v>907</v>
      </c>
      <c r="D883">
        <v>7.1653432699999894E-2</v>
      </c>
      <c r="E883">
        <v>4.6600777500000003E-2</v>
      </c>
      <c r="F883">
        <v>0.10308943</v>
      </c>
    </row>
    <row r="884" spans="1:6" x14ac:dyDescent="0.2">
      <c r="A884" t="s">
        <v>1702</v>
      </c>
      <c r="B884" t="s">
        <v>909</v>
      </c>
      <c r="C884" t="s">
        <v>910</v>
      </c>
      <c r="D884">
        <v>0.17906669619999999</v>
      </c>
      <c r="E884">
        <v>0.1215548</v>
      </c>
      <c r="F884">
        <v>0.25072915749999902</v>
      </c>
    </row>
    <row r="885" spans="1:6" x14ac:dyDescent="0.2">
      <c r="A885" t="s">
        <v>1703</v>
      </c>
      <c r="B885" t="s">
        <v>703</v>
      </c>
      <c r="D885">
        <v>0</v>
      </c>
      <c r="E885">
        <v>0</v>
      </c>
      <c r="F885">
        <v>0</v>
      </c>
    </row>
    <row r="886" spans="1:6" x14ac:dyDescent="0.2">
      <c r="A886" t="s">
        <v>1704</v>
      </c>
      <c r="B886" t="s">
        <v>1705</v>
      </c>
      <c r="D886">
        <v>0.43222367888125401</v>
      </c>
      <c r="E886">
        <v>0.29997026158065299</v>
      </c>
      <c r="F886">
        <v>0.57667386132521103</v>
      </c>
    </row>
    <row r="887" spans="1:6" x14ac:dyDescent="0.2">
      <c r="A887" t="s">
        <v>1706</v>
      </c>
      <c r="B887" t="s">
        <v>1707</v>
      </c>
      <c r="D887">
        <v>0.44972608294183603</v>
      </c>
      <c r="E887">
        <v>0.31461469938311598</v>
      </c>
      <c r="F887">
        <v>0.59676653831501902</v>
      </c>
    </row>
    <row r="888" spans="1:6" x14ac:dyDescent="0.2">
      <c r="A888" t="s">
        <v>1708</v>
      </c>
      <c r="B888" t="s">
        <v>1709</v>
      </c>
      <c r="D888">
        <v>0.51180826491401898</v>
      </c>
      <c r="E888">
        <v>0.365297936733124</v>
      </c>
      <c r="F888">
        <v>0.665920441511476</v>
      </c>
    </row>
    <row r="889" spans="1:6" x14ac:dyDescent="0.2">
      <c r="A889" t="s">
        <v>1710</v>
      </c>
      <c r="B889" t="s">
        <v>1711</v>
      </c>
      <c r="C889" t="s">
        <v>653</v>
      </c>
      <c r="D889">
        <v>0.43662301570499001</v>
      </c>
      <c r="E889">
        <v>0.30073942915958801</v>
      </c>
      <c r="F889">
        <v>0.58119130857064205</v>
      </c>
    </row>
    <row r="890" spans="1:6" x14ac:dyDescent="0.2">
      <c r="A890" t="s">
        <v>1712</v>
      </c>
      <c r="B890" t="s">
        <v>945</v>
      </c>
      <c r="C890" t="s">
        <v>946</v>
      </c>
      <c r="D890">
        <v>1.9316720799999899E-2</v>
      </c>
      <c r="E890">
        <v>1.06353925E-2</v>
      </c>
      <c r="F890">
        <v>3.2722879999999899E-2</v>
      </c>
    </row>
    <row r="891" spans="1:6" x14ac:dyDescent="0.2">
      <c r="A891" t="s">
        <v>1713</v>
      </c>
      <c r="B891" t="s">
        <v>1010</v>
      </c>
      <c r="C891" t="s">
        <v>1011</v>
      </c>
      <c r="D891">
        <v>0.22517170789999999</v>
      </c>
      <c r="E891">
        <v>0.15291988000000001</v>
      </c>
      <c r="F891">
        <v>0.30972899249999902</v>
      </c>
    </row>
    <row r="892" spans="1:6" x14ac:dyDescent="0.2">
      <c r="A892" t="s">
        <v>1714</v>
      </c>
      <c r="B892" t="s">
        <v>1013</v>
      </c>
      <c r="C892" t="s">
        <v>1014</v>
      </c>
      <c r="D892">
        <v>0.40785797679999902</v>
      </c>
      <c r="E892">
        <v>0.273411367499999</v>
      </c>
      <c r="F892">
        <v>0.55565908499999905</v>
      </c>
    </row>
    <row r="893" spans="1:6" x14ac:dyDescent="0.2">
      <c r="A893" t="s">
        <v>1715</v>
      </c>
      <c r="B893" t="s">
        <v>703</v>
      </c>
      <c r="D893">
        <v>0</v>
      </c>
      <c r="E893">
        <v>0</v>
      </c>
      <c r="F893">
        <v>0</v>
      </c>
    </row>
    <row r="894" spans="1:6" x14ac:dyDescent="0.2">
      <c r="A894" t="s">
        <v>1716</v>
      </c>
      <c r="B894" t="s">
        <v>1705</v>
      </c>
      <c r="D894">
        <v>0.43222367888125401</v>
      </c>
      <c r="E894">
        <v>0.29997026158065299</v>
      </c>
      <c r="F894">
        <v>0.57667386132521103</v>
      </c>
    </row>
    <row r="895" spans="1:6" x14ac:dyDescent="0.2">
      <c r="A895" t="s">
        <v>1717</v>
      </c>
      <c r="B895" t="s">
        <v>1707</v>
      </c>
      <c r="D895">
        <v>0.44972608294183603</v>
      </c>
      <c r="E895">
        <v>0.31461469938311598</v>
      </c>
      <c r="F895">
        <v>0.59676653831501902</v>
      </c>
    </row>
    <row r="896" spans="1:6" x14ac:dyDescent="0.2">
      <c r="A896" t="s">
        <v>1718</v>
      </c>
      <c r="B896" t="s">
        <v>1709</v>
      </c>
      <c r="D896">
        <v>0.51180826491401898</v>
      </c>
      <c r="E896">
        <v>0.365297936733124</v>
      </c>
      <c r="F896">
        <v>0.665920441511476</v>
      </c>
    </row>
    <row r="897" spans="1:6" x14ac:dyDescent="0.2">
      <c r="A897" t="s">
        <v>1719</v>
      </c>
      <c r="B897" t="s">
        <v>1711</v>
      </c>
      <c r="C897" t="s">
        <v>653</v>
      </c>
      <c r="D897">
        <v>0.43662301570499001</v>
      </c>
      <c r="E897">
        <v>0.30073942915958801</v>
      </c>
      <c r="F897">
        <v>0.58119130857064205</v>
      </c>
    </row>
    <row r="898" spans="1:6" x14ac:dyDescent="0.2">
      <c r="A898" t="s">
        <v>1720</v>
      </c>
      <c r="B898" t="s">
        <v>945</v>
      </c>
      <c r="C898" t="s">
        <v>946</v>
      </c>
      <c r="D898">
        <v>1.9316720799999899E-2</v>
      </c>
      <c r="E898">
        <v>1.06353925E-2</v>
      </c>
      <c r="F898">
        <v>3.2722879999999899E-2</v>
      </c>
    </row>
    <row r="899" spans="1:6" x14ac:dyDescent="0.2">
      <c r="A899" t="s">
        <v>1721</v>
      </c>
      <c r="B899" t="s">
        <v>1010</v>
      </c>
      <c r="C899" t="s">
        <v>1011</v>
      </c>
      <c r="D899">
        <v>0.22517170789999999</v>
      </c>
      <c r="E899">
        <v>0.15291988000000001</v>
      </c>
      <c r="F899">
        <v>0.30972899249999902</v>
      </c>
    </row>
    <row r="900" spans="1:6" x14ac:dyDescent="0.2">
      <c r="A900" t="s">
        <v>1722</v>
      </c>
      <c r="B900" t="s">
        <v>1013</v>
      </c>
      <c r="C900" t="s">
        <v>1014</v>
      </c>
      <c r="D900">
        <v>0.40785797679999902</v>
      </c>
      <c r="E900">
        <v>0.273411367499999</v>
      </c>
      <c r="F900">
        <v>0.55565908499999905</v>
      </c>
    </row>
    <row r="901" spans="1:6" x14ac:dyDescent="0.2">
      <c r="A901" t="s">
        <v>1723</v>
      </c>
      <c r="B901" t="s">
        <v>703</v>
      </c>
      <c r="D901">
        <v>0</v>
      </c>
      <c r="E901">
        <v>0</v>
      </c>
      <c r="F901">
        <v>0</v>
      </c>
    </row>
    <row r="902" spans="1:6" x14ac:dyDescent="0.2">
      <c r="A902" t="s">
        <v>1724</v>
      </c>
      <c r="B902" t="s">
        <v>945</v>
      </c>
      <c r="C902" t="s">
        <v>946</v>
      </c>
      <c r="D902">
        <v>1.9316720799999899E-2</v>
      </c>
      <c r="E902">
        <v>1.06353925E-2</v>
      </c>
      <c r="F902">
        <v>3.2722879999999899E-2</v>
      </c>
    </row>
    <row r="903" spans="1:6" x14ac:dyDescent="0.2">
      <c r="A903" t="s">
        <v>1725</v>
      </c>
      <c r="B903" t="s">
        <v>1010</v>
      </c>
      <c r="C903" t="s">
        <v>1011</v>
      </c>
      <c r="D903">
        <v>0.22517170789999999</v>
      </c>
      <c r="E903">
        <v>0.15291988000000001</v>
      </c>
      <c r="F903">
        <v>0.30972899249999902</v>
      </c>
    </row>
    <row r="904" spans="1:6" x14ac:dyDescent="0.2">
      <c r="A904" t="s">
        <v>1726</v>
      </c>
      <c r="B904" t="s">
        <v>1013</v>
      </c>
      <c r="C904" t="s">
        <v>1014</v>
      </c>
      <c r="D904">
        <v>0.40785797679999902</v>
      </c>
      <c r="E904">
        <v>0.273411367499999</v>
      </c>
      <c r="F904">
        <v>0.55565908499999905</v>
      </c>
    </row>
    <row r="905" spans="1:6" x14ac:dyDescent="0.2">
      <c r="A905" t="s">
        <v>1727</v>
      </c>
      <c r="B905" t="s">
        <v>703</v>
      </c>
      <c r="D905">
        <v>0</v>
      </c>
      <c r="E905">
        <v>0</v>
      </c>
      <c r="F905">
        <v>0</v>
      </c>
    </row>
    <row r="906" spans="1:6" x14ac:dyDescent="0.2">
      <c r="A906" t="s">
        <v>1728</v>
      </c>
      <c r="B906" t="s">
        <v>1705</v>
      </c>
      <c r="D906">
        <v>0.43222367888125401</v>
      </c>
      <c r="E906">
        <v>0.29997026158065299</v>
      </c>
      <c r="F906">
        <v>0.57667386132521103</v>
      </c>
    </row>
    <row r="907" spans="1:6" x14ac:dyDescent="0.2">
      <c r="A907" t="s">
        <v>1729</v>
      </c>
      <c r="B907" t="s">
        <v>1707</v>
      </c>
      <c r="D907">
        <v>0.44972608294183603</v>
      </c>
      <c r="E907">
        <v>0.31461469938311598</v>
      </c>
      <c r="F907">
        <v>0.59676653831501902</v>
      </c>
    </row>
    <row r="908" spans="1:6" x14ac:dyDescent="0.2">
      <c r="A908" t="s">
        <v>1730</v>
      </c>
      <c r="B908" t="s">
        <v>1709</v>
      </c>
      <c r="D908">
        <v>0.51180826491401898</v>
      </c>
      <c r="E908">
        <v>0.365297936733124</v>
      </c>
      <c r="F908">
        <v>0.665920441511476</v>
      </c>
    </row>
    <row r="909" spans="1:6" x14ac:dyDescent="0.2">
      <c r="A909" t="s">
        <v>1731</v>
      </c>
      <c r="B909" t="s">
        <v>1711</v>
      </c>
      <c r="C909" t="s">
        <v>653</v>
      </c>
      <c r="D909">
        <v>0.43662301570499001</v>
      </c>
      <c r="E909">
        <v>0.30073942915958801</v>
      </c>
      <c r="F909">
        <v>0.58119130857064205</v>
      </c>
    </row>
    <row r="910" spans="1:6" x14ac:dyDescent="0.2">
      <c r="A910" t="s">
        <v>1732</v>
      </c>
      <c r="B910" t="s">
        <v>945</v>
      </c>
      <c r="C910" t="s">
        <v>946</v>
      </c>
      <c r="D910">
        <v>1.9316720799999899E-2</v>
      </c>
      <c r="E910">
        <v>1.06353925E-2</v>
      </c>
      <c r="F910">
        <v>3.2722879999999899E-2</v>
      </c>
    </row>
    <row r="911" spans="1:6" x14ac:dyDescent="0.2">
      <c r="A911" t="s">
        <v>1733</v>
      </c>
      <c r="B911" t="s">
        <v>1010</v>
      </c>
      <c r="C911" t="s">
        <v>1011</v>
      </c>
      <c r="D911">
        <v>0.22517170789999999</v>
      </c>
      <c r="E911">
        <v>0.15291988000000001</v>
      </c>
      <c r="F911">
        <v>0.30972899249999902</v>
      </c>
    </row>
    <row r="912" spans="1:6" x14ac:dyDescent="0.2">
      <c r="A912" t="s">
        <v>1734</v>
      </c>
      <c r="B912" t="s">
        <v>1013</v>
      </c>
      <c r="C912" t="s">
        <v>1014</v>
      </c>
      <c r="D912">
        <v>0.40785797679999902</v>
      </c>
      <c r="E912">
        <v>0.273411367499999</v>
      </c>
      <c r="F912">
        <v>0.55565908499999905</v>
      </c>
    </row>
    <row r="913" spans="1:6" x14ac:dyDescent="0.2">
      <c r="A913" t="s">
        <v>1735</v>
      </c>
      <c r="B913" t="s">
        <v>703</v>
      </c>
      <c r="D913">
        <v>0</v>
      </c>
      <c r="E913">
        <v>0</v>
      </c>
      <c r="F913">
        <v>0</v>
      </c>
    </row>
    <row r="914" spans="1:6" x14ac:dyDescent="0.2">
      <c r="A914" t="s">
        <v>1736</v>
      </c>
      <c r="B914" t="s">
        <v>1705</v>
      </c>
      <c r="D914">
        <v>0.43222367888125401</v>
      </c>
      <c r="E914">
        <v>0.29997026158065299</v>
      </c>
      <c r="F914">
        <v>0.57667386132521103</v>
      </c>
    </row>
    <row r="915" spans="1:6" x14ac:dyDescent="0.2">
      <c r="A915" t="s">
        <v>1737</v>
      </c>
      <c r="B915" t="s">
        <v>1707</v>
      </c>
      <c r="D915">
        <v>0.44972608294183603</v>
      </c>
      <c r="E915">
        <v>0.31461469938311598</v>
      </c>
      <c r="F915">
        <v>0.59676653831501902</v>
      </c>
    </row>
    <row r="916" spans="1:6" x14ac:dyDescent="0.2">
      <c r="A916" t="s">
        <v>1738</v>
      </c>
      <c r="B916" t="s">
        <v>1709</v>
      </c>
      <c r="D916">
        <v>0.51180826491401898</v>
      </c>
      <c r="E916">
        <v>0.365297936733124</v>
      </c>
      <c r="F916">
        <v>0.665920441511476</v>
      </c>
    </row>
    <row r="917" spans="1:6" x14ac:dyDescent="0.2">
      <c r="A917" t="s">
        <v>1739</v>
      </c>
      <c r="B917" t="s">
        <v>1711</v>
      </c>
      <c r="C917" t="s">
        <v>653</v>
      </c>
      <c r="D917">
        <v>0.43662301570499001</v>
      </c>
      <c r="E917">
        <v>0.30073942915958801</v>
      </c>
      <c r="F917">
        <v>0.58119130857064205</v>
      </c>
    </row>
    <row r="918" spans="1:6" x14ac:dyDescent="0.2">
      <c r="A918" t="s">
        <v>1740</v>
      </c>
      <c r="B918" t="s">
        <v>1705</v>
      </c>
      <c r="D918">
        <v>0.43222367888125401</v>
      </c>
      <c r="E918">
        <v>0.29997026158065299</v>
      </c>
      <c r="F918">
        <v>0.57667386132521103</v>
      </c>
    </row>
    <row r="919" spans="1:6" x14ac:dyDescent="0.2">
      <c r="A919" t="s">
        <v>1741</v>
      </c>
      <c r="B919" t="s">
        <v>1707</v>
      </c>
      <c r="D919">
        <v>0.44972608294183603</v>
      </c>
      <c r="E919">
        <v>0.31461469938311598</v>
      </c>
      <c r="F919">
        <v>0.59676653831501902</v>
      </c>
    </row>
    <row r="920" spans="1:6" x14ac:dyDescent="0.2">
      <c r="A920" t="s">
        <v>1742</v>
      </c>
      <c r="B920" t="s">
        <v>1709</v>
      </c>
      <c r="D920">
        <v>0.51180826491401898</v>
      </c>
      <c r="E920">
        <v>0.365297936733124</v>
      </c>
      <c r="F920">
        <v>0.665920441511476</v>
      </c>
    </row>
    <row r="921" spans="1:6" x14ac:dyDescent="0.2">
      <c r="A921" t="s">
        <v>1743</v>
      </c>
      <c r="B921" t="s">
        <v>1711</v>
      </c>
      <c r="C921" t="s">
        <v>653</v>
      </c>
      <c r="D921">
        <v>0.43662301570499001</v>
      </c>
      <c r="E921">
        <v>0.30073942915958801</v>
      </c>
      <c r="F921">
        <v>0.58119130857064205</v>
      </c>
    </row>
    <row r="922" spans="1:6" x14ac:dyDescent="0.2">
      <c r="A922" t="s">
        <v>1744</v>
      </c>
      <c r="B922" t="s">
        <v>945</v>
      </c>
      <c r="C922" t="s">
        <v>946</v>
      </c>
      <c r="D922">
        <v>1.9316720799999899E-2</v>
      </c>
      <c r="E922">
        <v>1.06353925E-2</v>
      </c>
      <c r="F922">
        <v>3.2722879999999899E-2</v>
      </c>
    </row>
    <row r="923" spans="1:6" x14ac:dyDescent="0.2">
      <c r="A923" t="s">
        <v>1745</v>
      </c>
      <c r="B923" t="s">
        <v>1010</v>
      </c>
      <c r="C923" t="s">
        <v>1011</v>
      </c>
      <c r="D923">
        <v>0.22517170789999999</v>
      </c>
      <c r="E923">
        <v>0.15291988000000001</v>
      </c>
      <c r="F923">
        <v>0.30972899249999902</v>
      </c>
    </row>
    <row r="924" spans="1:6" x14ac:dyDescent="0.2">
      <c r="A924" t="s">
        <v>1746</v>
      </c>
      <c r="B924" t="s">
        <v>1013</v>
      </c>
      <c r="C924" t="s">
        <v>1014</v>
      </c>
      <c r="D924">
        <v>0.40785797679999902</v>
      </c>
      <c r="E924">
        <v>0.273411367499999</v>
      </c>
      <c r="F924">
        <v>0.55565908499999905</v>
      </c>
    </row>
    <row r="925" spans="1:6" x14ac:dyDescent="0.2">
      <c r="A925" t="s">
        <v>1747</v>
      </c>
      <c r="B925" t="s">
        <v>703</v>
      </c>
      <c r="D925">
        <v>0</v>
      </c>
      <c r="E925">
        <v>0</v>
      </c>
      <c r="F925">
        <v>0</v>
      </c>
    </row>
    <row r="926" spans="1:6" x14ac:dyDescent="0.2">
      <c r="A926" t="s">
        <v>1748</v>
      </c>
      <c r="B926" t="s">
        <v>703</v>
      </c>
      <c r="D926">
        <v>0</v>
      </c>
      <c r="E926">
        <v>0</v>
      </c>
      <c r="F926">
        <v>0</v>
      </c>
    </row>
    <row r="927" spans="1:6" x14ac:dyDescent="0.2">
      <c r="A927" t="s">
        <v>1749</v>
      </c>
      <c r="B927" t="s">
        <v>1750</v>
      </c>
      <c r="C927" t="s">
        <v>1751</v>
      </c>
      <c r="D927">
        <v>1.45813465E-2</v>
      </c>
      <c r="E927">
        <v>7.3775749999999999E-3</v>
      </c>
      <c r="F927">
        <v>2.6265392499999901E-2</v>
      </c>
    </row>
    <row r="928" spans="1:6" x14ac:dyDescent="0.2">
      <c r="A928" t="s">
        <v>1752</v>
      </c>
      <c r="B928" t="s">
        <v>1753</v>
      </c>
      <c r="C928" t="s">
        <v>1754</v>
      </c>
      <c r="D928">
        <v>3.5505078099999997E-2</v>
      </c>
      <c r="E928">
        <v>2.1998802500000001E-2</v>
      </c>
      <c r="F928">
        <v>5.5251004999999999E-2</v>
      </c>
    </row>
    <row r="929" spans="1:6" x14ac:dyDescent="0.2">
      <c r="A929" t="s">
        <v>1755</v>
      </c>
      <c r="B929" t="s">
        <v>1756</v>
      </c>
      <c r="C929" t="s">
        <v>1757</v>
      </c>
      <c r="D929">
        <v>0.13269225839999901</v>
      </c>
      <c r="E929">
        <v>8.5640919999999995E-2</v>
      </c>
      <c r="F929">
        <v>0.192439812499999</v>
      </c>
    </row>
    <row r="930" spans="1:6" x14ac:dyDescent="0.2">
      <c r="A930" t="s">
        <v>1758</v>
      </c>
      <c r="B930" t="s">
        <v>1705</v>
      </c>
      <c r="D930">
        <v>0.43222367888125401</v>
      </c>
      <c r="E930">
        <v>0.29997026158065299</v>
      </c>
      <c r="F930">
        <v>0.57667386132521103</v>
      </c>
    </row>
    <row r="931" spans="1:6" x14ac:dyDescent="0.2">
      <c r="A931" t="s">
        <v>1759</v>
      </c>
      <c r="B931" t="s">
        <v>1707</v>
      </c>
      <c r="D931">
        <v>0.44972608294183603</v>
      </c>
      <c r="E931">
        <v>0.31461469938311598</v>
      </c>
      <c r="F931">
        <v>0.59676653831501902</v>
      </c>
    </row>
    <row r="932" spans="1:6" x14ac:dyDescent="0.2">
      <c r="A932" t="s">
        <v>1760</v>
      </c>
      <c r="B932" t="s">
        <v>1709</v>
      </c>
      <c r="D932">
        <v>0.51180826491401898</v>
      </c>
      <c r="E932">
        <v>0.365297936733124</v>
      </c>
      <c r="F932">
        <v>0.665920441511476</v>
      </c>
    </row>
    <row r="933" spans="1:6" x14ac:dyDescent="0.2">
      <c r="A933" t="s">
        <v>1761</v>
      </c>
      <c r="B933" t="s">
        <v>1711</v>
      </c>
      <c r="C933" t="s">
        <v>653</v>
      </c>
      <c r="D933">
        <v>0.43662301570499001</v>
      </c>
      <c r="E933">
        <v>0.30073942915958801</v>
      </c>
      <c r="F933">
        <v>0.58119130857064205</v>
      </c>
    </row>
    <row r="934" spans="1:6" x14ac:dyDescent="0.2">
      <c r="A934" t="s">
        <v>1762</v>
      </c>
      <c r="B934" t="s">
        <v>945</v>
      </c>
      <c r="C934" t="s">
        <v>946</v>
      </c>
      <c r="D934">
        <v>1.9316720799999899E-2</v>
      </c>
      <c r="E934">
        <v>1.06353925E-2</v>
      </c>
      <c r="F934">
        <v>3.2722879999999899E-2</v>
      </c>
    </row>
    <row r="935" spans="1:6" x14ac:dyDescent="0.2">
      <c r="A935" t="s">
        <v>1763</v>
      </c>
      <c r="B935" t="s">
        <v>1010</v>
      </c>
      <c r="C935" t="s">
        <v>1011</v>
      </c>
      <c r="D935">
        <v>0.22517170789999999</v>
      </c>
      <c r="E935">
        <v>0.15291988000000001</v>
      </c>
      <c r="F935">
        <v>0.30972899249999902</v>
      </c>
    </row>
    <row r="936" spans="1:6" x14ac:dyDescent="0.2">
      <c r="A936" t="s">
        <v>1764</v>
      </c>
      <c r="B936" t="s">
        <v>1013</v>
      </c>
      <c r="C936" t="s">
        <v>1014</v>
      </c>
      <c r="D936">
        <v>0.40785797679999902</v>
      </c>
      <c r="E936">
        <v>0.273411367499999</v>
      </c>
      <c r="F936">
        <v>0.55565908499999905</v>
      </c>
    </row>
    <row r="937" spans="1:6" x14ac:dyDescent="0.2">
      <c r="A937" t="s">
        <v>1765</v>
      </c>
      <c r="B937" t="s">
        <v>703</v>
      </c>
      <c r="D937">
        <v>0</v>
      </c>
      <c r="E937">
        <v>0</v>
      </c>
      <c r="F937">
        <v>0</v>
      </c>
    </row>
    <row r="938" spans="1:6" x14ac:dyDescent="0.2">
      <c r="A938" t="s">
        <v>1766</v>
      </c>
      <c r="B938" t="s">
        <v>769</v>
      </c>
    </row>
    <row r="939" spans="1:6" x14ac:dyDescent="0.2">
      <c r="A939" t="s">
        <v>1767</v>
      </c>
      <c r="B939" t="s">
        <v>1768</v>
      </c>
      <c r="C939" t="s">
        <v>653</v>
      </c>
      <c r="D939">
        <v>0.21826233601008799</v>
      </c>
      <c r="E939">
        <v>0.15424164049134001</v>
      </c>
      <c r="F939">
        <v>0.29820388178819801</v>
      </c>
    </row>
    <row r="940" spans="1:6" x14ac:dyDescent="0.2">
      <c r="A940" t="s">
        <v>1769</v>
      </c>
      <c r="B940" t="s">
        <v>1770</v>
      </c>
      <c r="C940" t="s">
        <v>653</v>
      </c>
      <c r="D940">
        <v>0.21209058157350899</v>
      </c>
      <c r="E940">
        <v>0.150028853392704</v>
      </c>
      <c r="F940">
        <v>0.28985239361425502</v>
      </c>
    </row>
    <row r="941" spans="1:6" x14ac:dyDescent="0.2">
      <c r="A941" t="s">
        <v>1771</v>
      </c>
      <c r="B941" t="s">
        <v>1772</v>
      </c>
      <c r="C941" t="s">
        <v>653</v>
      </c>
      <c r="D941">
        <v>0.23671703579758399</v>
      </c>
      <c r="E941">
        <v>0.166940164811928</v>
      </c>
      <c r="F941">
        <v>0.31975333852198701</v>
      </c>
    </row>
    <row r="942" spans="1:6" x14ac:dyDescent="0.2">
      <c r="A942" t="s">
        <v>1773</v>
      </c>
      <c r="B942" t="s">
        <v>1774</v>
      </c>
      <c r="C942" t="s">
        <v>653</v>
      </c>
      <c r="D942">
        <v>0.32431936322780602</v>
      </c>
      <c r="E942">
        <v>0.232650244870996</v>
      </c>
      <c r="F942">
        <v>0.43595165224712401</v>
      </c>
    </row>
    <row r="943" spans="1:6" x14ac:dyDescent="0.2">
      <c r="A943" t="s">
        <v>1775</v>
      </c>
      <c r="B943" t="s">
        <v>1776</v>
      </c>
      <c r="C943" t="s">
        <v>1777</v>
      </c>
      <c r="D943">
        <v>0.17820251500000001</v>
      </c>
      <c r="E943">
        <v>0.12271945250000001</v>
      </c>
      <c r="F943">
        <v>0.24959785499999901</v>
      </c>
    </row>
    <row r="944" spans="1:6" x14ac:dyDescent="0.2">
      <c r="A944" t="s">
        <v>1778</v>
      </c>
      <c r="B944" t="s">
        <v>1779</v>
      </c>
      <c r="C944" t="s">
        <v>653</v>
      </c>
      <c r="D944">
        <v>0.181242186476127</v>
      </c>
      <c r="E944">
        <v>0.12618365893434799</v>
      </c>
      <c r="F944">
        <v>0.25196991405892599</v>
      </c>
    </row>
    <row r="945" spans="1:6" x14ac:dyDescent="0.2">
      <c r="A945" t="s">
        <v>1780</v>
      </c>
      <c r="B945" t="s">
        <v>1781</v>
      </c>
      <c r="C945" t="s">
        <v>653</v>
      </c>
      <c r="D945">
        <v>0.22032069295430701</v>
      </c>
      <c r="E945">
        <v>0.15557036898194099</v>
      </c>
      <c r="F945">
        <v>0.29846135634055099</v>
      </c>
    </row>
    <row r="946" spans="1:6" x14ac:dyDescent="0.2">
      <c r="A946" t="s">
        <v>1782</v>
      </c>
      <c r="B946" t="s">
        <v>1783</v>
      </c>
      <c r="C946" t="s">
        <v>653</v>
      </c>
      <c r="D946">
        <v>0.29960279123152</v>
      </c>
      <c r="E946">
        <v>0.21226860050211499</v>
      </c>
      <c r="F946">
        <v>0.40440432789668201</v>
      </c>
    </row>
    <row r="947" spans="1:6" x14ac:dyDescent="0.2">
      <c r="A947" t="s">
        <v>1784</v>
      </c>
      <c r="B947" t="s">
        <v>703</v>
      </c>
      <c r="D947">
        <v>0</v>
      </c>
      <c r="E947">
        <v>0</v>
      </c>
      <c r="F947">
        <v>0</v>
      </c>
    </row>
    <row r="948" spans="1:6" x14ac:dyDescent="0.2">
      <c r="A948" t="s">
        <v>1785</v>
      </c>
      <c r="B948" t="s">
        <v>703</v>
      </c>
      <c r="D948">
        <v>0</v>
      </c>
      <c r="E948">
        <v>0</v>
      </c>
      <c r="F948">
        <v>0</v>
      </c>
    </row>
    <row r="949" spans="1:6" x14ac:dyDescent="0.2">
      <c r="A949" t="s">
        <v>1786</v>
      </c>
      <c r="B949" t="s">
        <v>1768</v>
      </c>
      <c r="C949" t="s">
        <v>653</v>
      </c>
      <c r="D949">
        <v>0.21826233601008799</v>
      </c>
      <c r="E949">
        <v>0.15424164049134001</v>
      </c>
      <c r="F949">
        <v>0.29820388178819801</v>
      </c>
    </row>
    <row r="950" spans="1:6" x14ac:dyDescent="0.2">
      <c r="A950" t="s">
        <v>1787</v>
      </c>
      <c r="B950" t="s">
        <v>1770</v>
      </c>
      <c r="C950" t="s">
        <v>653</v>
      </c>
      <c r="D950">
        <v>0.21209058157350899</v>
      </c>
      <c r="E950">
        <v>0.150028853392704</v>
      </c>
      <c r="F950">
        <v>0.28985239361425502</v>
      </c>
    </row>
    <row r="951" spans="1:6" x14ac:dyDescent="0.2">
      <c r="A951" t="s">
        <v>1788</v>
      </c>
      <c r="B951" t="s">
        <v>1772</v>
      </c>
      <c r="C951" t="s">
        <v>653</v>
      </c>
      <c r="D951">
        <v>0.23671703579758399</v>
      </c>
      <c r="E951">
        <v>0.166940164811928</v>
      </c>
      <c r="F951">
        <v>0.31975333852198701</v>
      </c>
    </row>
    <row r="952" spans="1:6" x14ac:dyDescent="0.2">
      <c r="A952" t="s">
        <v>1789</v>
      </c>
      <c r="B952" t="s">
        <v>1774</v>
      </c>
      <c r="C952" t="s">
        <v>653</v>
      </c>
      <c r="D952">
        <v>0.32431936322780602</v>
      </c>
      <c r="E952">
        <v>0.232650244870996</v>
      </c>
      <c r="F952">
        <v>0.43595165224712401</v>
      </c>
    </row>
    <row r="953" spans="1:6" x14ac:dyDescent="0.2">
      <c r="A953" t="s">
        <v>1790</v>
      </c>
      <c r="B953" t="s">
        <v>1776</v>
      </c>
      <c r="C953" t="s">
        <v>1777</v>
      </c>
      <c r="D953">
        <v>0.17820251500000001</v>
      </c>
      <c r="E953">
        <v>0.12271945250000001</v>
      </c>
      <c r="F953">
        <v>0.24959785499999901</v>
      </c>
    </row>
    <row r="954" spans="1:6" x14ac:dyDescent="0.2">
      <c r="A954" t="s">
        <v>1791</v>
      </c>
      <c r="B954" t="s">
        <v>1779</v>
      </c>
      <c r="C954" t="s">
        <v>653</v>
      </c>
      <c r="D954">
        <v>0.181242186476127</v>
      </c>
      <c r="E954">
        <v>0.12618365893434799</v>
      </c>
      <c r="F954">
        <v>0.25196991405892599</v>
      </c>
    </row>
    <row r="955" spans="1:6" x14ac:dyDescent="0.2">
      <c r="A955" t="s">
        <v>1792</v>
      </c>
      <c r="B955" t="s">
        <v>1781</v>
      </c>
      <c r="C955" t="s">
        <v>653</v>
      </c>
      <c r="D955">
        <v>0.22032069295430701</v>
      </c>
      <c r="E955">
        <v>0.15557036898194099</v>
      </c>
      <c r="F955">
        <v>0.29846135634055099</v>
      </c>
    </row>
    <row r="956" spans="1:6" x14ac:dyDescent="0.2">
      <c r="A956" t="s">
        <v>1793</v>
      </c>
      <c r="B956" t="s">
        <v>1783</v>
      </c>
      <c r="C956" t="s">
        <v>653</v>
      </c>
      <c r="D956">
        <v>0.29960279123152</v>
      </c>
      <c r="E956">
        <v>0.21226860050211499</v>
      </c>
      <c r="F956">
        <v>0.40440432789668201</v>
      </c>
    </row>
    <row r="957" spans="1:6" x14ac:dyDescent="0.2">
      <c r="A957" t="s">
        <v>1794</v>
      </c>
      <c r="B957" t="s">
        <v>703</v>
      </c>
      <c r="D957">
        <v>0</v>
      </c>
      <c r="E957">
        <v>0</v>
      </c>
      <c r="F957">
        <v>0</v>
      </c>
    </row>
    <row r="958" spans="1:6" x14ac:dyDescent="0.2">
      <c r="A958" t="s">
        <v>1795</v>
      </c>
      <c r="B958" t="s">
        <v>703</v>
      </c>
      <c r="D958">
        <v>0</v>
      </c>
      <c r="E958">
        <v>0</v>
      </c>
      <c r="F958">
        <v>0</v>
      </c>
    </row>
    <row r="959" spans="1:6" x14ac:dyDescent="0.2">
      <c r="A959" t="s">
        <v>1796</v>
      </c>
      <c r="B959" t="s">
        <v>1768</v>
      </c>
      <c r="C959" t="s">
        <v>653</v>
      </c>
      <c r="D959">
        <v>0.21826233601008799</v>
      </c>
      <c r="E959">
        <v>0.15424164049134001</v>
      </c>
      <c r="F959">
        <v>0.29820388178819801</v>
      </c>
    </row>
    <row r="960" spans="1:6" x14ac:dyDescent="0.2">
      <c r="A960" t="s">
        <v>1797</v>
      </c>
      <c r="B960" t="s">
        <v>1770</v>
      </c>
      <c r="C960" t="s">
        <v>653</v>
      </c>
      <c r="D960">
        <v>0.21209058157350899</v>
      </c>
      <c r="E960">
        <v>0.150028853392704</v>
      </c>
      <c r="F960">
        <v>0.28985239361425502</v>
      </c>
    </row>
    <row r="961" spans="1:6" x14ac:dyDescent="0.2">
      <c r="A961" t="s">
        <v>1798</v>
      </c>
      <c r="B961" t="s">
        <v>1772</v>
      </c>
      <c r="C961" t="s">
        <v>653</v>
      </c>
      <c r="D961">
        <v>0.23671703579758399</v>
      </c>
      <c r="E961">
        <v>0.166940164811928</v>
      </c>
      <c r="F961">
        <v>0.31975333852198701</v>
      </c>
    </row>
    <row r="962" spans="1:6" x14ac:dyDescent="0.2">
      <c r="A962" t="s">
        <v>1799</v>
      </c>
      <c r="B962" t="s">
        <v>1774</v>
      </c>
      <c r="C962" t="s">
        <v>653</v>
      </c>
      <c r="D962">
        <v>0.32431936322780602</v>
      </c>
      <c r="E962">
        <v>0.232650244870996</v>
      </c>
      <c r="F962">
        <v>0.43595165224712401</v>
      </c>
    </row>
    <row r="963" spans="1:6" x14ac:dyDescent="0.2">
      <c r="A963" t="s">
        <v>1800</v>
      </c>
      <c r="B963" t="s">
        <v>1776</v>
      </c>
      <c r="C963" t="s">
        <v>1777</v>
      </c>
      <c r="D963">
        <v>0.17820251500000001</v>
      </c>
      <c r="E963">
        <v>0.12271945250000001</v>
      </c>
      <c r="F963">
        <v>0.24959785499999901</v>
      </c>
    </row>
    <row r="964" spans="1:6" x14ac:dyDescent="0.2">
      <c r="A964" t="s">
        <v>1801</v>
      </c>
      <c r="B964" t="s">
        <v>1779</v>
      </c>
      <c r="C964" t="s">
        <v>653</v>
      </c>
      <c r="D964">
        <v>0.181242186476127</v>
      </c>
      <c r="E964">
        <v>0.12618365893434799</v>
      </c>
      <c r="F964">
        <v>0.25196991405892599</v>
      </c>
    </row>
    <row r="965" spans="1:6" x14ac:dyDescent="0.2">
      <c r="A965" t="s">
        <v>1802</v>
      </c>
      <c r="B965" t="s">
        <v>1781</v>
      </c>
      <c r="C965" t="s">
        <v>653</v>
      </c>
      <c r="D965">
        <v>0.22032069295430701</v>
      </c>
      <c r="E965">
        <v>0.15557036898194099</v>
      </c>
      <c r="F965">
        <v>0.29846135634055099</v>
      </c>
    </row>
    <row r="966" spans="1:6" x14ac:dyDescent="0.2">
      <c r="A966" t="s">
        <v>1803</v>
      </c>
      <c r="B966" t="s">
        <v>1783</v>
      </c>
      <c r="C966" t="s">
        <v>653</v>
      </c>
      <c r="D966">
        <v>0.29960279123152</v>
      </c>
      <c r="E966">
        <v>0.21226860050211499</v>
      </c>
      <c r="F966">
        <v>0.40440432789668201</v>
      </c>
    </row>
    <row r="967" spans="1:6" x14ac:dyDescent="0.2">
      <c r="A967" t="s">
        <v>1804</v>
      </c>
      <c r="B967" t="s">
        <v>703</v>
      </c>
      <c r="D967">
        <v>0</v>
      </c>
      <c r="E967">
        <v>0</v>
      </c>
      <c r="F967">
        <v>0</v>
      </c>
    </row>
    <row r="968" spans="1:6" x14ac:dyDescent="0.2">
      <c r="A968" t="s">
        <v>1805</v>
      </c>
      <c r="B968" t="s">
        <v>703</v>
      </c>
      <c r="D968">
        <v>0</v>
      </c>
      <c r="E968">
        <v>0</v>
      </c>
      <c r="F968">
        <v>0</v>
      </c>
    </row>
    <row r="969" spans="1:6" x14ac:dyDescent="0.2">
      <c r="A969" t="s">
        <v>1806</v>
      </c>
      <c r="B969" t="s">
        <v>1768</v>
      </c>
      <c r="C969" t="s">
        <v>653</v>
      </c>
      <c r="D969">
        <v>0.21826233601008799</v>
      </c>
      <c r="E969">
        <v>0.15424164049134001</v>
      </c>
      <c r="F969">
        <v>0.29820388178819801</v>
      </c>
    </row>
    <row r="970" spans="1:6" x14ac:dyDescent="0.2">
      <c r="A970" t="s">
        <v>1807</v>
      </c>
      <c r="B970" t="s">
        <v>1770</v>
      </c>
      <c r="C970" t="s">
        <v>653</v>
      </c>
      <c r="D970">
        <v>0.21209058157350899</v>
      </c>
      <c r="E970">
        <v>0.150028853392704</v>
      </c>
      <c r="F970">
        <v>0.28985239361425502</v>
      </c>
    </row>
    <row r="971" spans="1:6" x14ac:dyDescent="0.2">
      <c r="A971" t="s">
        <v>1808</v>
      </c>
      <c r="B971" t="s">
        <v>1772</v>
      </c>
      <c r="C971" t="s">
        <v>653</v>
      </c>
      <c r="D971">
        <v>0.23671703579758399</v>
      </c>
      <c r="E971">
        <v>0.166940164811928</v>
      </c>
      <c r="F971">
        <v>0.31975333852198701</v>
      </c>
    </row>
    <row r="972" spans="1:6" x14ac:dyDescent="0.2">
      <c r="A972" t="s">
        <v>1809</v>
      </c>
      <c r="B972" t="s">
        <v>1774</v>
      </c>
      <c r="C972" t="s">
        <v>653</v>
      </c>
      <c r="D972">
        <v>0.32431936322780602</v>
      </c>
      <c r="E972">
        <v>0.232650244870996</v>
      </c>
      <c r="F972">
        <v>0.43595165224712401</v>
      </c>
    </row>
    <row r="973" spans="1:6" x14ac:dyDescent="0.2">
      <c r="A973" t="s">
        <v>1810</v>
      </c>
      <c r="B973" t="s">
        <v>1776</v>
      </c>
      <c r="C973" t="s">
        <v>1777</v>
      </c>
      <c r="D973">
        <v>0.17820251500000001</v>
      </c>
      <c r="E973">
        <v>0.12271945250000001</v>
      </c>
      <c r="F973">
        <v>0.24959785499999901</v>
      </c>
    </row>
    <row r="974" spans="1:6" x14ac:dyDescent="0.2">
      <c r="A974" t="s">
        <v>1811</v>
      </c>
      <c r="B974" t="s">
        <v>1779</v>
      </c>
      <c r="C974" t="s">
        <v>653</v>
      </c>
      <c r="D974">
        <v>0.181242186476127</v>
      </c>
      <c r="E974">
        <v>0.12618365893434799</v>
      </c>
      <c r="F974">
        <v>0.25196991405892599</v>
      </c>
    </row>
    <row r="975" spans="1:6" x14ac:dyDescent="0.2">
      <c r="A975" t="s">
        <v>1812</v>
      </c>
      <c r="B975" t="s">
        <v>1781</v>
      </c>
      <c r="C975" t="s">
        <v>653</v>
      </c>
      <c r="D975">
        <v>0.22032069295430701</v>
      </c>
      <c r="E975">
        <v>0.15557036898194099</v>
      </c>
      <c r="F975">
        <v>0.29846135634055099</v>
      </c>
    </row>
    <row r="976" spans="1:6" x14ac:dyDescent="0.2">
      <c r="A976" t="s">
        <v>1813</v>
      </c>
      <c r="B976" t="s">
        <v>1783</v>
      </c>
      <c r="C976" t="s">
        <v>653</v>
      </c>
      <c r="D976">
        <v>0.29960279123152</v>
      </c>
      <c r="E976">
        <v>0.21226860050211499</v>
      </c>
      <c r="F976">
        <v>0.40440432789668201</v>
      </c>
    </row>
    <row r="977" spans="1:6" x14ac:dyDescent="0.2">
      <c r="A977" t="s">
        <v>1814</v>
      </c>
      <c r="B977" t="s">
        <v>703</v>
      </c>
      <c r="D977">
        <v>0</v>
      </c>
      <c r="E977">
        <v>0</v>
      </c>
      <c r="F977">
        <v>0</v>
      </c>
    </row>
    <row r="978" spans="1:6" x14ac:dyDescent="0.2">
      <c r="A978" t="s">
        <v>1815</v>
      </c>
      <c r="B978" t="s">
        <v>1770</v>
      </c>
      <c r="C978" t="s">
        <v>653</v>
      </c>
      <c r="D978">
        <v>0.21209058157350899</v>
      </c>
      <c r="E978">
        <v>0.150028853392704</v>
      </c>
      <c r="F978">
        <v>0.28985239361425502</v>
      </c>
    </row>
    <row r="979" spans="1:6" x14ac:dyDescent="0.2">
      <c r="A979" t="s">
        <v>1816</v>
      </c>
      <c r="B979" t="s">
        <v>1768</v>
      </c>
      <c r="C979" t="s">
        <v>653</v>
      </c>
      <c r="D979">
        <v>0.21826233601008799</v>
      </c>
      <c r="E979">
        <v>0.15424164049134001</v>
      </c>
      <c r="F979">
        <v>0.29820388178819801</v>
      </c>
    </row>
    <row r="980" spans="1:6" x14ac:dyDescent="0.2">
      <c r="A980" t="s">
        <v>1817</v>
      </c>
      <c r="B980" t="s">
        <v>1772</v>
      </c>
      <c r="C980" t="s">
        <v>653</v>
      </c>
      <c r="D980">
        <v>0.23671703579758399</v>
      </c>
      <c r="E980">
        <v>0.166940164811928</v>
      </c>
      <c r="F980">
        <v>0.31975333852198701</v>
      </c>
    </row>
    <row r="981" spans="1:6" x14ac:dyDescent="0.2">
      <c r="A981" t="s">
        <v>1818</v>
      </c>
      <c r="B981" t="s">
        <v>1774</v>
      </c>
      <c r="C981" t="s">
        <v>653</v>
      </c>
      <c r="D981">
        <v>0.32431936322780602</v>
      </c>
      <c r="E981">
        <v>0.232650244870996</v>
      </c>
      <c r="F981">
        <v>0.43595165224712401</v>
      </c>
    </row>
    <row r="982" spans="1:6" x14ac:dyDescent="0.2">
      <c r="A982" t="s">
        <v>1819</v>
      </c>
      <c r="B982" t="s">
        <v>1776</v>
      </c>
      <c r="C982" t="s">
        <v>1777</v>
      </c>
      <c r="D982">
        <v>0.17820251500000001</v>
      </c>
      <c r="E982">
        <v>0.12271945250000001</v>
      </c>
      <c r="F982">
        <v>0.24959785499999901</v>
      </c>
    </row>
    <row r="983" spans="1:6" x14ac:dyDescent="0.2">
      <c r="A983" t="s">
        <v>1820</v>
      </c>
      <c r="B983" t="s">
        <v>1779</v>
      </c>
      <c r="C983" t="s">
        <v>653</v>
      </c>
      <c r="D983">
        <v>0.181242186476127</v>
      </c>
      <c r="E983">
        <v>0.12618365893434799</v>
      </c>
      <c r="F983">
        <v>0.25196991405892599</v>
      </c>
    </row>
    <row r="984" spans="1:6" x14ac:dyDescent="0.2">
      <c r="A984" t="s">
        <v>1821</v>
      </c>
      <c r="B984" t="s">
        <v>1781</v>
      </c>
      <c r="C984" t="s">
        <v>653</v>
      </c>
      <c r="D984">
        <v>0.22032069295430701</v>
      </c>
      <c r="E984">
        <v>0.15557036898194099</v>
      </c>
      <c r="F984">
        <v>0.29846135634055099</v>
      </c>
    </row>
    <row r="985" spans="1:6" x14ac:dyDescent="0.2">
      <c r="A985" t="s">
        <v>1822</v>
      </c>
      <c r="B985" t="s">
        <v>1783</v>
      </c>
      <c r="C985" t="s">
        <v>653</v>
      </c>
      <c r="D985">
        <v>0.29960279123152</v>
      </c>
      <c r="E985">
        <v>0.21226860050211499</v>
      </c>
      <c r="F985">
        <v>0.40440432789668201</v>
      </c>
    </row>
    <row r="986" spans="1:6" x14ac:dyDescent="0.2">
      <c r="A986" t="s">
        <v>1823</v>
      </c>
      <c r="B986" t="s">
        <v>703</v>
      </c>
      <c r="D986">
        <v>0</v>
      </c>
      <c r="E986">
        <v>0</v>
      </c>
      <c r="F986">
        <v>0</v>
      </c>
    </row>
    <row r="987" spans="1:6" x14ac:dyDescent="0.2">
      <c r="A987" t="s">
        <v>1824</v>
      </c>
      <c r="B987" t="s">
        <v>750</v>
      </c>
      <c r="C987" t="s">
        <v>751</v>
      </c>
      <c r="D987">
        <v>0.32424655079999898</v>
      </c>
      <c r="E987">
        <v>0.21972131750000001</v>
      </c>
      <c r="F987">
        <v>0.44180473999999997</v>
      </c>
    </row>
    <row r="988" spans="1:6" x14ac:dyDescent="0.2">
      <c r="A988" t="s">
        <v>1825</v>
      </c>
      <c r="B988" t="s">
        <v>1826</v>
      </c>
      <c r="C988" t="s">
        <v>653</v>
      </c>
      <c r="D988">
        <v>0.32677674407324703</v>
      </c>
      <c r="E988">
        <v>0.224178963849677</v>
      </c>
      <c r="F988">
        <v>0.443155965928335</v>
      </c>
    </row>
    <row r="989" spans="1:6" x14ac:dyDescent="0.2">
      <c r="A989" t="s">
        <v>1827</v>
      </c>
      <c r="B989" t="s">
        <v>1828</v>
      </c>
      <c r="C989" t="s">
        <v>653</v>
      </c>
      <c r="D989">
        <v>0.35878747831983299</v>
      </c>
      <c r="E989">
        <v>0.25353786336492201</v>
      </c>
      <c r="F989">
        <v>0.47603275132800599</v>
      </c>
    </row>
    <row r="990" spans="1:6" x14ac:dyDescent="0.2">
      <c r="A990" t="s">
        <v>1829</v>
      </c>
      <c r="B990" t="s">
        <v>1830</v>
      </c>
      <c r="C990" t="s">
        <v>653</v>
      </c>
      <c r="D990">
        <v>0.423364416242141</v>
      </c>
      <c r="E990">
        <v>0.30173029640506099</v>
      </c>
      <c r="F990">
        <v>0.555560106201893</v>
      </c>
    </row>
    <row r="991" spans="1:6" x14ac:dyDescent="0.2">
      <c r="A991" t="s">
        <v>1831</v>
      </c>
      <c r="B991" t="s">
        <v>821</v>
      </c>
      <c r="C991" t="s">
        <v>822</v>
      </c>
      <c r="D991">
        <v>0.32480394149999903</v>
      </c>
      <c r="E991">
        <v>0.20924532499999901</v>
      </c>
      <c r="F991">
        <v>0.46216676249999999</v>
      </c>
    </row>
    <row r="992" spans="1:6" x14ac:dyDescent="0.2">
      <c r="A992" t="s">
        <v>1832</v>
      </c>
      <c r="B992" t="s">
        <v>912</v>
      </c>
      <c r="C992" t="s">
        <v>913</v>
      </c>
      <c r="D992">
        <v>1.1009249599999899E-2</v>
      </c>
      <c r="E992">
        <v>5.3773199999999997E-3</v>
      </c>
      <c r="F992">
        <v>2.08201875E-2</v>
      </c>
    </row>
    <row r="993" spans="1:6" x14ac:dyDescent="0.2">
      <c r="A993" t="s">
        <v>1833</v>
      </c>
      <c r="B993" t="s">
        <v>747</v>
      </c>
      <c r="C993" t="s">
        <v>748</v>
      </c>
      <c r="D993">
        <v>0.114339967</v>
      </c>
      <c r="E993">
        <v>7.7947084999999999E-2</v>
      </c>
      <c r="F993">
        <v>0.15867681249999999</v>
      </c>
    </row>
    <row r="994" spans="1:6" x14ac:dyDescent="0.2">
      <c r="A994" t="s">
        <v>1834</v>
      </c>
      <c r="B994" t="s">
        <v>855</v>
      </c>
      <c r="C994" t="s">
        <v>856</v>
      </c>
      <c r="D994">
        <v>3.69639789999999E-3</v>
      </c>
      <c r="E994">
        <v>1.3124725E-3</v>
      </c>
      <c r="F994">
        <v>8.1387825000000004E-3</v>
      </c>
    </row>
    <row r="995" spans="1:6" x14ac:dyDescent="0.2">
      <c r="A995" t="s">
        <v>1835</v>
      </c>
      <c r="B995" t="s">
        <v>858</v>
      </c>
      <c r="C995" t="s">
        <v>859</v>
      </c>
      <c r="D995">
        <v>5.1541961499999997E-2</v>
      </c>
      <c r="E995">
        <v>3.3847374999999999E-2</v>
      </c>
      <c r="F995">
        <v>7.5721812499999999E-2</v>
      </c>
    </row>
    <row r="996" spans="1:6" x14ac:dyDescent="0.2">
      <c r="A996" t="s">
        <v>1836</v>
      </c>
      <c r="B996" t="s">
        <v>861</v>
      </c>
      <c r="C996" t="s">
        <v>862</v>
      </c>
      <c r="D996">
        <v>0.14876615300000001</v>
      </c>
      <c r="E996">
        <v>0.10073293999999899</v>
      </c>
      <c r="F996">
        <v>0.20911520249999899</v>
      </c>
    </row>
    <row r="997" spans="1:6" x14ac:dyDescent="0.2">
      <c r="A997" t="s">
        <v>1837</v>
      </c>
      <c r="B997" t="s">
        <v>703</v>
      </c>
      <c r="D997">
        <v>0</v>
      </c>
      <c r="E997">
        <v>0</v>
      </c>
      <c r="F997">
        <v>0</v>
      </c>
    </row>
    <row r="998" spans="1:6" x14ac:dyDescent="0.2">
      <c r="A998" t="s">
        <v>1838</v>
      </c>
      <c r="B998" t="s">
        <v>1839</v>
      </c>
      <c r="C998" t="s">
        <v>653</v>
      </c>
      <c r="D998">
        <v>1.46575536844582E-2</v>
      </c>
      <c r="E998">
        <v>6.70196239348E-3</v>
      </c>
      <c r="F998">
        <v>2.8588441675068701E-2</v>
      </c>
    </row>
    <row r="999" spans="1:6" x14ac:dyDescent="0.2">
      <c r="A999" t="s">
        <v>1840</v>
      </c>
      <c r="B999" t="s">
        <v>1841</v>
      </c>
      <c r="C999" t="s">
        <v>653</v>
      </c>
      <c r="D999">
        <v>6.19509455734975E-2</v>
      </c>
      <c r="E999">
        <v>3.9713054885106298E-2</v>
      </c>
      <c r="F999">
        <v>9.2922810686573695E-2</v>
      </c>
    </row>
    <row r="1000" spans="1:6" x14ac:dyDescent="0.2">
      <c r="A1000" t="s">
        <v>1842</v>
      </c>
      <c r="B1000" t="s">
        <v>1843</v>
      </c>
      <c r="C1000" t="s">
        <v>653</v>
      </c>
      <c r="D1000">
        <v>0.158110748547652</v>
      </c>
      <c r="E1000">
        <v>0.108503234804197</v>
      </c>
      <c r="F1000">
        <v>0.21877446999102099</v>
      </c>
    </row>
    <row r="1001" spans="1:6" x14ac:dyDescent="0.2">
      <c r="A1001" t="s">
        <v>1844</v>
      </c>
      <c r="B1001" t="s">
        <v>1843</v>
      </c>
      <c r="C1001" t="s">
        <v>653</v>
      </c>
      <c r="D1001">
        <v>0.158110748547652</v>
      </c>
      <c r="E1001">
        <v>0.108503234804197</v>
      </c>
      <c r="F1001">
        <v>0.21877446999102099</v>
      </c>
    </row>
    <row r="1002" spans="1:6" x14ac:dyDescent="0.2">
      <c r="A1002" t="s">
        <v>1845</v>
      </c>
      <c r="B1002" t="s">
        <v>1846</v>
      </c>
      <c r="C1002" t="s">
        <v>653</v>
      </c>
      <c r="D1002">
        <v>0.117605201967207</v>
      </c>
      <c r="E1002">
        <v>8.0642977596328894E-2</v>
      </c>
      <c r="F1002">
        <v>0.16304752408977499</v>
      </c>
    </row>
    <row r="1003" spans="1:6" x14ac:dyDescent="0.2">
      <c r="A1003" t="s">
        <v>1847</v>
      </c>
      <c r="B1003" t="s">
        <v>1848</v>
      </c>
      <c r="C1003" t="s">
        <v>653</v>
      </c>
      <c r="D1003">
        <v>0.15980206170405001</v>
      </c>
      <c r="E1003">
        <v>0.109309689674972</v>
      </c>
      <c r="F1003">
        <v>0.21996511541165101</v>
      </c>
    </row>
    <row r="1004" spans="1:6" x14ac:dyDescent="0.2">
      <c r="A1004" t="s">
        <v>1849</v>
      </c>
      <c r="B1004" t="s">
        <v>1850</v>
      </c>
      <c r="C1004" t="s">
        <v>653</v>
      </c>
      <c r="D1004">
        <v>0.32733089261628501</v>
      </c>
      <c r="E1004">
        <v>0.21263094763676901</v>
      </c>
      <c r="F1004">
        <v>0.463338019479337</v>
      </c>
    </row>
    <row r="1005" spans="1:6" x14ac:dyDescent="0.2">
      <c r="A1005" t="s">
        <v>1851</v>
      </c>
      <c r="B1005" t="s">
        <v>1852</v>
      </c>
      <c r="C1005" t="s">
        <v>653</v>
      </c>
      <c r="D1005">
        <v>0.35929985168148099</v>
      </c>
      <c r="E1005">
        <v>0.241503933240305</v>
      </c>
      <c r="F1005">
        <v>0.49702113374523299</v>
      </c>
    </row>
    <row r="1006" spans="1:6" x14ac:dyDescent="0.2">
      <c r="A1006" t="s">
        <v>1853</v>
      </c>
      <c r="B1006" t="s">
        <v>1854</v>
      </c>
      <c r="C1006" t="s">
        <v>653</v>
      </c>
      <c r="D1006">
        <v>0.423789255076229</v>
      </c>
      <c r="E1006">
        <v>0.29276176934855302</v>
      </c>
      <c r="F1006">
        <v>0.57009686016291705</v>
      </c>
    </row>
    <row r="1007" spans="1:6" x14ac:dyDescent="0.2">
      <c r="A1007" t="s">
        <v>1855</v>
      </c>
      <c r="B1007" t="s">
        <v>750</v>
      </c>
      <c r="C1007" t="s">
        <v>751</v>
      </c>
      <c r="D1007">
        <v>0.32424655079999898</v>
      </c>
      <c r="E1007">
        <v>0.21972131750000001</v>
      </c>
      <c r="F1007">
        <v>0.44180473999999997</v>
      </c>
    </row>
    <row r="1008" spans="1:6" x14ac:dyDescent="0.2">
      <c r="A1008" t="s">
        <v>1856</v>
      </c>
      <c r="B1008" t="s">
        <v>1826</v>
      </c>
      <c r="C1008" t="s">
        <v>653</v>
      </c>
      <c r="D1008">
        <v>0.32677674407324703</v>
      </c>
      <c r="E1008">
        <v>0.224178963849677</v>
      </c>
      <c r="F1008">
        <v>0.443155965928335</v>
      </c>
    </row>
    <row r="1009" spans="1:6" x14ac:dyDescent="0.2">
      <c r="A1009" t="s">
        <v>1857</v>
      </c>
      <c r="B1009" t="s">
        <v>1828</v>
      </c>
      <c r="C1009" t="s">
        <v>653</v>
      </c>
      <c r="D1009">
        <v>0.35878747831983299</v>
      </c>
      <c r="E1009">
        <v>0.25353786336492201</v>
      </c>
      <c r="F1009">
        <v>0.47603275132800599</v>
      </c>
    </row>
    <row r="1010" spans="1:6" x14ac:dyDescent="0.2">
      <c r="A1010" t="s">
        <v>1858</v>
      </c>
      <c r="B1010" t="s">
        <v>1830</v>
      </c>
      <c r="C1010" t="s">
        <v>653</v>
      </c>
      <c r="D1010">
        <v>0.423364416242141</v>
      </c>
      <c r="E1010">
        <v>0.30173029640506099</v>
      </c>
      <c r="F1010">
        <v>0.555560106201893</v>
      </c>
    </row>
    <row r="1011" spans="1:6" x14ac:dyDescent="0.2">
      <c r="A1011" t="s">
        <v>1859</v>
      </c>
      <c r="B1011" t="s">
        <v>821</v>
      </c>
      <c r="C1011" t="s">
        <v>822</v>
      </c>
      <c r="D1011">
        <v>0.32480394149999903</v>
      </c>
      <c r="E1011">
        <v>0.20924532499999901</v>
      </c>
      <c r="F1011">
        <v>0.46216676249999999</v>
      </c>
    </row>
    <row r="1012" spans="1:6" x14ac:dyDescent="0.2">
      <c r="A1012" t="s">
        <v>1860</v>
      </c>
      <c r="B1012" t="s">
        <v>912</v>
      </c>
      <c r="C1012" t="s">
        <v>913</v>
      </c>
      <c r="D1012">
        <v>1.1009249599999899E-2</v>
      </c>
      <c r="E1012">
        <v>5.3773199999999997E-3</v>
      </c>
      <c r="F1012">
        <v>2.08201875E-2</v>
      </c>
    </row>
    <row r="1013" spans="1:6" x14ac:dyDescent="0.2">
      <c r="A1013" t="s">
        <v>1861</v>
      </c>
      <c r="B1013" t="s">
        <v>747</v>
      </c>
      <c r="C1013" t="s">
        <v>748</v>
      </c>
      <c r="D1013">
        <v>0.114339967</v>
      </c>
      <c r="E1013">
        <v>7.7947084999999999E-2</v>
      </c>
      <c r="F1013">
        <v>0.15867681249999999</v>
      </c>
    </row>
    <row r="1014" spans="1:6" x14ac:dyDescent="0.2">
      <c r="A1014" t="s">
        <v>1862</v>
      </c>
      <c r="B1014" t="s">
        <v>855</v>
      </c>
      <c r="C1014" t="s">
        <v>856</v>
      </c>
      <c r="D1014">
        <v>3.69639789999999E-3</v>
      </c>
      <c r="E1014">
        <v>1.3124725E-3</v>
      </c>
      <c r="F1014">
        <v>8.1387825000000004E-3</v>
      </c>
    </row>
    <row r="1015" spans="1:6" x14ac:dyDescent="0.2">
      <c r="A1015" t="s">
        <v>1863</v>
      </c>
      <c r="B1015" t="s">
        <v>858</v>
      </c>
      <c r="C1015" t="s">
        <v>859</v>
      </c>
      <c r="D1015">
        <v>5.1541961499999997E-2</v>
      </c>
      <c r="E1015">
        <v>3.3847374999999999E-2</v>
      </c>
      <c r="F1015">
        <v>7.5721812499999999E-2</v>
      </c>
    </row>
    <row r="1016" spans="1:6" x14ac:dyDescent="0.2">
      <c r="A1016" t="s">
        <v>1864</v>
      </c>
      <c r="B1016" t="s">
        <v>861</v>
      </c>
      <c r="C1016" t="s">
        <v>862</v>
      </c>
      <c r="D1016">
        <v>0.14876615300000001</v>
      </c>
      <c r="E1016">
        <v>0.10073293999999899</v>
      </c>
      <c r="F1016">
        <v>0.20911520249999899</v>
      </c>
    </row>
    <row r="1017" spans="1:6" x14ac:dyDescent="0.2">
      <c r="A1017" t="s">
        <v>1865</v>
      </c>
      <c r="B1017" t="s">
        <v>703</v>
      </c>
      <c r="D1017">
        <v>0</v>
      </c>
      <c r="E1017">
        <v>0</v>
      </c>
      <c r="F1017">
        <v>0</v>
      </c>
    </row>
    <row r="1018" spans="1:6" x14ac:dyDescent="0.2">
      <c r="A1018" t="s">
        <v>1866</v>
      </c>
      <c r="B1018" t="s">
        <v>1839</v>
      </c>
      <c r="C1018" t="s">
        <v>653</v>
      </c>
      <c r="D1018">
        <v>1.46575536844582E-2</v>
      </c>
      <c r="E1018">
        <v>6.70196239348E-3</v>
      </c>
      <c r="F1018">
        <v>2.8588441675068701E-2</v>
      </c>
    </row>
    <row r="1019" spans="1:6" x14ac:dyDescent="0.2">
      <c r="A1019" t="s">
        <v>1867</v>
      </c>
      <c r="B1019" t="s">
        <v>1841</v>
      </c>
      <c r="C1019" t="s">
        <v>653</v>
      </c>
      <c r="D1019">
        <v>6.19509455734975E-2</v>
      </c>
      <c r="E1019">
        <v>3.9713054885106298E-2</v>
      </c>
      <c r="F1019">
        <v>9.2922810686573695E-2</v>
      </c>
    </row>
    <row r="1020" spans="1:6" x14ac:dyDescent="0.2">
      <c r="A1020" t="s">
        <v>1868</v>
      </c>
      <c r="B1020" t="s">
        <v>1843</v>
      </c>
      <c r="C1020" t="s">
        <v>653</v>
      </c>
      <c r="D1020">
        <v>0.158110748547652</v>
      </c>
      <c r="E1020">
        <v>0.108503234804197</v>
      </c>
      <c r="F1020">
        <v>0.21877446999102099</v>
      </c>
    </row>
    <row r="1021" spans="1:6" x14ac:dyDescent="0.2">
      <c r="A1021" t="s">
        <v>1869</v>
      </c>
      <c r="B1021" t="s">
        <v>1846</v>
      </c>
      <c r="C1021" t="s">
        <v>653</v>
      </c>
      <c r="D1021">
        <v>0.117605201967207</v>
      </c>
      <c r="E1021">
        <v>8.0642977596328894E-2</v>
      </c>
      <c r="F1021">
        <v>0.16304752408977499</v>
      </c>
    </row>
    <row r="1022" spans="1:6" x14ac:dyDescent="0.2">
      <c r="A1022" t="s">
        <v>1870</v>
      </c>
      <c r="B1022" t="s">
        <v>1848</v>
      </c>
      <c r="C1022" t="s">
        <v>653</v>
      </c>
      <c r="D1022">
        <v>0.15980206170405001</v>
      </c>
      <c r="E1022">
        <v>0.109309689674972</v>
      </c>
      <c r="F1022">
        <v>0.21996511541165101</v>
      </c>
    </row>
    <row r="1023" spans="1:6" x14ac:dyDescent="0.2">
      <c r="A1023" t="s">
        <v>1871</v>
      </c>
      <c r="B1023" t="s">
        <v>1872</v>
      </c>
      <c r="C1023" t="s">
        <v>653</v>
      </c>
      <c r="D1023">
        <v>0.24555271281976501</v>
      </c>
      <c r="E1023">
        <v>0.17074115501652601</v>
      </c>
      <c r="F1023">
        <v>0.33403099847317602</v>
      </c>
    </row>
    <row r="1024" spans="1:6" x14ac:dyDescent="0.2">
      <c r="A1024" t="s">
        <v>1873</v>
      </c>
      <c r="B1024" t="s">
        <v>1850</v>
      </c>
      <c r="C1024" t="s">
        <v>653</v>
      </c>
      <c r="D1024">
        <v>0.32733089261628501</v>
      </c>
      <c r="E1024">
        <v>0.21263094763676901</v>
      </c>
      <c r="F1024">
        <v>0.463338019479337</v>
      </c>
    </row>
    <row r="1025" spans="1:6" x14ac:dyDescent="0.2">
      <c r="A1025" t="s">
        <v>1874</v>
      </c>
      <c r="B1025" t="s">
        <v>1852</v>
      </c>
      <c r="C1025" t="s">
        <v>653</v>
      </c>
      <c r="D1025">
        <v>0.35929985168148099</v>
      </c>
      <c r="E1025">
        <v>0.241503933240305</v>
      </c>
      <c r="F1025">
        <v>0.49702113374523299</v>
      </c>
    </row>
    <row r="1026" spans="1:6" x14ac:dyDescent="0.2">
      <c r="A1026" t="s">
        <v>1875</v>
      </c>
      <c r="B1026" t="s">
        <v>1854</v>
      </c>
      <c r="C1026" t="s">
        <v>653</v>
      </c>
      <c r="D1026">
        <v>0.423789255076229</v>
      </c>
      <c r="E1026">
        <v>0.29276176934855302</v>
      </c>
      <c r="F1026">
        <v>0.57009686016291705</v>
      </c>
    </row>
    <row r="1027" spans="1:6" x14ac:dyDescent="0.2">
      <c r="A1027" t="s">
        <v>1876</v>
      </c>
      <c r="B1027" t="s">
        <v>912</v>
      </c>
      <c r="C1027" t="s">
        <v>913</v>
      </c>
      <c r="D1027">
        <v>1.1009249599999899E-2</v>
      </c>
      <c r="E1027">
        <v>5.3773199999999997E-3</v>
      </c>
      <c r="F1027">
        <v>2.08201875E-2</v>
      </c>
    </row>
    <row r="1028" spans="1:6" x14ac:dyDescent="0.2">
      <c r="A1028" t="s">
        <v>1877</v>
      </c>
      <c r="B1028" t="s">
        <v>703</v>
      </c>
      <c r="D1028">
        <v>0</v>
      </c>
      <c r="E1028">
        <v>0</v>
      </c>
      <c r="F1028">
        <v>0</v>
      </c>
    </row>
    <row r="1029" spans="1:6" x14ac:dyDescent="0.2">
      <c r="A1029" t="s">
        <v>1878</v>
      </c>
      <c r="B1029" t="s">
        <v>703</v>
      </c>
      <c r="D1029">
        <v>0</v>
      </c>
      <c r="E1029">
        <v>0</v>
      </c>
      <c r="F1029">
        <v>0</v>
      </c>
    </row>
    <row r="1030" spans="1:6" x14ac:dyDescent="0.2">
      <c r="A1030" t="s">
        <v>1879</v>
      </c>
      <c r="B1030" t="s">
        <v>1880</v>
      </c>
      <c r="C1030" t="s">
        <v>1881</v>
      </c>
      <c r="D1030">
        <v>2.6373587099999901E-2</v>
      </c>
      <c r="E1030">
        <v>1.4719325E-2</v>
      </c>
      <c r="F1030">
        <v>4.1886307499999997E-2</v>
      </c>
    </row>
    <row r="1031" spans="1:6" x14ac:dyDescent="0.2">
      <c r="A1031" t="s">
        <v>1882</v>
      </c>
      <c r="B1031" t="s">
        <v>750</v>
      </c>
      <c r="C1031" t="s">
        <v>751</v>
      </c>
      <c r="D1031">
        <v>0.32424655079999898</v>
      </c>
      <c r="E1031">
        <v>0.21972131750000001</v>
      </c>
      <c r="F1031">
        <v>0.44180473999999997</v>
      </c>
    </row>
    <row r="1032" spans="1:6" x14ac:dyDescent="0.2">
      <c r="A1032" t="s">
        <v>1883</v>
      </c>
      <c r="B1032" t="s">
        <v>750</v>
      </c>
      <c r="C1032" t="s">
        <v>751</v>
      </c>
      <c r="D1032">
        <v>0.32424655079999898</v>
      </c>
      <c r="E1032">
        <v>0.21972131750000001</v>
      </c>
      <c r="F1032">
        <v>0.44180473999999997</v>
      </c>
    </row>
    <row r="1033" spans="1:6" x14ac:dyDescent="0.2">
      <c r="A1033" t="s">
        <v>1884</v>
      </c>
      <c r="B1033" t="s">
        <v>912</v>
      </c>
      <c r="C1033" t="s">
        <v>913</v>
      </c>
      <c r="D1033">
        <v>1.1009249599999899E-2</v>
      </c>
      <c r="E1033">
        <v>5.3773199999999997E-3</v>
      </c>
      <c r="F1033">
        <v>2.08201875E-2</v>
      </c>
    </row>
    <row r="1034" spans="1:6" x14ac:dyDescent="0.2">
      <c r="A1034" t="s">
        <v>1885</v>
      </c>
      <c r="B1034" t="s">
        <v>747</v>
      </c>
      <c r="C1034" t="s">
        <v>748</v>
      </c>
      <c r="D1034">
        <v>0.114339967</v>
      </c>
      <c r="E1034">
        <v>7.7947084999999999E-2</v>
      </c>
      <c r="F1034">
        <v>0.15867681249999999</v>
      </c>
    </row>
    <row r="1035" spans="1:6" x14ac:dyDescent="0.2">
      <c r="A1035" t="s">
        <v>1886</v>
      </c>
      <c r="B1035" t="s">
        <v>750</v>
      </c>
      <c r="C1035" t="s">
        <v>751</v>
      </c>
      <c r="D1035">
        <v>0.32424655079999898</v>
      </c>
      <c r="E1035">
        <v>0.21972131750000001</v>
      </c>
      <c r="F1035">
        <v>0.44180473999999997</v>
      </c>
    </row>
    <row r="1036" spans="1:6" x14ac:dyDescent="0.2">
      <c r="A1036" t="s">
        <v>1887</v>
      </c>
      <c r="B1036" t="s">
        <v>703</v>
      </c>
      <c r="D1036">
        <v>0</v>
      </c>
      <c r="E1036">
        <v>0</v>
      </c>
      <c r="F1036">
        <v>0</v>
      </c>
    </row>
    <row r="1037" spans="1:6" x14ac:dyDescent="0.2">
      <c r="A1037" t="s">
        <v>1888</v>
      </c>
      <c r="B1037" t="s">
        <v>703</v>
      </c>
      <c r="D1037">
        <v>0</v>
      </c>
      <c r="E1037">
        <v>0</v>
      </c>
      <c r="F1037">
        <v>0</v>
      </c>
    </row>
    <row r="1038" spans="1:6" x14ac:dyDescent="0.2">
      <c r="A1038" t="s">
        <v>1889</v>
      </c>
      <c r="B1038" t="s">
        <v>1890</v>
      </c>
      <c r="C1038" t="s">
        <v>653</v>
      </c>
      <c r="D1038">
        <v>0.23374869489601799</v>
      </c>
      <c r="E1038">
        <v>0.160192432649964</v>
      </c>
      <c r="F1038">
        <v>0.32220168654251902</v>
      </c>
    </row>
    <row r="1039" spans="1:6" x14ac:dyDescent="0.2">
      <c r="A1039" t="s">
        <v>1891</v>
      </c>
      <c r="B1039" t="s">
        <v>1892</v>
      </c>
      <c r="C1039" t="s">
        <v>653</v>
      </c>
      <c r="D1039">
        <v>0.27026447586200297</v>
      </c>
      <c r="E1039">
        <v>0.19047044330465501</v>
      </c>
      <c r="F1039">
        <v>0.364556352955129</v>
      </c>
    </row>
    <row r="1040" spans="1:6" x14ac:dyDescent="0.2">
      <c r="A1040" t="s">
        <v>1893</v>
      </c>
      <c r="B1040" t="s">
        <v>1894</v>
      </c>
      <c r="C1040" t="s">
        <v>653</v>
      </c>
      <c r="D1040">
        <v>0.34421857682690599</v>
      </c>
      <c r="E1040">
        <v>0.24532047756723799</v>
      </c>
      <c r="F1040">
        <v>0.46088979880925701</v>
      </c>
    </row>
    <row r="1041" spans="1:6" x14ac:dyDescent="0.2">
      <c r="A1041" t="s">
        <v>1895</v>
      </c>
      <c r="B1041" t="s">
        <v>1896</v>
      </c>
      <c r="C1041" t="s">
        <v>1897</v>
      </c>
      <c r="D1041">
        <v>0.23089387219999999</v>
      </c>
      <c r="E1041">
        <v>0.15648977749999901</v>
      </c>
      <c r="F1041">
        <v>0.319841207499999</v>
      </c>
    </row>
    <row r="1042" spans="1:6" x14ac:dyDescent="0.2">
      <c r="A1042" t="s">
        <v>1898</v>
      </c>
      <c r="B1042" t="s">
        <v>703</v>
      </c>
      <c r="D1042">
        <v>0</v>
      </c>
      <c r="E1042">
        <v>0</v>
      </c>
      <c r="F1042">
        <v>0</v>
      </c>
    </row>
    <row r="1043" spans="1:6" x14ac:dyDescent="0.2">
      <c r="A1043" t="s">
        <v>1899</v>
      </c>
      <c r="B1043" t="s">
        <v>1890</v>
      </c>
      <c r="C1043" t="s">
        <v>653</v>
      </c>
      <c r="D1043">
        <v>0.23374869489601799</v>
      </c>
      <c r="E1043">
        <v>0.160192432649964</v>
      </c>
      <c r="F1043">
        <v>0.32220168654251902</v>
      </c>
    </row>
    <row r="1044" spans="1:6" x14ac:dyDescent="0.2">
      <c r="A1044" t="s">
        <v>1900</v>
      </c>
      <c r="B1044" t="s">
        <v>1892</v>
      </c>
      <c r="C1044" t="s">
        <v>653</v>
      </c>
      <c r="D1044">
        <v>0.27026447586200297</v>
      </c>
      <c r="E1044">
        <v>0.19047044330465501</v>
      </c>
      <c r="F1044">
        <v>0.364556352955129</v>
      </c>
    </row>
    <row r="1045" spans="1:6" x14ac:dyDescent="0.2">
      <c r="A1045" t="s">
        <v>1901</v>
      </c>
      <c r="B1045" t="s">
        <v>1894</v>
      </c>
      <c r="C1045" t="s">
        <v>653</v>
      </c>
      <c r="D1045">
        <v>0.34421857682690599</v>
      </c>
      <c r="E1045">
        <v>0.24532047756723799</v>
      </c>
      <c r="F1045">
        <v>0.46088979880925701</v>
      </c>
    </row>
    <row r="1046" spans="1:6" x14ac:dyDescent="0.2">
      <c r="A1046" t="s">
        <v>1902</v>
      </c>
      <c r="B1046" t="s">
        <v>1896</v>
      </c>
      <c r="C1046" t="s">
        <v>1897</v>
      </c>
      <c r="D1046">
        <v>0.23089387219999999</v>
      </c>
      <c r="E1046">
        <v>0.15648977749999901</v>
      </c>
      <c r="F1046">
        <v>0.319841207499999</v>
      </c>
    </row>
    <row r="1047" spans="1:6" x14ac:dyDescent="0.2">
      <c r="A1047" t="s">
        <v>1903</v>
      </c>
      <c r="B1047" t="s">
        <v>750</v>
      </c>
      <c r="C1047" t="s">
        <v>751</v>
      </c>
      <c r="D1047">
        <v>0.32424655079999898</v>
      </c>
      <c r="E1047">
        <v>0.21972131750000001</v>
      </c>
      <c r="F1047">
        <v>0.44180473999999997</v>
      </c>
    </row>
    <row r="1048" spans="1:6" x14ac:dyDescent="0.2">
      <c r="A1048" t="s">
        <v>1904</v>
      </c>
      <c r="B1048" t="s">
        <v>912</v>
      </c>
      <c r="C1048" t="s">
        <v>913</v>
      </c>
      <c r="D1048">
        <v>1.1009249599999899E-2</v>
      </c>
      <c r="E1048">
        <v>5.3773199999999997E-3</v>
      </c>
      <c r="F1048">
        <v>2.08201875E-2</v>
      </c>
    </row>
    <row r="1049" spans="1:6" x14ac:dyDescent="0.2">
      <c r="A1049" t="s">
        <v>1905</v>
      </c>
      <c r="B1049" t="s">
        <v>747</v>
      </c>
      <c r="C1049" t="s">
        <v>748</v>
      </c>
      <c r="D1049">
        <v>0.114339967</v>
      </c>
      <c r="E1049">
        <v>7.7947084999999999E-2</v>
      </c>
      <c r="F1049">
        <v>0.15867681249999999</v>
      </c>
    </row>
    <row r="1050" spans="1:6" x14ac:dyDescent="0.2">
      <c r="A1050" t="s">
        <v>1906</v>
      </c>
      <c r="B1050" t="s">
        <v>750</v>
      </c>
      <c r="C1050" t="s">
        <v>751</v>
      </c>
      <c r="D1050">
        <v>0.32424655079999898</v>
      </c>
      <c r="E1050">
        <v>0.21972131750000001</v>
      </c>
      <c r="F1050">
        <v>0.44180473999999997</v>
      </c>
    </row>
    <row r="1051" spans="1:6" x14ac:dyDescent="0.2">
      <c r="A1051" t="s">
        <v>1907</v>
      </c>
      <c r="B1051" t="s">
        <v>703</v>
      </c>
      <c r="D1051">
        <v>0</v>
      </c>
      <c r="E1051">
        <v>0</v>
      </c>
      <c r="F1051">
        <v>0</v>
      </c>
    </row>
    <row r="1052" spans="1:6" x14ac:dyDescent="0.2">
      <c r="A1052" t="s">
        <v>1908</v>
      </c>
      <c r="B1052" t="s">
        <v>1909</v>
      </c>
      <c r="C1052" t="s">
        <v>653</v>
      </c>
      <c r="D1052">
        <v>0.41315467049409899</v>
      </c>
      <c r="E1052">
        <v>0.295660408323552</v>
      </c>
      <c r="F1052">
        <v>0.54146626963925204</v>
      </c>
    </row>
    <row r="1053" spans="1:6" x14ac:dyDescent="0.2">
      <c r="A1053" t="s">
        <v>1910</v>
      </c>
      <c r="B1053" t="s">
        <v>912</v>
      </c>
      <c r="C1053" t="s">
        <v>913</v>
      </c>
      <c r="D1053">
        <v>1.1009249599999899E-2</v>
      </c>
      <c r="E1053">
        <v>5.3773199999999997E-3</v>
      </c>
      <c r="F1053">
        <v>2.08201875E-2</v>
      </c>
    </row>
    <row r="1054" spans="1:6" x14ac:dyDescent="0.2">
      <c r="A1054" t="s">
        <v>1911</v>
      </c>
      <c r="B1054" t="s">
        <v>747</v>
      </c>
      <c r="C1054" t="s">
        <v>748</v>
      </c>
      <c r="D1054">
        <v>0.114339967</v>
      </c>
      <c r="E1054">
        <v>7.7947084999999999E-2</v>
      </c>
      <c r="F1054">
        <v>0.15867681249999999</v>
      </c>
    </row>
    <row r="1055" spans="1:6" x14ac:dyDescent="0.2">
      <c r="A1055" t="s">
        <v>1912</v>
      </c>
      <c r="B1055" t="s">
        <v>750</v>
      </c>
      <c r="C1055" t="s">
        <v>751</v>
      </c>
      <c r="D1055">
        <v>0.32424655079999898</v>
      </c>
      <c r="E1055">
        <v>0.21972131750000001</v>
      </c>
      <c r="F1055">
        <v>0.44180473999999997</v>
      </c>
    </row>
    <row r="1056" spans="1:6" x14ac:dyDescent="0.2">
      <c r="A1056" t="s">
        <v>1913</v>
      </c>
      <c r="B1056" t="s">
        <v>703</v>
      </c>
      <c r="D1056">
        <v>0</v>
      </c>
      <c r="E1056">
        <v>0</v>
      </c>
      <c r="F1056">
        <v>0</v>
      </c>
    </row>
    <row r="1057" spans="1:6" x14ac:dyDescent="0.2">
      <c r="A1057" t="s">
        <v>1914</v>
      </c>
      <c r="B1057" t="s">
        <v>769</v>
      </c>
    </row>
    <row r="1058" spans="1:6" x14ac:dyDescent="0.2">
      <c r="A1058" t="s">
        <v>1915</v>
      </c>
      <c r="B1058" t="s">
        <v>1916</v>
      </c>
      <c r="C1058" t="s">
        <v>1917</v>
      </c>
      <c r="D1058">
        <v>6.9140862800000105E-2</v>
      </c>
      <c r="E1058">
        <v>4.5942015000000003E-2</v>
      </c>
      <c r="F1058">
        <v>9.8852454999999895E-2</v>
      </c>
    </row>
    <row r="1059" spans="1:6" x14ac:dyDescent="0.2">
      <c r="A1059" t="s">
        <v>1918</v>
      </c>
      <c r="B1059" t="s">
        <v>1919</v>
      </c>
      <c r="C1059" t="s">
        <v>1920</v>
      </c>
      <c r="D1059">
        <v>0.376894274299999</v>
      </c>
      <c r="E1059">
        <v>0.25230419249999902</v>
      </c>
      <c r="F1059">
        <v>0.50846592999999995</v>
      </c>
    </row>
    <row r="1060" spans="1:6" x14ac:dyDescent="0.2">
      <c r="A1060" t="s">
        <v>1921</v>
      </c>
      <c r="B1060" t="s">
        <v>1922</v>
      </c>
      <c r="C1060" t="s">
        <v>1923</v>
      </c>
      <c r="D1060">
        <v>0.44857371099999999</v>
      </c>
      <c r="E1060">
        <v>0.30386179999999902</v>
      </c>
      <c r="F1060">
        <v>0.5945717425</v>
      </c>
    </row>
    <row r="1061" spans="1:6" x14ac:dyDescent="0.2">
      <c r="A1061" t="s">
        <v>1924</v>
      </c>
      <c r="B1061" t="s">
        <v>1925</v>
      </c>
      <c r="C1061" t="s">
        <v>1926</v>
      </c>
      <c r="D1061">
        <v>9.9332631000000008E-3</v>
      </c>
      <c r="E1061">
        <v>4.6514599999999996E-3</v>
      </c>
      <c r="F1061">
        <v>1.8654887499999901E-2</v>
      </c>
    </row>
    <row r="1062" spans="1:6" x14ac:dyDescent="0.2">
      <c r="A1062" t="s">
        <v>1927</v>
      </c>
      <c r="B1062" t="s">
        <v>1928</v>
      </c>
      <c r="C1062" t="s">
        <v>1929</v>
      </c>
      <c r="D1062">
        <v>0.26717850450000002</v>
      </c>
      <c r="E1062">
        <v>0.1808180375</v>
      </c>
      <c r="F1062">
        <v>0.37216054999999898</v>
      </c>
    </row>
    <row r="1063" spans="1:6" x14ac:dyDescent="0.2">
      <c r="A1063" t="s">
        <v>1930</v>
      </c>
      <c r="B1063" t="s">
        <v>1931</v>
      </c>
      <c r="C1063" t="s">
        <v>1932</v>
      </c>
      <c r="D1063">
        <v>0.5750796266</v>
      </c>
      <c r="E1063">
        <v>0.39633856749999902</v>
      </c>
      <c r="F1063">
        <v>0.72976189999999996</v>
      </c>
    </row>
    <row r="1064" spans="1:6" x14ac:dyDescent="0.2">
      <c r="A1064" t="s">
        <v>1933</v>
      </c>
      <c r="B1064" t="s">
        <v>916</v>
      </c>
      <c r="C1064" t="s">
        <v>917</v>
      </c>
      <c r="D1064">
        <v>4.9011414699999999E-2</v>
      </c>
      <c r="E1064">
        <v>3.1121342499999899E-2</v>
      </c>
      <c r="F1064">
        <v>7.2092547499999896E-2</v>
      </c>
    </row>
    <row r="1065" spans="1:6" x14ac:dyDescent="0.2">
      <c r="A1065" t="s">
        <v>1934</v>
      </c>
      <c r="B1065" t="s">
        <v>1935</v>
      </c>
      <c r="C1065" t="s">
        <v>1936</v>
      </c>
      <c r="D1065">
        <v>0.55204620309999897</v>
      </c>
      <c r="E1065">
        <v>0.37471601500000001</v>
      </c>
      <c r="F1065">
        <v>0.70989246249999904</v>
      </c>
    </row>
    <row r="1066" spans="1:6" x14ac:dyDescent="0.2">
      <c r="A1066" t="s">
        <v>1937</v>
      </c>
      <c r="B1066" t="s">
        <v>1938</v>
      </c>
      <c r="C1066" t="s">
        <v>1939</v>
      </c>
      <c r="D1066">
        <v>0.26264340330000002</v>
      </c>
      <c r="E1066">
        <v>0.17259901749999901</v>
      </c>
      <c r="F1066">
        <v>0.36716414999999902</v>
      </c>
    </row>
    <row r="1067" spans="1:6" x14ac:dyDescent="0.2">
      <c r="A1067" t="s">
        <v>1940</v>
      </c>
      <c r="B1067" t="s">
        <v>1941</v>
      </c>
      <c r="C1067" t="s">
        <v>1942</v>
      </c>
      <c r="D1067">
        <v>0.182609825</v>
      </c>
      <c r="E1067">
        <v>0.12391970499999901</v>
      </c>
      <c r="F1067">
        <v>0.25294912999999902</v>
      </c>
    </row>
    <row r="1068" spans="1:6" x14ac:dyDescent="0.2">
      <c r="A1068" t="s">
        <v>1943</v>
      </c>
      <c r="B1068" t="s">
        <v>1944</v>
      </c>
      <c r="C1068" t="s">
        <v>1945</v>
      </c>
      <c r="D1068">
        <v>0.46343990660000001</v>
      </c>
      <c r="E1068">
        <v>0.31301274499999998</v>
      </c>
      <c r="F1068">
        <v>0.61252606750000005</v>
      </c>
    </row>
    <row r="1069" spans="1:6" x14ac:dyDescent="0.2">
      <c r="A1069" t="s">
        <v>1946</v>
      </c>
      <c r="B1069" t="s">
        <v>1947</v>
      </c>
      <c r="C1069" t="s">
        <v>1948</v>
      </c>
      <c r="D1069">
        <v>0.71900591319999796</v>
      </c>
      <c r="E1069">
        <v>0.53431607749999999</v>
      </c>
      <c r="F1069">
        <v>0.85807250749999997</v>
      </c>
    </row>
    <row r="1070" spans="1:6" x14ac:dyDescent="0.2">
      <c r="A1070" t="s">
        <v>1949</v>
      </c>
      <c r="B1070" t="s">
        <v>703</v>
      </c>
      <c r="D1070">
        <v>0</v>
      </c>
      <c r="E1070">
        <v>0</v>
      </c>
      <c r="F1070">
        <v>0</v>
      </c>
    </row>
    <row r="1071" spans="1:6" x14ac:dyDescent="0.2">
      <c r="A1071" t="s">
        <v>1950</v>
      </c>
      <c r="B1071" t="s">
        <v>945</v>
      </c>
      <c r="C1071" t="s">
        <v>946</v>
      </c>
      <c r="D1071">
        <v>1.9316720799999899E-2</v>
      </c>
      <c r="E1071">
        <v>1.06353925E-2</v>
      </c>
      <c r="F1071">
        <v>3.2722879999999899E-2</v>
      </c>
    </row>
    <row r="1072" spans="1:6" x14ac:dyDescent="0.2">
      <c r="A1072" t="s">
        <v>1951</v>
      </c>
      <c r="B1072" t="s">
        <v>1010</v>
      </c>
      <c r="C1072" t="s">
        <v>1011</v>
      </c>
      <c r="D1072">
        <v>0.22517170789999999</v>
      </c>
      <c r="E1072">
        <v>0.15291988000000001</v>
      </c>
      <c r="F1072">
        <v>0.30972899249999902</v>
      </c>
    </row>
    <row r="1073" spans="1:6" x14ac:dyDescent="0.2">
      <c r="A1073" t="s">
        <v>1952</v>
      </c>
      <c r="B1073" t="s">
        <v>1013</v>
      </c>
      <c r="C1073" t="s">
        <v>1014</v>
      </c>
      <c r="D1073">
        <v>0.40785797679999902</v>
      </c>
      <c r="E1073">
        <v>0.273411367499999</v>
      </c>
      <c r="F1073">
        <v>0.55565908499999905</v>
      </c>
    </row>
    <row r="1074" spans="1:6" x14ac:dyDescent="0.2">
      <c r="A1074" t="s">
        <v>1953</v>
      </c>
      <c r="B1074" t="s">
        <v>673</v>
      </c>
      <c r="C1074" t="s">
        <v>674</v>
      </c>
      <c r="D1074">
        <v>1.24408307999999E-2</v>
      </c>
      <c r="E1074">
        <v>6.1947475000000002E-3</v>
      </c>
      <c r="F1074">
        <v>2.2708942499999999E-2</v>
      </c>
    </row>
    <row r="1075" spans="1:6" x14ac:dyDescent="0.2">
      <c r="A1075" t="s">
        <v>1954</v>
      </c>
      <c r="B1075" t="s">
        <v>1376</v>
      </c>
      <c r="C1075" t="s">
        <v>1377</v>
      </c>
      <c r="D1075">
        <v>5.1099214300000001E-2</v>
      </c>
      <c r="E1075">
        <v>3.2206930000000002E-2</v>
      </c>
      <c r="F1075">
        <v>7.8285442499999996E-2</v>
      </c>
    </row>
    <row r="1076" spans="1:6" x14ac:dyDescent="0.2">
      <c r="A1076" t="s">
        <v>1955</v>
      </c>
      <c r="B1076" t="s">
        <v>1073</v>
      </c>
      <c r="C1076" t="s">
        <v>1074</v>
      </c>
      <c r="D1076">
        <v>1.0140717400000001E-2</v>
      </c>
      <c r="E1076">
        <v>4.8555075E-3</v>
      </c>
      <c r="F1076">
        <v>1.933766E-2</v>
      </c>
    </row>
    <row r="1077" spans="1:6" x14ac:dyDescent="0.2">
      <c r="A1077" t="s">
        <v>1956</v>
      </c>
      <c r="B1077" t="s">
        <v>868</v>
      </c>
      <c r="C1077" t="s">
        <v>869</v>
      </c>
      <c r="D1077">
        <v>6.08338594999999E-2</v>
      </c>
      <c r="E1077">
        <v>3.9587362499999897E-2</v>
      </c>
      <c r="F1077">
        <v>8.9085129999999998E-2</v>
      </c>
    </row>
    <row r="1078" spans="1:6" x14ac:dyDescent="0.2">
      <c r="A1078" t="s">
        <v>1957</v>
      </c>
      <c r="B1078" t="s">
        <v>877</v>
      </c>
      <c r="C1078" t="s">
        <v>878</v>
      </c>
      <c r="D1078">
        <v>0.40161053799999902</v>
      </c>
      <c r="E1078">
        <v>0.2682705675</v>
      </c>
      <c r="F1078">
        <v>0.54533271750000001</v>
      </c>
    </row>
    <row r="1079" spans="1:6" x14ac:dyDescent="0.2">
      <c r="A1079" t="s">
        <v>1958</v>
      </c>
      <c r="B1079" t="s">
        <v>1959</v>
      </c>
      <c r="C1079" t="s">
        <v>1960</v>
      </c>
      <c r="D1079">
        <v>7.8764905625096901E-2</v>
      </c>
      <c r="E1079">
        <v>4.8663477737076397E-2</v>
      </c>
      <c r="F1079">
        <v>0.122623736954969</v>
      </c>
    </row>
    <row r="1080" spans="1:6" x14ac:dyDescent="0.2">
      <c r="A1080" t="s">
        <v>1961</v>
      </c>
      <c r="B1080" t="s">
        <v>1962</v>
      </c>
      <c r="C1080" t="s">
        <v>1960</v>
      </c>
      <c r="D1080">
        <v>0.27194667612846202</v>
      </c>
      <c r="E1080">
        <v>0.19129989923224799</v>
      </c>
      <c r="F1080">
        <v>0.36938409500894398</v>
      </c>
    </row>
    <row r="1081" spans="1:6" x14ac:dyDescent="0.2">
      <c r="A1081" t="s">
        <v>1963</v>
      </c>
      <c r="B1081" t="s">
        <v>1964</v>
      </c>
      <c r="C1081" t="s">
        <v>653</v>
      </c>
      <c r="D1081">
        <v>0.443565566341036</v>
      </c>
      <c r="E1081">
        <v>0.31093591832824402</v>
      </c>
      <c r="F1081">
        <v>0.584690698623473</v>
      </c>
    </row>
    <row r="1082" spans="1:6" x14ac:dyDescent="0.2">
      <c r="A1082" t="s">
        <v>1965</v>
      </c>
      <c r="B1082" t="s">
        <v>1966</v>
      </c>
      <c r="C1082" t="s">
        <v>653</v>
      </c>
      <c r="D1082">
        <v>0.12581925310269099</v>
      </c>
      <c r="E1082">
        <v>8.1201570872260695E-2</v>
      </c>
      <c r="F1082">
        <v>0.183475407904578</v>
      </c>
    </row>
    <row r="1083" spans="1:6" x14ac:dyDescent="0.2">
      <c r="A1083" t="s">
        <v>1967</v>
      </c>
      <c r="B1083" t="s">
        <v>1968</v>
      </c>
      <c r="C1083" t="s">
        <v>653</v>
      </c>
      <c r="D1083">
        <v>0.30884249779780698</v>
      </c>
      <c r="E1083">
        <v>0.22088137303779701</v>
      </c>
      <c r="F1083">
        <v>0.41422743134332102</v>
      </c>
    </row>
    <row r="1084" spans="1:6" x14ac:dyDescent="0.2">
      <c r="A1084" t="s">
        <v>1969</v>
      </c>
      <c r="B1084" t="s">
        <v>1970</v>
      </c>
      <c r="C1084" t="s">
        <v>653</v>
      </c>
      <c r="D1084">
        <v>0.47155621845991302</v>
      </c>
      <c r="E1084">
        <v>0.33873304421727601</v>
      </c>
      <c r="F1084">
        <v>0.611451232672099</v>
      </c>
    </row>
    <row r="1085" spans="1:6" x14ac:dyDescent="0.2">
      <c r="A1085" t="s">
        <v>1971</v>
      </c>
      <c r="B1085" t="s">
        <v>1972</v>
      </c>
      <c r="C1085" t="s">
        <v>653</v>
      </c>
      <c r="D1085">
        <v>0.44286049639654201</v>
      </c>
      <c r="E1085">
        <v>0.31577739553200301</v>
      </c>
      <c r="F1085">
        <v>0.58016539795490096</v>
      </c>
    </row>
    <row r="1086" spans="1:6" x14ac:dyDescent="0.2">
      <c r="A1086" t="s">
        <v>1973</v>
      </c>
      <c r="B1086" t="s">
        <v>1974</v>
      </c>
      <c r="C1086" t="s">
        <v>653</v>
      </c>
      <c r="D1086">
        <v>0.55714618590433096</v>
      </c>
      <c r="E1086">
        <v>0.41200130401742602</v>
      </c>
      <c r="F1086">
        <v>0.70459934072859498</v>
      </c>
    </row>
    <row r="1087" spans="1:6" x14ac:dyDescent="0.2">
      <c r="A1087" t="s">
        <v>1975</v>
      </c>
      <c r="B1087" t="s">
        <v>1976</v>
      </c>
      <c r="C1087" t="s">
        <v>653</v>
      </c>
      <c r="D1087">
        <v>0.65895709276288195</v>
      </c>
      <c r="E1087">
        <v>0.49479022890624402</v>
      </c>
      <c r="F1087">
        <v>0.80859887848198897</v>
      </c>
    </row>
    <row r="1088" spans="1:6" x14ac:dyDescent="0.2">
      <c r="A1088" t="s">
        <v>1977</v>
      </c>
      <c r="B1088" t="s">
        <v>1978</v>
      </c>
      <c r="C1088" t="s">
        <v>653</v>
      </c>
      <c r="D1088">
        <v>7.8920772921122706E-2</v>
      </c>
      <c r="E1088">
        <v>4.9995998928436501E-2</v>
      </c>
      <c r="F1088">
        <v>0.117186461819624</v>
      </c>
    </row>
    <row r="1089" spans="1:6" x14ac:dyDescent="0.2">
      <c r="A1089" t="s">
        <v>1979</v>
      </c>
      <c r="B1089" t="s">
        <v>1980</v>
      </c>
      <c r="C1089" t="s">
        <v>653</v>
      </c>
      <c r="D1089">
        <v>0.271968441488603</v>
      </c>
      <c r="E1089">
        <v>0.19027513752534</v>
      </c>
      <c r="F1089">
        <v>0.37134885916350802</v>
      </c>
    </row>
    <row r="1090" spans="1:6" x14ac:dyDescent="0.2">
      <c r="A1090" t="s">
        <v>1981</v>
      </c>
      <c r="B1090" t="s">
        <v>1982</v>
      </c>
      <c r="C1090" t="s">
        <v>653</v>
      </c>
      <c r="D1090">
        <v>0.44345423673200801</v>
      </c>
      <c r="E1090">
        <v>0.31102800615583798</v>
      </c>
      <c r="F1090">
        <v>0.58679152399257295</v>
      </c>
    </row>
    <row r="1091" spans="1:6" x14ac:dyDescent="0.2">
      <c r="A1091" t="s">
        <v>1983</v>
      </c>
      <c r="B1091" t="s">
        <v>1984</v>
      </c>
      <c r="C1091" t="s">
        <v>653</v>
      </c>
      <c r="D1091">
        <v>2.92410928701262E-2</v>
      </c>
      <c r="E1091">
        <v>1.53874362434284E-2</v>
      </c>
      <c r="F1091">
        <v>5.1386416061089797E-2</v>
      </c>
    </row>
    <row r="1092" spans="1:6" x14ac:dyDescent="0.2">
      <c r="A1092" t="s">
        <v>1985</v>
      </c>
      <c r="B1092" t="s">
        <v>1986</v>
      </c>
      <c r="C1092" t="s">
        <v>653</v>
      </c>
      <c r="D1092">
        <v>0.23302564013346899</v>
      </c>
      <c r="E1092">
        <v>0.160335862492891</v>
      </c>
      <c r="F1092">
        <v>0.32164570705807699</v>
      </c>
    </row>
    <row r="1093" spans="1:6" x14ac:dyDescent="0.2">
      <c r="A1093" t="s">
        <v>1987</v>
      </c>
      <c r="B1093" t="s">
        <v>1988</v>
      </c>
      <c r="C1093" t="s">
        <v>653</v>
      </c>
      <c r="D1093">
        <v>0.41391546225915998</v>
      </c>
      <c r="E1093">
        <v>0.28067362469891799</v>
      </c>
      <c r="F1093">
        <v>0.558853484347133</v>
      </c>
    </row>
    <row r="1094" spans="1:6" x14ac:dyDescent="0.2">
      <c r="A1094" t="s">
        <v>1989</v>
      </c>
      <c r="B1094" t="s">
        <v>1990</v>
      </c>
      <c r="C1094" t="s">
        <v>653</v>
      </c>
      <c r="D1094">
        <v>0.41318282536249301</v>
      </c>
      <c r="E1094">
        <v>0.28636253734766798</v>
      </c>
      <c r="F1094">
        <v>0.55331692552463796</v>
      </c>
    </row>
    <row r="1095" spans="1:6" x14ac:dyDescent="0.2">
      <c r="A1095" t="s">
        <v>1991</v>
      </c>
      <c r="B1095" t="s">
        <v>1992</v>
      </c>
      <c r="C1095" t="s">
        <v>653</v>
      </c>
      <c r="D1095">
        <v>0.53368160527460795</v>
      </c>
      <c r="E1095">
        <v>0.38171993619239702</v>
      </c>
      <c r="F1095">
        <v>0.68466262623824803</v>
      </c>
    </row>
    <row r="1096" spans="1:6" x14ac:dyDescent="0.2">
      <c r="A1096" t="s">
        <v>1993</v>
      </c>
      <c r="B1096" t="s">
        <v>1994</v>
      </c>
      <c r="C1096" t="s">
        <v>653</v>
      </c>
      <c r="D1096">
        <v>0.64094052015859504</v>
      </c>
      <c r="E1096">
        <v>0.46992415146824201</v>
      </c>
      <c r="F1096">
        <v>0.79570006234201396</v>
      </c>
    </row>
    <row r="1097" spans="1:6" x14ac:dyDescent="0.2">
      <c r="A1097" t="s">
        <v>1995</v>
      </c>
      <c r="B1097" t="s">
        <v>1996</v>
      </c>
      <c r="C1097" t="s">
        <v>653</v>
      </c>
      <c r="D1097">
        <v>6.0690442305248303E-2</v>
      </c>
      <c r="E1097">
        <v>3.8182753096799499E-2</v>
      </c>
      <c r="F1097">
        <v>9.3738389042959905E-2</v>
      </c>
    </row>
    <row r="1098" spans="1:6" x14ac:dyDescent="0.2">
      <c r="A1098" t="s">
        <v>1997</v>
      </c>
      <c r="B1098" t="s">
        <v>1998</v>
      </c>
      <c r="C1098" t="s">
        <v>653</v>
      </c>
      <c r="D1098">
        <v>0.108701888263253</v>
      </c>
      <c r="E1098">
        <v>7.1110276457107005E-2</v>
      </c>
      <c r="F1098">
        <v>0.15844216347568199</v>
      </c>
    </row>
    <row r="1099" spans="1:6" x14ac:dyDescent="0.2">
      <c r="A1099" t="s">
        <v>1999</v>
      </c>
      <c r="B1099" t="s">
        <v>2000</v>
      </c>
      <c r="C1099" t="s">
        <v>653</v>
      </c>
      <c r="D1099">
        <v>0.43190511844812601</v>
      </c>
      <c r="E1099">
        <v>0.30562227798424002</v>
      </c>
      <c r="F1099">
        <v>0.57203641618130796</v>
      </c>
    </row>
    <row r="1100" spans="1:6" x14ac:dyDescent="0.2">
      <c r="A1100" t="s">
        <v>2001</v>
      </c>
      <c r="B1100" t="s">
        <v>2002</v>
      </c>
      <c r="C1100" t="s">
        <v>653</v>
      </c>
      <c r="D1100">
        <v>6.9377639934992505E-2</v>
      </c>
      <c r="E1100">
        <v>4.3355807143292603E-2</v>
      </c>
      <c r="F1100">
        <v>0.105834373346083</v>
      </c>
    </row>
    <row r="1101" spans="1:6" x14ac:dyDescent="0.2">
      <c r="A1101" t="s">
        <v>2003</v>
      </c>
      <c r="B1101" t="s">
        <v>2004</v>
      </c>
      <c r="C1101" t="s">
        <v>653</v>
      </c>
      <c r="D1101">
        <v>0.26451581289243897</v>
      </c>
      <c r="E1101">
        <v>0.18446623517521199</v>
      </c>
      <c r="F1101">
        <v>0.35992395111719599</v>
      </c>
    </row>
    <row r="1102" spans="1:6" x14ac:dyDescent="0.2">
      <c r="A1102" t="s">
        <v>2005</v>
      </c>
      <c r="B1102" t="s">
        <v>2006</v>
      </c>
      <c r="C1102" t="s">
        <v>653</v>
      </c>
      <c r="D1102">
        <v>0.437833754046273</v>
      </c>
      <c r="E1102">
        <v>0.30371538651539298</v>
      </c>
      <c r="F1102">
        <v>0.58136282137177198</v>
      </c>
    </row>
    <row r="1103" spans="1:6" x14ac:dyDescent="0.2">
      <c r="A1103" t="s">
        <v>2007</v>
      </c>
      <c r="B1103" t="s">
        <v>2008</v>
      </c>
      <c r="C1103" t="s">
        <v>2009</v>
      </c>
      <c r="D1103">
        <v>0.22292573089999901</v>
      </c>
      <c r="E1103">
        <v>0.14620601999999999</v>
      </c>
      <c r="F1103">
        <v>0.31334106499999997</v>
      </c>
    </row>
    <row r="1104" spans="1:6" x14ac:dyDescent="0.2">
      <c r="A1104" t="s">
        <v>2010</v>
      </c>
      <c r="B1104" t="s">
        <v>703</v>
      </c>
      <c r="D1104">
        <v>0</v>
      </c>
      <c r="E1104">
        <v>0</v>
      </c>
      <c r="F1104">
        <v>0</v>
      </c>
    </row>
    <row r="1105" spans="1:6" x14ac:dyDescent="0.2">
      <c r="A1105" t="s">
        <v>2011</v>
      </c>
      <c r="B1105" t="s">
        <v>2012</v>
      </c>
      <c r="C1105" t="s">
        <v>2013</v>
      </c>
      <c r="D1105">
        <v>0.44054686399999998</v>
      </c>
      <c r="E1105">
        <v>0.2943653275</v>
      </c>
      <c r="F1105">
        <v>0.58753633500000002</v>
      </c>
    </row>
    <row r="1106" spans="1:6" x14ac:dyDescent="0.2">
      <c r="A1106" t="s">
        <v>2014</v>
      </c>
      <c r="B1106" t="s">
        <v>2012</v>
      </c>
      <c r="C1106" t="s">
        <v>2013</v>
      </c>
      <c r="D1106">
        <v>0.44054686399999998</v>
      </c>
      <c r="E1106">
        <v>0.2943653275</v>
      </c>
      <c r="F1106">
        <v>0.58753633500000002</v>
      </c>
    </row>
    <row r="1107" spans="1:6" x14ac:dyDescent="0.2">
      <c r="A1107" t="s">
        <v>2015</v>
      </c>
      <c r="B1107" t="s">
        <v>703</v>
      </c>
      <c r="D1107">
        <v>0</v>
      </c>
      <c r="E1107">
        <v>0</v>
      </c>
      <c r="F1107">
        <v>0</v>
      </c>
    </row>
    <row r="1108" spans="1:6" x14ac:dyDescent="0.2">
      <c r="A1108" t="s">
        <v>2016</v>
      </c>
      <c r="B1108" t="s">
        <v>703</v>
      </c>
      <c r="D1108">
        <v>0</v>
      </c>
      <c r="E1108">
        <v>0</v>
      </c>
      <c r="F1108">
        <v>0</v>
      </c>
    </row>
    <row r="1109" spans="1:6" x14ac:dyDescent="0.2">
      <c r="A1109" t="s">
        <v>2017</v>
      </c>
      <c r="B1109" t="s">
        <v>2008</v>
      </c>
      <c r="C1109" t="s">
        <v>2009</v>
      </c>
      <c r="D1109">
        <v>0.22292573089999901</v>
      </c>
      <c r="E1109">
        <v>0.14620601999999999</v>
      </c>
      <c r="F1109">
        <v>0.31334106499999997</v>
      </c>
    </row>
    <row r="1110" spans="1:6" x14ac:dyDescent="0.2">
      <c r="A1110" t="s">
        <v>2018</v>
      </c>
      <c r="B1110" t="s">
        <v>703</v>
      </c>
      <c r="D1110">
        <v>0</v>
      </c>
      <c r="E1110">
        <v>0</v>
      </c>
      <c r="F1110">
        <v>0</v>
      </c>
    </row>
    <row r="1111" spans="1:6" x14ac:dyDescent="0.2">
      <c r="A1111" t="s">
        <v>2019</v>
      </c>
      <c r="B1111" t="s">
        <v>2020</v>
      </c>
      <c r="C1111" t="s">
        <v>2021</v>
      </c>
      <c r="D1111">
        <v>3.72188569E-2</v>
      </c>
      <c r="E1111">
        <v>2.2438119999999999E-2</v>
      </c>
      <c r="F1111">
        <v>5.7201617499999899E-2</v>
      </c>
    </row>
    <row r="1112" spans="1:6" x14ac:dyDescent="0.2">
      <c r="A1112" t="s">
        <v>2022</v>
      </c>
      <c r="B1112" t="s">
        <v>2020</v>
      </c>
      <c r="C1112" t="s">
        <v>2021</v>
      </c>
      <c r="D1112">
        <v>3.72188569E-2</v>
      </c>
      <c r="E1112">
        <v>2.2438119999999999E-2</v>
      </c>
      <c r="F1112">
        <v>5.7201617499999899E-2</v>
      </c>
    </row>
    <row r="1113" spans="1:6" x14ac:dyDescent="0.2">
      <c r="A1113" t="s">
        <v>2023</v>
      </c>
      <c r="B1113" t="s">
        <v>703</v>
      </c>
      <c r="D1113">
        <v>0</v>
      </c>
      <c r="E1113">
        <v>0</v>
      </c>
      <c r="F1113">
        <v>0</v>
      </c>
    </row>
    <row r="1114" spans="1:6" x14ac:dyDescent="0.2">
      <c r="A1114" t="s">
        <v>2024</v>
      </c>
      <c r="B1114" t="s">
        <v>703</v>
      </c>
      <c r="D1114">
        <v>0</v>
      </c>
      <c r="E1114">
        <v>0</v>
      </c>
      <c r="F1114">
        <v>0</v>
      </c>
    </row>
    <row r="1115" spans="1:6" x14ac:dyDescent="0.2">
      <c r="A1115" t="s">
        <v>2025</v>
      </c>
      <c r="B1115" t="s">
        <v>777</v>
      </c>
      <c r="C1115" t="s">
        <v>778</v>
      </c>
      <c r="D1115">
        <v>0.29616484669999898</v>
      </c>
      <c r="E1115">
        <v>0.19813263</v>
      </c>
      <c r="F1115">
        <v>0.41379708999999998</v>
      </c>
    </row>
    <row r="1116" spans="1:6" x14ac:dyDescent="0.2">
      <c r="A1116" t="s">
        <v>2026</v>
      </c>
      <c r="B1116" t="s">
        <v>769</v>
      </c>
    </row>
    <row r="1117" spans="1:6" x14ac:dyDescent="0.2">
      <c r="A1117" t="s">
        <v>2027</v>
      </c>
      <c r="B1117" t="s">
        <v>2028</v>
      </c>
      <c r="C1117" t="s">
        <v>2029</v>
      </c>
      <c r="D1117">
        <v>0.77799240790000002</v>
      </c>
      <c r="E1117">
        <v>0.605936645</v>
      </c>
      <c r="F1117">
        <v>0.90049942500000002</v>
      </c>
    </row>
    <row r="1118" spans="1:6" x14ac:dyDescent="0.2">
      <c r="A1118" t="s">
        <v>2030</v>
      </c>
      <c r="B1118" t="s">
        <v>2031</v>
      </c>
      <c r="C1118" t="s">
        <v>2032</v>
      </c>
      <c r="D1118">
        <v>0.5881977008</v>
      </c>
      <c r="E1118">
        <v>0.41060369250000001</v>
      </c>
      <c r="F1118">
        <v>0.75397924499999902</v>
      </c>
    </row>
    <row r="1119" spans="1:6" x14ac:dyDescent="0.2">
      <c r="A1119" t="s">
        <v>2033</v>
      </c>
      <c r="B1119" t="s">
        <v>2034</v>
      </c>
      <c r="C1119" t="s">
        <v>2035</v>
      </c>
      <c r="D1119">
        <v>0.14543561960000001</v>
      </c>
      <c r="E1119">
        <v>9.9171132499999995E-2</v>
      </c>
      <c r="F1119">
        <v>0.20859185499999899</v>
      </c>
    </row>
    <row r="1120" spans="1:6" x14ac:dyDescent="0.2">
      <c r="A1120" t="s">
        <v>2036</v>
      </c>
      <c r="B1120" t="s">
        <v>2037</v>
      </c>
      <c r="C1120" t="s">
        <v>2038</v>
      </c>
      <c r="D1120">
        <v>0.39618702020000002</v>
      </c>
      <c r="E1120">
        <v>0.26690283999999997</v>
      </c>
      <c r="F1120">
        <v>0.53076130749999995</v>
      </c>
    </row>
    <row r="1121" spans="1:6" x14ac:dyDescent="0.2">
      <c r="A1121" t="s">
        <v>2039</v>
      </c>
      <c r="B1121" t="s">
        <v>2040</v>
      </c>
      <c r="C1121" t="s">
        <v>2041</v>
      </c>
      <c r="D1121">
        <v>0.65832883580000001</v>
      </c>
      <c r="E1121">
        <v>0.47654729999999901</v>
      </c>
      <c r="F1121">
        <v>0.80682708250000001</v>
      </c>
    </row>
    <row r="1122" spans="1:6" x14ac:dyDescent="0.2">
      <c r="A1122" t="s">
        <v>2042</v>
      </c>
      <c r="B1122" t="s">
        <v>703</v>
      </c>
      <c r="D1122">
        <v>0</v>
      </c>
      <c r="E1122">
        <v>0</v>
      </c>
      <c r="F1122">
        <v>0</v>
      </c>
    </row>
    <row r="1123" spans="1:6" x14ac:dyDescent="0.2">
      <c r="A1123" t="s">
        <v>2043</v>
      </c>
      <c r="B1123" t="s">
        <v>2034</v>
      </c>
      <c r="C1123" t="s">
        <v>2035</v>
      </c>
      <c r="D1123">
        <v>0.14543561960000001</v>
      </c>
      <c r="E1123">
        <v>9.9171132499999995E-2</v>
      </c>
      <c r="F1123">
        <v>0.20859185499999899</v>
      </c>
    </row>
    <row r="1124" spans="1:6" x14ac:dyDescent="0.2">
      <c r="A1124" t="s">
        <v>2044</v>
      </c>
      <c r="B1124" t="s">
        <v>703</v>
      </c>
      <c r="D1124">
        <v>0</v>
      </c>
      <c r="E1124">
        <v>0</v>
      </c>
      <c r="F1124">
        <v>0</v>
      </c>
    </row>
    <row r="1125" spans="1:6" x14ac:dyDescent="0.2">
      <c r="A1125" t="s">
        <v>2045</v>
      </c>
      <c r="B1125" t="s">
        <v>2037</v>
      </c>
      <c r="C1125" t="s">
        <v>2038</v>
      </c>
      <c r="D1125">
        <v>0.39618702020000002</v>
      </c>
      <c r="E1125">
        <v>0.26690283999999997</v>
      </c>
      <c r="F1125">
        <v>0.53076130749999995</v>
      </c>
    </row>
    <row r="1126" spans="1:6" x14ac:dyDescent="0.2">
      <c r="A1126" t="s">
        <v>2046</v>
      </c>
      <c r="B1126" t="s">
        <v>2047</v>
      </c>
      <c r="C1126" t="s">
        <v>2048</v>
      </c>
      <c r="D1126">
        <v>0.49235885059999901</v>
      </c>
      <c r="E1126">
        <v>0.34078473500000001</v>
      </c>
      <c r="F1126">
        <v>0.64572363499999996</v>
      </c>
    </row>
    <row r="1127" spans="1:6" x14ac:dyDescent="0.2">
      <c r="A1127" t="s">
        <v>2049</v>
      </c>
      <c r="B1127" t="s">
        <v>2050</v>
      </c>
      <c r="C1127" t="s">
        <v>2051</v>
      </c>
      <c r="D1127">
        <v>3.1955227199999998E-2</v>
      </c>
      <c r="E1127">
        <v>1.8383762500000001E-2</v>
      </c>
      <c r="F1127">
        <v>5.1269080000000002E-2</v>
      </c>
    </row>
    <row r="1128" spans="1:6" x14ac:dyDescent="0.2">
      <c r="A1128" t="s">
        <v>2052</v>
      </c>
      <c r="B1128" t="s">
        <v>2053</v>
      </c>
      <c r="C1128" t="s">
        <v>2054</v>
      </c>
      <c r="D1128">
        <v>2.9604146099999899E-2</v>
      </c>
      <c r="E1128">
        <v>1.7732627500000001E-2</v>
      </c>
      <c r="F1128">
        <v>4.6146154999999897E-2</v>
      </c>
    </row>
    <row r="1129" spans="1:6" x14ac:dyDescent="0.2">
      <c r="A1129" t="s">
        <v>2055</v>
      </c>
      <c r="B1129" t="s">
        <v>2056</v>
      </c>
      <c r="C1129" t="s">
        <v>2057</v>
      </c>
      <c r="D1129">
        <v>0.133407369</v>
      </c>
      <c r="E1129">
        <v>9.0866207500000004E-2</v>
      </c>
      <c r="F1129">
        <v>0.18649768</v>
      </c>
    </row>
    <row r="1130" spans="1:6" x14ac:dyDescent="0.2">
      <c r="A1130" t="s">
        <v>2058</v>
      </c>
      <c r="B1130" t="s">
        <v>2059</v>
      </c>
      <c r="C1130" t="s">
        <v>2060</v>
      </c>
      <c r="D1130">
        <v>0.52330540149999905</v>
      </c>
      <c r="E1130">
        <v>0.36166202999999902</v>
      </c>
      <c r="F1130">
        <v>0.67660477750000003</v>
      </c>
    </row>
    <row r="1131" spans="1:6" x14ac:dyDescent="0.2">
      <c r="A1131" t="s">
        <v>2061</v>
      </c>
      <c r="B1131" t="s">
        <v>703</v>
      </c>
      <c r="D1131">
        <v>0</v>
      </c>
      <c r="E1131">
        <v>0</v>
      </c>
      <c r="F1131">
        <v>0</v>
      </c>
    </row>
    <row r="1132" spans="1:6" x14ac:dyDescent="0.2">
      <c r="A1132" t="s">
        <v>2062</v>
      </c>
      <c r="B1132" t="s">
        <v>2062</v>
      </c>
      <c r="C1132" t="s">
        <v>2063</v>
      </c>
      <c r="D1132">
        <v>0.224482824</v>
      </c>
      <c r="E1132">
        <v>0.14994429249999999</v>
      </c>
      <c r="F1132">
        <v>0.312258499999999</v>
      </c>
    </row>
    <row r="1133" spans="1:6" x14ac:dyDescent="0.2">
      <c r="A1133" t="s">
        <v>2064</v>
      </c>
      <c r="B1133" t="s">
        <v>2065</v>
      </c>
      <c r="C1133" t="s">
        <v>2066</v>
      </c>
      <c r="D1133">
        <v>0.22314699590000001</v>
      </c>
      <c r="E1133">
        <v>0.149430375</v>
      </c>
      <c r="F1133">
        <v>0.310534854999999</v>
      </c>
    </row>
    <row r="1134" spans="1:6" x14ac:dyDescent="0.2">
      <c r="A1134" t="s">
        <v>2067</v>
      </c>
      <c r="B1134" t="s">
        <v>2068</v>
      </c>
      <c r="C1134" t="s">
        <v>653</v>
      </c>
      <c r="D1134">
        <v>0.16935979797799999</v>
      </c>
      <c r="E1134">
        <v>0.114169075425</v>
      </c>
      <c r="F1134">
        <v>0.23570939590000001</v>
      </c>
    </row>
    <row r="1135" spans="1:6" x14ac:dyDescent="0.2">
      <c r="A1135" t="s">
        <v>2069</v>
      </c>
      <c r="B1135" t="s">
        <v>2070</v>
      </c>
      <c r="C1135" t="s">
        <v>653</v>
      </c>
      <c r="D1135">
        <v>0.17832859034199999</v>
      </c>
      <c r="E1135">
        <v>0.12288279552499901</v>
      </c>
      <c r="F1135">
        <v>0.24382341094999899</v>
      </c>
    </row>
    <row r="1136" spans="1:6" x14ac:dyDescent="0.2">
      <c r="A1136" t="s">
        <v>2071</v>
      </c>
      <c r="B1136" t="s">
        <v>2072</v>
      </c>
      <c r="C1136" t="s">
        <v>653</v>
      </c>
      <c r="D1136">
        <v>0.20471894650299999</v>
      </c>
      <c r="E1136">
        <v>0.1488211783</v>
      </c>
      <c r="F1136">
        <v>0.27270425129999998</v>
      </c>
    </row>
    <row r="1137" spans="1:6" x14ac:dyDescent="0.2">
      <c r="A1137" t="s">
        <v>2073</v>
      </c>
      <c r="B1137" t="s">
        <v>2074</v>
      </c>
      <c r="C1137" t="s">
        <v>653</v>
      </c>
      <c r="D1137">
        <v>0.25248056363299998</v>
      </c>
      <c r="E1137">
        <v>0.1922669316</v>
      </c>
      <c r="F1137">
        <v>0.31819930497499999</v>
      </c>
    </row>
    <row r="1138" spans="1:6" x14ac:dyDescent="0.2">
      <c r="A1138" t="s">
        <v>2075</v>
      </c>
      <c r="B1138" t="s">
        <v>2076</v>
      </c>
      <c r="C1138" t="s">
        <v>653</v>
      </c>
      <c r="D1138">
        <v>0.30236362657400001</v>
      </c>
      <c r="E1138">
        <v>0.23625076505000001</v>
      </c>
      <c r="F1138">
        <v>0.37285292287499999</v>
      </c>
    </row>
    <row r="1139" spans="1:6" x14ac:dyDescent="0.2">
      <c r="A1139" t="s">
        <v>2077</v>
      </c>
      <c r="B1139" t="s">
        <v>2078</v>
      </c>
      <c r="C1139" t="s">
        <v>653</v>
      </c>
      <c r="D1139">
        <v>0.33579150422699899</v>
      </c>
      <c r="E1139">
        <v>0.2613388445</v>
      </c>
      <c r="F1139">
        <v>0.41821067049999899</v>
      </c>
    </row>
    <row r="1140" spans="1:6" x14ac:dyDescent="0.2">
      <c r="A1140" t="s">
        <v>2079</v>
      </c>
      <c r="B1140" t="s">
        <v>1039</v>
      </c>
      <c r="C1140" t="s">
        <v>1040</v>
      </c>
      <c r="D1140">
        <v>4.4530398599999903E-2</v>
      </c>
      <c r="E1140">
        <v>2.7943497500000001E-2</v>
      </c>
      <c r="F1140">
        <v>6.5829780000000004E-2</v>
      </c>
    </row>
    <row r="1141" spans="1:6" x14ac:dyDescent="0.2">
      <c r="A1141" t="s">
        <v>2080</v>
      </c>
      <c r="B1141" t="s">
        <v>2081</v>
      </c>
      <c r="C1141" t="s">
        <v>2082</v>
      </c>
      <c r="D1141">
        <v>0.24102504289999899</v>
      </c>
      <c r="E1141">
        <v>0.1593268525</v>
      </c>
      <c r="F1141">
        <v>0.34128755999999999</v>
      </c>
    </row>
    <row r="1142" spans="1:6" x14ac:dyDescent="0.2">
      <c r="A1142" t="s">
        <v>2083</v>
      </c>
      <c r="B1142" t="s">
        <v>703</v>
      </c>
      <c r="D1142">
        <v>0</v>
      </c>
      <c r="E1142">
        <v>0</v>
      </c>
      <c r="F1142">
        <v>0</v>
      </c>
    </row>
    <row r="1143" spans="1:6" x14ac:dyDescent="0.2">
      <c r="A1143" t="s">
        <v>2084</v>
      </c>
      <c r="B1143" t="s">
        <v>1042</v>
      </c>
      <c r="C1143" t="s">
        <v>1043</v>
      </c>
      <c r="D1143">
        <v>1.0793008600000001E-2</v>
      </c>
      <c r="E1143">
        <v>5.1901200000000003E-3</v>
      </c>
      <c r="F1143">
        <v>2.02353999999999E-2</v>
      </c>
    </row>
    <row r="1144" spans="1:6" x14ac:dyDescent="0.2">
      <c r="A1144" t="s">
        <v>2085</v>
      </c>
      <c r="B1144" t="s">
        <v>1045</v>
      </c>
      <c r="C1144" t="s">
        <v>1046</v>
      </c>
      <c r="D1144">
        <v>4.25405801999999E-2</v>
      </c>
      <c r="E1144">
        <v>2.5978245000000001E-2</v>
      </c>
      <c r="F1144">
        <v>6.4453929999999895E-2</v>
      </c>
    </row>
    <row r="1145" spans="1:6" x14ac:dyDescent="0.2">
      <c r="A1145" t="s">
        <v>2086</v>
      </c>
      <c r="B1145" t="s">
        <v>2087</v>
      </c>
      <c r="C1145" t="s">
        <v>2088</v>
      </c>
      <c r="D1145">
        <v>0.100020868199999</v>
      </c>
      <c r="E1145">
        <v>6.6049517500000002E-2</v>
      </c>
      <c r="F1145">
        <v>0.14174874749999999</v>
      </c>
    </row>
    <row r="1146" spans="1:6" x14ac:dyDescent="0.2">
      <c r="A1146" t="s">
        <v>2089</v>
      </c>
      <c r="B1146" t="s">
        <v>2090</v>
      </c>
      <c r="C1146" t="s">
        <v>2091</v>
      </c>
      <c r="D1146">
        <v>0.1600574337</v>
      </c>
      <c r="E1146">
        <v>0.107062184999999</v>
      </c>
      <c r="F1146">
        <v>0.226226345</v>
      </c>
    </row>
    <row r="1147" spans="1:6" x14ac:dyDescent="0.2">
      <c r="A1147" t="s">
        <v>2092</v>
      </c>
      <c r="B1147" t="s">
        <v>2093</v>
      </c>
      <c r="C1147" t="s">
        <v>2094</v>
      </c>
      <c r="D1147">
        <v>0.20030707170000001</v>
      </c>
      <c r="E1147">
        <v>0.13325701249999999</v>
      </c>
      <c r="F1147">
        <v>0.28252101499999999</v>
      </c>
    </row>
    <row r="1148" spans="1:6" x14ac:dyDescent="0.2">
      <c r="A1148" t="s">
        <v>2095</v>
      </c>
      <c r="B1148" t="s">
        <v>2053</v>
      </c>
      <c r="C1148" t="s">
        <v>2054</v>
      </c>
      <c r="D1148">
        <v>2.9604146099999899E-2</v>
      </c>
      <c r="E1148">
        <v>1.7732627500000001E-2</v>
      </c>
      <c r="F1148">
        <v>4.6146154999999897E-2</v>
      </c>
    </row>
    <row r="1149" spans="1:6" x14ac:dyDescent="0.2">
      <c r="A1149" t="s">
        <v>2096</v>
      </c>
      <c r="B1149" t="s">
        <v>2056</v>
      </c>
      <c r="C1149" t="s">
        <v>2057</v>
      </c>
      <c r="D1149">
        <v>0.133407369</v>
      </c>
      <c r="E1149">
        <v>9.0866207500000004E-2</v>
      </c>
      <c r="F1149">
        <v>0.18649768</v>
      </c>
    </row>
    <row r="1150" spans="1:6" x14ac:dyDescent="0.2">
      <c r="A1150" t="s">
        <v>2097</v>
      </c>
      <c r="B1150" t="s">
        <v>2059</v>
      </c>
      <c r="C1150" t="s">
        <v>2060</v>
      </c>
      <c r="D1150">
        <v>0.52330540149999905</v>
      </c>
      <c r="E1150">
        <v>0.36166202999999902</v>
      </c>
      <c r="F1150">
        <v>0.67660477750000003</v>
      </c>
    </row>
    <row r="1151" spans="1:6" x14ac:dyDescent="0.2">
      <c r="A1151" t="s">
        <v>2098</v>
      </c>
      <c r="B1151" t="s">
        <v>703</v>
      </c>
      <c r="D1151">
        <v>0</v>
      </c>
      <c r="E1151">
        <v>0</v>
      </c>
      <c r="F1151">
        <v>0</v>
      </c>
    </row>
    <row r="1152" spans="1:6" x14ac:dyDescent="0.2">
      <c r="A1152" t="s">
        <v>2099</v>
      </c>
      <c r="B1152" t="s">
        <v>2100</v>
      </c>
      <c r="C1152" t="s">
        <v>2101</v>
      </c>
      <c r="D1152">
        <v>0.235253593899999</v>
      </c>
      <c r="E1152">
        <v>0.15983442</v>
      </c>
      <c r="F1152">
        <v>0.32683558499999898</v>
      </c>
    </row>
    <row r="1153" spans="1:6" x14ac:dyDescent="0.2">
      <c r="A1153" t="s">
        <v>2102</v>
      </c>
      <c r="B1153" t="s">
        <v>2103</v>
      </c>
      <c r="C1153" t="s">
        <v>2104</v>
      </c>
      <c r="D1153">
        <v>0.37324475629999898</v>
      </c>
      <c r="E1153">
        <v>0.248045632499999</v>
      </c>
      <c r="F1153">
        <v>0.50766485750000001</v>
      </c>
    </row>
    <row r="1154" spans="1:6" x14ac:dyDescent="0.2">
      <c r="A1154" t="s">
        <v>2105</v>
      </c>
      <c r="B1154" t="s">
        <v>2106</v>
      </c>
      <c r="C1154" t="s">
        <v>2107</v>
      </c>
      <c r="D1154">
        <v>0.56959743860000001</v>
      </c>
      <c r="E1154">
        <v>0.39613207249999999</v>
      </c>
      <c r="F1154">
        <v>0.73184663749999901</v>
      </c>
    </row>
    <row r="1155" spans="1:6" x14ac:dyDescent="0.2">
      <c r="A1155" t="s">
        <v>2108</v>
      </c>
      <c r="B1155" t="s">
        <v>2109</v>
      </c>
      <c r="C1155" t="s">
        <v>2110</v>
      </c>
      <c r="D1155">
        <v>0.1227645383</v>
      </c>
      <c r="E1155">
        <v>8.1806547499999993E-2</v>
      </c>
      <c r="F1155">
        <v>0.17669150249999899</v>
      </c>
    </row>
    <row r="1156" spans="1:6" x14ac:dyDescent="0.2">
      <c r="A1156" t="s">
        <v>2111</v>
      </c>
      <c r="B1156" t="s">
        <v>703</v>
      </c>
      <c r="D1156">
        <v>0</v>
      </c>
      <c r="E1156">
        <v>0</v>
      </c>
      <c r="F1156">
        <v>0</v>
      </c>
    </row>
    <row r="1157" spans="1:6" x14ac:dyDescent="0.2">
      <c r="A1157" t="s">
        <v>2112</v>
      </c>
      <c r="B1157" t="s">
        <v>2113</v>
      </c>
      <c r="C1157" t="s">
        <v>2114</v>
      </c>
      <c r="D1157">
        <v>1.64155471E-2</v>
      </c>
      <c r="E1157">
        <v>8.0423799999999896E-3</v>
      </c>
      <c r="F1157">
        <v>2.99662949999999E-2</v>
      </c>
    </row>
    <row r="1158" spans="1:6" x14ac:dyDescent="0.2">
      <c r="A1158" t="s">
        <v>2115</v>
      </c>
      <c r="B1158" t="s">
        <v>2116</v>
      </c>
      <c r="C1158" t="s">
        <v>2117</v>
      </c>
      <c r="D1158">
        <v>5.5872141799999997E-2</v>
      </c>
      <c r="E1158">
        <v>3.4760212499999998E-2</v>
      </c>
      <c r="F1158">
        <v>8.2734647499999994E-2</v>
      </c>
    </row>
    <row r="1159" spans="1:6" x14ac:dyDescent="0.2">
      <c r="A1159" t="s">
        <v>2118</v>
      </c>
      <c r="B1159" t="s">
        <v>2119</v>
      </c>
      <c r="C1159" t="s">
        <v>2120</v>
      </c>
      <c r="D1159">
        <v>0.17948823180000001</v>
      </c>
      <c r="E1159">
        <v>0.11907042249999999</v>
      </c>
      <c r="F1159">
        <v>0.25674984249999999</v>
      </c>
    </row>
    <row r="1160" spans="1:6" x14ac:dyDescent="0.2">
      <c r="A1160" t="s">
        <v>2121</v>
      </c>
      <c r="B1160" t="s">
        <v>703</v>
      </c>
      <c r="D1160">
        <v>0</v>
      </c>
      <c r="E1160">
        <v>0</v>
      </c>
      <c r="F1160">
        <v>0</v>
      </c>
    </row>
    <row r="1161" spans="1:6" x14ac:dyDescent="0.2">
      <c r="A1161" t="s">
        <v>2122</v>
      </c>
      <c r="B1161" t="s">
        <v>2123</v>
      </c>
      <c r="C1161" t="s">
        <v>2124</v>
      </c>
      <c r="D1161">
        <v>0.69660364070000003</v>
      </c>
      <c r="E1161">
        <v>0.51001048500000001</v>
      </c>
      <c r="F1161">
        <v>0.84262508249999901</v>
      </c>
    </row>
    <row r="1162" spans="1:6" x14ac:dyDescent="0.2">
      <c r="A1162" t="s">
        <v>2125</v>
      </c>
      <c r="B1162" t="s">
        <v>2126</v>
      </c>
      <c r="C1162" t="s">
        <v>2127</v>
      </c>
      <c r="D1162">
        <v>0.335195931</v>
      </c>
      <c r="E1162">
        <v>0.22085679750000001</v>
      </c>
      <c r="F1162">
        <v>0.47250209250000003</v>
      </c>
    </row>
    <row r="1163" spans="1:6" x14ac:dyDescent="0.2">
      <c r="A1163" t="s">
        <v>2128</v>
      </c>
      <c r="B1163" t="s">
        <v>703</v>
      </c>
      <c r="D1163">
        <v>0</v>
      </c>
      <c r="E1163">
        <v>0</v>
      </c>
      <c r="F1163">
        <v>0</v>
      </c>
    </row>
    <row r="1164" spans="1:6" x14ac:dyDescent="0.2">
      <c r="A1164" t="s">
        <v>2129</v>
      </c>
      <c r="B1164" t="s">
        <v>703</v>
      </c>
      <c r="D1164">
        <v>0</v>
      </c>
      <c r="E1164">
        <v>0</v>
      </c>
      <c r="F1164">
        <v>0</v>
      </c>
    </row>
    <row r="1165" spans="1:6" x14ac:dyDescent="0.2">
      <c r="A1165" t="s">
        <v>2130</v>
      </c>
      <c r="B1165" t="s">
        <v>2131</v>
      </c>
      <c r="C1165" t="s">
        <v>2132</v>
      </c>
      <c r="D1165">
        <v>0.115560333699999</v>
      </c>
      <c r="E1165">
        <v>7.4309297499999996E-2</v>
      </c>
      <c r="F1165">
        <v>0.1651052925</v>
      </c>
    </row>
    <row r="1166" spans="1:6" x14ac:dyDescent="0.2">
      <c r="A1166" t="s">
        <v>2133</v>
      </c>
      <c r="B1166" t="s">
        <v>2134</v>
      </c>
      <c r="C1166" t="s">
        <v>2135</v>
      </c>
      <c r="D1166">
        <v>0.47857863779999998</v>
      </c>
      <c r="E1166">
        <v>0.324012972499999</v>
      </c>
      <c r="F1166">
        <v>0.63425974249999995</v>
      </c>
    </row>
    <row r="1167" spans="1:6" x14ac:dyDescent="0.2">
      <c r="A1167" t="s">
        <v>2136</v>
      </c>
      <c r="B1167" t="s">
        <v>2137</v>
      </c>
      <c r="C1167" t="s">
        <v>653</v>
      </c>
      <c r="D1167">
        <v>0.50389347888267</v>
      </c>
      <c r="E1167">
        <v>0.35241957955474601</v>
      </c>
      <c r="F1167">
        <v>0.65394398539743503</v>
      </c>
    </row>
    <row r="1168" spans="1:6" x14ac:dyDescent="0.2">
      <c r="A1168" t="s">
        <v>2138</v>
      </c>
      <c r="B1168" t="s">
        <v>2139</v>
      </c>
      <c r="C1168" t="s">
        <v>653</v>
      </c>
      <c r="D1168">
        <v>0.50003326024981598</v>
      </c>
      <c r="E1168">
        <v>0.34892864747461</v>
      </c>
      <c r="F1168">
        <v>0.650785789358443</v>
      </c>
    </row>
    <row r="1169" spans="1:6" x14ac:dyDescent="0.2">
      <c r="A1169" t="s">
        <v>2140</v>
      </c>
      <c r="B1169" t="s">
        <v>2141</v>
      </c>
      <c r="C1169" t="s">
        <v>653</v>
      </c>
      <c r="D1169">
        <v>0.51537608865186402</v>
      </c>
      <c r="E1169">
        <v>0.360375728432689</v>
      </c>
      <c r="F1169">
        <v>0.66605029241597402</v>
      </c>
    </row>
    <row r="1170" spans="1:6" x14ac:dyDescent="0.2">
      <c r="A1170" t="s">
        <v>2142</v>
      </c>
      <c r="B1170" t="s">
        <v>2143</v>
      </c>
      <c r="C1170" t="s">
        <v>653</v>
      </c>
      <c r="D1170">
        <v>0.56971087381295005</v>
      </c>
      <c r="E1170">
        <v>0.40888552013691998</v>
      </c>
      <c r="F1170">
        <v>0.72475205967554002</v>
      </c>
    </row>
    <row r="1171" spans="1:6" x14ac:dyDescent="0.2">
      <c r="A1171" t="s">
        <v>2144</v>
      </c>
      <c r="B1171" t="s">
        <v>703</v>
      </c>
      <c r="D1171">
        <v>0</v>
      </c>
      <c r="E1171">
        <v>0</v>
      </c>
      <c r="F1171">
        <v>0</v>
      </c>
    </row>
    <row r="1172" spans="1:6" x14ac:dyDescent="0.2">
      <c r="A1172" t="s">
        <v>2145</v>
      </c>
      <c r="B1172" t="s">
        <v>2146</v>
      </c>
      <c r="C1172" t="s">
        <v>2147</v>
      </c>
      <c r="D1172">
        <v>7.9094906100000001E-2</v>
      </c>
      <c r="E1172">
        <v>5.0974557499999899E-2</v>
      </c>
      <c r="F1172">
        <v>0.11400856249999999</v>
      </c>
    </row>
    <row r="1173" spans="1:6" x14ac:dyDescent="0.2">
      <c r="A1173" t="s">
        <v>2148</v>
      </c>
      <c r="B1173" t="s">
        <v>2149</v>
      </c>
      <c r="C1173" t="s">
        <v>2150</v>
      </c>
      <c r="D1173">
        <v>0.48591381219999902</v>
      </c>
      <c r="E1173">
        <v>0.32875915999999999</v>
      </c>
      <c r="F1173">
        <v>0.63711295499999898</v>
      </c>
    </row>
    <row r="1174" spans="1:6" x14ac:dyDescent="0.2">
      <c r="A1174" t="s">
        <v>2151</v>
      </c>
      <c r="B1174" t="s">
        <v>2152</v>
      </c>
      <c r="C1174" t="s">
        <v>653</v>
      </c>
      <c r="D1174">
        <v>0.51087625374289802</v>
      </c>
      <c r="E1174">
        <v>0.35907575473590098</v>
      </c>
      <c r="F1174">
        <v>0.65892244157035296</v>
      </c>
    </row>
    <row r="1175" spans="1:6" x14ac:dyDescent="0.2">
      <c r="A1175" t="s">
        <v>2153</v>
      </c>
      <c r="B1175" t="s">
        <v>2154</v>
      </c>
      <c r="C1175" t="s">
        <v>653</v>
      </c>
      <c r="D1175">
        <v>0.50707150842761295</v>
      </c>
      <c r="E1175">
        <v>0.35310026081639501</v>
      </c>
      <c r="F1175">
        <v>0.65477331575230602</v>
      </c>
    </row>
    <row r="1176" spans="1:6" x14ac:dyDescent="0.2">
      <c r="A1176" t="s">
        <v>2155</v>
      </c>
      <c r="B1176" t="s">
        <v>2156</v>
      </c>
      <c r="C1176" t="s">
        <v>653</v>
      </c>
      <c r="D1176">
        <v>0.52219657545890696</v>
      </c>
      <c r="E1176">
        <v>0.36774520807276301</v>
      </c>
      <c r="F1176">
        <v>0.67190204220611205</v>
      </c>
    </row>
    <row r="1177" spans="1:6" x14ac:dyDescent="0.2">
      <c r="A1177" t="s">
        <v>2157</v>
      </c>
      <c r="B1177" t="s">
        <v>2158</v>
      </c>
      <c r="C1177" t="s">
        <v>653</v>
      </c>
      <c r="D1177">
        <v>0.57570968299748004</v>
      </c>
      <c r="E1177">
        <v>0.41403524542509901</v>
      </c>
      <c r="F1177">
        <v>0.72764278986020203</v>
      </c>
    </row>
    <row r="1178" spans="1:6" x14ac:dyDescent="0.2">
      <c r="A1178" t="s">
        <v>2159</v>
      </c>
      <c r="B1178" t="s">
        <v>703</v>
      </c>
      <c r="D1178">
        <v>0</v>
      </c>
      <c r="E1178">
        <v>0</v>
      </c>
      <c r="F1178">
        <v>0</v>
      </c>
    </row>
    <row r="1179" spans="1:6" x14ac:dyDescent="0.2">
      <c r="A1179" t="s">
        <v>2160</v>
      </c>
      <c r="B1179" t="s">
        <v>2161</v>
      </c>
      <c r="C1179" t="s">
        <v>2162</v>
      </c>
      <c r="D1179">
        <v>3.9420269399999999E-2</v>
      </c>
      <c r="E1179">
        <v>2.4111272499999999E-2</v>
      </c>
      <c r="F1179">
        <v>6.0107802499999897E-2</v>
      </c>
    </row>
    <row r="1180" spans="1:6" x14ac:dyDescent="0.2">
      <c r="A1180" t="s">
        <v>2163</v>
      </c>
      <c r="B1180" t="s">
        <v>2164</v>
      </c>
      <c r="C1180" t="s">
        <v>2165</v>
      </c>
      <c r="D1180">
        <v>0.26558312319999899</v>
      </c>
      <c r="E1180">
        <v>0.17768536499999901</v>
      </c>
      <c r="F1180">
        <v>0.36350294</v>
      </c>
    </row>
    <row r="1181" spans="1:6" x14ac:dyDescent="0.2">
      <c r="A1181" t="s">
        <v>2166</v>
      </c>
      <c r="B1181" t="s">
        <v>2131</v>
      </c>
      <c r="C1181" t="s">
        <v>2132</v>
      </c>
      <c r="D1181">
        <v>0.115560333699999</v>
      </c>
      <c r="E1181">
        <v>7.4309297499999996E-2</v>
      </c>
      <c r="F1181">
        <v>0.1651052925</v>
      </c>
    </row>
    <row r="1182" spans="1:6" x14ac:dyDescent="0.2">
      <c r="A1182" t="s">
        <v>2167</v>
      </c>
      <c r="B1182" t="s">
        <v>916</v>
      </c>
      <c r="C1182" t="s">
        <v>917</v>
      </c>
      <c r="D1182">
        <v>4.9011414699999999E-2</v>
      </c>
      <c r="E1182">
        <v>3.1121342499999899E-2</v>
      </c>
      <c r="F1182">
        <v>7.2092547499999896E-2</v>
      </c>
    </row>
    <row r="1183" spans="1:6" x14ac:dyDescent="0.2">
      <c r="A1183" t="s">
        <v>2168</v>
      </c>
      <c r="B1183" t="s">
        <v>964</v>
      </c>
      <c r="C1183" t="s">
        <v>965</v>
      </c>
      <c r="D1183">
        <v>3.0842126399999899E-2</v>
      </c>
      <c r="E1183">
        <v>1.8822002500000001E-2</v>
      </c>
      <c r="F1183">
        <v>4.8710372499999897E-2</v>
      </c>
    </row>
    <row r="1184" spans="1:6" x14ac:dyDescent="0.2">
      <c r="A1184" t="s">
        <v>2169</v>
      </c>
      <c r="B1184" t="s">
        <v>967</v>
      </c>
      <c r="C1184" t="s">
        <v>968</v>
      </c>
      <c r="D1184">
        <v>0.18404848779999999</v>
      </c>
      <c r="E1184">
        <v>0.1251250575</v>
      </c>
      <c r="F1184">
        <v>0.25828618249999902</v>
      </c>
    </row>
    <row r="1185" spans="1:6" x14ac:dyDescent="0.2">
      <c r="A1185" t="s">
        <v>2170</v>
      </c>
      <c r="B1185" t="s">
        <v>970</v>
      </c>
      <c r="C1185" t="s">
        <v>971</v>
      </c>
      <c r="D1185">
        <v>0.18736458340000001</v>
      </c>
      <c r="E1185">
        <v>0.1244286775</v>
      </c>
      <c r="F1185">
        <v>0.26021716249999999</v>
      </c>
    </row>
    <row r="1186" spans="1:6" x14ac:dyDescent="0.2">
      <c r="A1186" t="s">
        <v>2171</v>
      </c>
      <c r="B1186" t="s">
        <v>2172</v>
      </c>
      <c r="C1186" t="s">
        <v>2173</v>
      </c>
      <c r="D1186">
        <v>0.13318999149999899</v>
      </c>
      <c r="E1186">
        <v>8.8895202500000006E-2</v>
      </c>
      <c r="F1186">
        <v>0.18694128499999901</v>
      </c>
    </row>
    <row r="1187" spans="1:6" x14ac:dyDescent="0.2">
      <c r="A1187" t="s">
        <v>2174</v>
      </c>
      <c r="B1187" t="s">
        <v>2175</v>
      </c>
      <c r="D1187">
        <v>0.15013214478106501</v>
      </c>
      <c r="E1187">
        <v>0.102540099134474</v>
      </c>
      <c r="F1187">
        <v>0.20775159017882699</v>
      </c>
    </row>
    <row r="1188" spans="1:6" x14ac:dyDescent="0.2">
      <c r="A1188" t="s">
        <v>2176</v>
      </c>
      <c r="B1188" t="s">
        <v>2177</v>
      </c>
      <c r="D1188">
        <v>0.16681063671504701</v>
      </c>
      <c r="E1188">
        <v>0.11439934193208399</v>
      </c>
      <c r="F1188">
        <v>0.22937935559457301</v>
      </c>
    </row>
    <row r="1189" spans="1:6" x14ac:dyDescent="0.2">
      <c r="A1189" t="s">
        <v>2178</v>
      </c>
      <c r="B1189" t="s">
        <v>2179</v>
      </c>
      <c r="D1189">
        <v>0.28239587329674598</v>
      </c>
      <c r="E1189">
        <v>0.19800087087654</v>
      </c>
      <c r="F1189">
        <v>0.37867989423343001</v>
      </c>
    </row>
    <row r="1190" spans="1:6" x14ac:dyDescent="0.2">
      <c r="A1190" t="s">
        <v>2180</v>
      </c>
      <c r="B1190" t="s">
        <v>916</v>
      </c>
      <c r="C1190" t="s">
        <v>917</v>
      </c>
      <c r="D1190">
        <v>4.9011414699999999E-2</v>
      </c>
      <c r="E1190">
        <v>3.1121342499999899E-2</v>
      </c>
      <c r="F1190">
        <v>7.2092547499999896E-2</v>
      </c>
    </row>
    <row r="1191" spans="1:6" x14ac:dyDescent="0.2">
      <c r="A1191" t="s">
        <v>2181</v>
      </c>
      <c r="B1191" t="s">
        <v>964</v>
      </c>
      <c r="C1191" t="s">
        <v>965</v>
      </c>
      <c r="D1191">
        <v>3.0842126399999899E-2</v>
      </c>
      <c r="E1191">
        <v>1.8822002500000001E-2</v>
      </c>
      <c r="F1191">
        <v>4.8710372499999897E-2</v>
      </c>
    </row>
    <row r="1192" spans="1:6" x14ac:dyDescent="0.2">
      <c r="A1192" t="s">
        <v>2182</v>
      </c>
      <c r="B1192" t="s">
        <v>967</v>
      </c>
      <c r="C1192" t="s">
        <v>968</v>
      </c>
      <c r="D1192">
        <v>0.18404848779999999</v>
      </c>
      <c r="E1192">
        <v>0.1251250575</v>
      </c>
      <c r="F1192">
        <v>0.25828618249999902</v>
      </c>
    </row>
    <row r="1193" spans="1:6" x14ac:dyDescent="0.2">
      <c r="A1193" t="s">
        <v>2183</v>
      </c>
      <c r="B1193" t="s">
        <v>970</v>
      </c>
      <c r="C1193" t="s">
        <v>971</v>
      </c>
      <c r="D1193">
        <v>0.18736458340000001</v>
      </c>
      <c r="E1193">
        <v>0.1244286775</v>
      </c>
      <c r="F1193">
        <v>0.26021716249999999</v>
      </c>
    </row>
    <row r="1194" spans="1:6" x14ac:dyDescent="0.2">
      <c r="A1194" t="s">
        <v>2184</v>
      </c>
      <c r="B1194" t="s">
        <v>2172</v>
      </c>
      <c r="C1194" t="s">
        <v>2173</v>
      </c>
      <c r="D1194">
        <v>0.13318999149999899</v>
      </c>
      <c r="E1194">
        <v>8.8895202500000006E-2</v>
      </c>
      <c r="F1194">
        <v>0.18694128499999901</v>
      </c>
    </row>
    <row r="1195" spans="1:6" x14ac:dyDescent="0.2">
      <c r="A1195" t="s">
        <v>2185</v>
      </c>
      <c r="B1195" t="s">
        <v>2175</v>
      </c>
      <c r="D1195">
        <v>0.15013214478106501</v>
      </c>
      <c r="E1195">
        <v>0.102540099134474</v>
      </c>
      <c r="F1195">
        <v>0.20775159017882699</v>
      </c>
    </row>
    <row r="1196" spans="1:6" x14ac:dyDescent="0.2">
      <c r="A1196" t="s">
        <v>2186</v>
      </c>
      <c r="B1196" t="s">
        <v>2177</v>
      </c>
      <c r="D1196">
        <v>0.16681063671504701</v>
      </c>
      <c r="E1196">
        <v>0.11439934193208399</v>
      </c>
      <c r="F1196">
        <v>0.22937935559457301</v>
      </c>
    </row>
    <row r="1197" spans="1:6" x14ac:dyDescent="0.2">
      <c r="A1197" t="s">
        <v>2187</v>
      </c>
      <c r="B1197" t="s">
        <v>2179</v>
      </c>
      <c r="D1197">
        <v>0.28239587329674598</v>
      </c>
      <c r="E1197">
        <v>0.19800087087654</v>
      </c>
      <c r="F1197">
        <v>0.37867989423343001</v>
      </c>
    </row>
    <row r="1198" spans="1:6" x14ac:dyDescent="0.2">
      <c r="A1198" t="s">
        <v>2188</v>
      </c>
      <c r="B1198" t="s">
        <v>703</v>
      </c>
      <c r="D1198">
        <v>0</v>
      </c>
      <c r="E1198">
        <v>0</v>
      </c>
      <c r="F1198">
        <v>0</v>
      </c>
    </row>
    <row r="1199" spans="1:6" x14ac:dyDescent="0.2">
      <c r="A1199" t="s">
        <v>2189</v>
      </c>
      <c r="B1199" t="s">
        <v>2190</v>
      </c>
      <c r="C1199" t="s">
        <v>2191</v>
      </c>
      <c r="D1199">
        <v>2.4315463699999901E-2</v>
      </c>
      <c r="E1199">
        <v>1.3568729999999999E-2</v>
      </c>
      <c r="F1199">
        <v>3.8964985000000001E-2</v>
      </c>
    </row>
    <row r="1200" spans="1:6" x14ac:dyDescent="0.2">
      <c r="A1200" t="s">
        <v>2192</v>
      </c>
      <c r="B1200" t="s">
        <v>2193</v>
      </c>
      <c r="C1200" t="s">
        <v>2194</v>
      </c>
      <c r="D1200">
        <v>0.57089716810000002</v>
      </c>
      <c r="E1200">
        <v>0.39823881499999902</v>
      </c>
      <c r="F1200">
        <v>0.72516435499999998</v>
      </c>
    </row>
    <row r="1201" spans="1:6" x14ac:dyDescent="0.2">
      <c r="A1201" t="s">
        <v>2195</v>
      </c>
      <c r="B1201" t="s">
        <v>2196</v>
      </c>
      <c r="C1201" t="s">
        <v>653</v>
      </c>
      <c r="D1201">
        <v>0.57256171279228796</v>
      </c>
      <c r="E1201">
        <v>0.403151128298815</v>
      </c>
      <c r="F1201">
        <v>0.72555420600614295</v>
      </c>
    </row>
    <row r="1202" spans="1:6" x14ac:dyDescent="0.2">
      <c r="A1202" t="s">
        <v>2197</v>
      </c>
      <c r="B1202" t="s">
        <v>2198</v>
      </c>
      <c r="C1202" t="s">
        <v>653</v>
      </c>
      <c r="D1202">
        <v>0.59277197220139899</v>
      </c>
      <c r="E1202">
        <v>0.42359620735771603</v>
      </c>
      <c r="F1202">
        <v>0.74210471607960005</v>
      </c>
    </row>
    <row r="1203" spans="1:6" x14ac:dyDescent="0.2">
      <c r="A1203" t="s">
        <v>2199</v>
      </c>
      <c r="B1203" t="s">
        <v>2200</v>
      </c>
      <c r="C1203" t="s">
        <v>653</v>
      </c>
      <c r="D1203">
        <v>0.63293904867000195</v>
      </c>
      <c r="E1203">
        <v>0.46165970345255503</v>
      </c>
      <c r="F1203">
        <v>0.78103257204120202</v>
      </c>
    </row>
    <row r="1204" spans="1:6" x14ac:dyDescent="0.2">
      <c r="A1204" t="s">
        <v>2201</v>
      </c>
      <c r="B1204" t="s">
        <v>855</v>
      </c>
      <c r="C1204" t="s">
        <v>856</v>
      </c>
      <c r="D1204">
        <v>3.69639789999999E-3</v>
      </c>
      <c r="E1204">
        <v>1.3124725E-3</v>
      </c>
      <c r="F1204">
        <v>8.1387825000000004E-3</v>
      </c>
    </row>
    <row r="1205" spans="1:6" x14ac:dyDescent="0.2">
      <c r="A1205" t="s">
        <v>2202</v>
      </c>
      <c r="B1205" t="s">
        <v>858</v>
      </c>
      <c r="C1205" t="s">
        <v>859</v>
      </c>
      <c r="D1205">
        <v>5.1541961499999997E-2</v>
      </c>
      <c r="E1205">
        <v>3.3847374999999999E-2</v>
      </c>
      <c r="F1205">
        <v>7.5721812499999999E-2</v>
      </c>
    </row>
    <row r="1206" spans="1:6" x14ac:dyDescent="0.2">
      <c r="A1206" t="s">
        <v>2203</v>
      </c>
      <c r="B1206" t="s">
        <v>861</v>
      </c>
      <c r="C1206" t="s">
        <v>862</v>
      </c>
      <c r="D1206">
        <v>0.14876615300000001</v>
      </c>
      <c r="E1206">
        <v>0.10073293999999899</v>
      </c>
      <c r="F1206">
        <v>0.20911520249999899</v>
      </c>
    </row>
    <row r="1207" spans="1:6" x14ac:dyDescent="0.2">
      <c r="A1207" t="s">
        <v>2204</v>
      </c>
      <c r="B1207" t="s">
        <v>703</v>
      </c>
      <c r="D1207">
        <v>0</v>
      </c>
      <c r="E1207">
        <v>0</v>
      </c>
      <c r="F1207">
        <v>0</v>
      </c>
    </row>
    <row r="1208" spans="1:6" x14ac:dyDescent="0.2">
      <c r="A1208" t="s">
        <v>2205</v>
      </c>
      <c r="B1208" t="s">
        <v>2206</v>
      </c>
      <c r="C1208" t="s">
        <v>2207</v>
      </c>
      <c r="D1208">
        <v>0.1044765406</v>
      </c>
      <c r="E1208">
        <v>7.0397582499999903E-2</v>
      </c>
      <c r="F1208">
        <v>0.14667005999999899</v>
      </c>
    </row>
    <row r="1209" spans="1:6" x14ac:dyDescent="0.2">
      <c r="A1209" t="s">
        <v>2208</v>
      </c>
      <c r="B1209" t="s">
        <v>2209</v>
      </c>
      <c r="D1209">
        <v>0.107776962488985</v>
      </c>
      <c r="E1209">
        <v>7.2352775167680197E-2</v>
      </c>
      <c r="F1209">
        <v>0.15054305335135301</v>
      </c>
    </row>
    <row r="1210" spans="1:6" x14ac:dyDescent="0.2">
      <c r="A1210" t="s">
        <v>2210</v>
      </c>
      <c r="B1210" t="s">
        <v>2211</v>
      </c>
      <c r="D1210">
        <v>0.150456456639806</v>
      </c>
      <c r="E1210">
        <v>0.102812065154997</v>
      </c>
      <c r="F1210">
        <v>0.20715925362267301</v>
      </c>
    </row>
    <row r="1211" spans="1:6" x14ac:dyDescent="0.2">
      <c r="A1211" t="s">
        <v>2212</v>
      </c>
      <c r="B1211" t="s">
        <v>2213</v>
      </c>
      <c r="D1211">
        <v>0.23720671693244499</v>
      </c>
      <c r="E1211">
        <v>0.16536549868531</v>
      </c>
      <c r="F1211">
        <v>0.323689087955913</v>
      </c>
    </row>
    <row r="1212" spans="1:6" x14ac:dyDescent="0.2">
      <c r="A1212" t="s">
        <v>2214</v>
      </c>
      <c r="B1212" t="s">
        <v>1353</v>
      </c>
      <c r="C1212" t="s">
        <v>1354</v>
      </c>
      <c r="D1212">
        <v>0.56850238799999897</v>
      </c>
      <c r="E1212">
        <v>0.38881356</v>
      </c>
      <c r="F1212">
        <v>0.72678767</v>
      </c>
    </row>
    <row r="1213" spans="1:6" x14ac:dyDescent="0.2">
      <c r="A1213" t="s">
        <v>2215</v>
      </c>
      <c r="B1213" t="s">
        <v>2216</v>
      </c>
      <c r="C1213" t="s">
        <v>653</v>
      </c>
      <c r="D1213">
        <v>0.57017541467041</v>
      </c>
      <c r="E1213">
        <v>0.39143400523905197</v>
      </c>
      <c r="F1213">
        <v>0.72742338427928599</v>
      </c>
    </row>
    <row r="1214" spans="1:6" x14ac:dyDescent="0.2">
      <c r="A1214" t="s">
        <v>2217</v>
      </c>
      <c r="B1214" t="s">
        <v>2218</v>
      </c>
      <c r="C1214" t="s">
        <v>653</v>
      </c>
      <c r="D1214">
        <v>0.59050085221308801</v>
      </c>
      <c r="E1214">
        <v>0.41372750161549698</v>
      </c>
      <c r="F1214">
        <v>0.74307276271247702</v>
      </c>
    </row>
    <row r="1215" spans="1:6" x14ac:dyDescent="0.2">
      <c r="A1215" t="s">
        <v>2219</v>
      </c>
      <c r="B1215" t="s">
        <v>2220</v>
      </c>
      <c r="C1215" t="s">
        <v>653</v>
      </c>
      <c r="D1215">
        <v>0.630883907680443</v>
      </c>
      <c r="E1215">
        <v>0.45575649748210001</v>
      </c>
      <c r="F1215">
        <v>0.78245538288760696</v>
      </c>
    </row>
    <row r="1216" spans="1:6" x14ac:dyDescent="0.2">
      <c r="A1216" t="s">
        <v>2221</v>
      </c>
      <c r="B1216" t="s">
        <v>2222</v>
      </c>
      <c r="C1216" t="s">
        <v>653</v>
      </c>
      <c r="D1216">
        <v>0.14820019508281501</v>
      </c>
      <c r="E1216">
        <v>9.98587152353725E-2</v>
      </c>
      <c r="F1216">
        <v>0.20492380866486601</v>
      </c>
    </row>
    <row r="1217" spans="1:6" x14ac:dyDescent="0.2">
      <c r="A1217" t="s">
        <v>2223</v>
      </c>
      <c r="B1217" t="s">
        <v>2224</v>
      </c>
      <c r="C1217" t="s">
        <v>653</v>
      </c>
      <c r="D1217">
        <v>0.141455247522356</v>
      </c>
      <c r="E1217">
        <v>9.6789651893157094E-2</v>
      </c>
      <c r="F1217">
        <v>0.19488565349802001</v>
      </c>
    </row>
    <row r="1218" spans="1:6" x14ac:dyDescent="0.2">
      <c r="A1218" t="s">
        <v>2225</v>
      </c>
      <c r="B1218" t="s">
        <v>2226</v>
      </c>
      <c r="C1218" t="s">
        <v>653</v>
      </c>
      <c r="D1218">
        <v>0.168395653018899</v>
      </c>
      <c r="E1218">
        <v>0.114713887328026</v>
      </c>
      <c r="F1218">
        <v>0.23034236981075701</v>
      </c>
    </row>
    <row r="1219" spans="1:6" x14ac:dyDescent="0.2">
      <c r="A1219" t="s">
        <v>2227</v>
      </c>
      <c r="B1219" t="s">
        <v>2228</v>
      </c>
      <c r="C1219" t="s">
        <v>653</v>
      </c>
      <c r="D1219">
        <v>0.26425755402158901</v>
      </c>
      <c r="E1219">
        <v>0.18585288288821999</v>
      </c>
      <c r="F1219">
        <v>0.35842890375653402</v>
      </c>
    </row>
    <row r="1220" spans="1:6" x14ac:dyDescent="0.2">
      <c r="A1220" t="s">
        <v>2229</v>
      </c>
      <c r="B1220" t="s">
        <v>703</v>
      </c>
      <c r="D1220">
        <v>0</v>
      </c>
      <c r="E1220">
        <v>0</v>
      </c>
      <c r="F1220">
        <v>0</v>
      </c>
    </row>
    <row r="1221" spans="1:6" x14ac:dyDescent="0.2">
      <c r="A1221" t="s">
        <v>2230</v>
      </c>
      <c r="B1221" t="s">
        <v>2190</v>
      </c>
      <c r="C1221" t="s">
        <v>2191</v>
      </c>
      <c r="D1221">
        <v>2.4315463699999901E-2</v>
      </c>
      <c r="E1221">
        <v>1.3568729999999999E-2</v>
      </c>
      <c r="F1221">
        <v>3.8964985000000001E-2</v>
      </c>
    </row>
    <row r="1222" spans="1:6" x14ac:dyDescent="0.2">
      <c r="A1222" t="s">
        <v>2231</v>
      </c>
      <c r="B1222" t="s">
        <v>2193</v>
      </c>
      <c r="C1222" t="s">
        <v>2194</v>
      </c>
      <c r="D1222">
        <v>0.57089716810000002</v>
      </c>
      <c r="E1222">
        <v>0.39823881499999902</v>
      </c>
      <c r="F1222">
        <v>0.72516435499999998</v>
      </c>
    </row>
    <row r="1223" spans="1:6" x14ac:dyDescent="0.2">
      <c r="A1223" t="s">
        <v>2232</v>
      </c>
      <c r="B1223" t="s">
        <v>2196</v>
      </c>
      <c r="C1223" t="s">
        <v>653</v>
      </c>
      <c r="D1223">
        <v>0.57256171279228796</v>
      </c>
      <c r="E1223">
        <v>0.403151128298815</v>
      </c>
      <c r="F1223">
        <v>0.72555420600614295</v>
      </c>
    </row>
    <row r="1224" spans="1:6" x14ac:dyDescent="0.2">
      <c r="A1224" t="s">
        <v>2233</v>
      </c>
      <c r="B1224" t="s">
        <v>2198</v>
      </c>
      <c r="C1224" t="s">
        <v>653</v>
      </c>
      <c r="D1224">
        <v>0.59277197220139899</v>
      </c>
      <c r="E1224">
        <v>0.42359620735771603</v>
      </c>
      <c r="F1224">
        <v>0.74210471607960005</v>
      </c>
    </row>
    <row r="1225" spans="1:6" x14ac:dyDescent="0.2">
      <c r="A1225" t="s">
        <v>2234</v>
      </c>
      <c r="B1225" t="s">
        <v>2200</v>
      </c>
      <c r="C1225" t="s">
        <v>653</v>
      </c>
      <c r="D1225">
        <v>0.63293904867000195</v>
      </c>
      <c r="E1225">
        <v>0.46165970345255503</v>
      </c>
      <c r="F1225">
        <v>0.78103257204120202</v>
      </c>
    </row>
    <row r="1226" spans="1:6" x14ac:dyDescent="0.2">
      <c r="A1226" t="s">
        <v>2235</v>
      </c>
      <c r="B1226" t="s">
        <v>855</v>
      </c>
      <c r="C1226" t="s">
        <v>856</v>
      </c>
      <c r="D1226">
        <v>3.69639789999999E-3</v>
      </c>
      <c r="E1226">
        <v>1.3124725E-3</v>
      </c>
      <c r="F1226">
        <v>8.1387825000000004E-3</v>
      </c>
    </row>
    <row r="1227" spans="1:6" x14ac:dyDescent="0.2">
      <c r="A1227" t="s">
        <v>2236</v>
      </c>
      <c r="B1227" t="s">
        <v>858</v>
      </c>
      <c r="C1227" t="s">
        <v>859</v>
      </c>
      <c r="D1227">
        <v>5.1541961499999997E-2</v>
      </c>
      <c r="E1227">
        <v>3.3847374999999999E-2</v>
      </c>
      <c r="F1227">
        <v>7.5721812499999999E-2</v>
      </c>
    </row>
    <row r="1228" spans="1:6" x14ac:dyDescent="0.2">
      <c r="A1228" t="s">
        <v>2237</v>
      </c>
      <c r="B1228" t="s">
        <v>861</v>
      </c>
      <c r="C1228" t="s">
        <v>862</v>
      </c>
      <c r="D1228">
        <v>0.14876615300000001</v>
      </c>
      <c r="E1228">
        <v>0.10073293999999899</v>
      </c>
      <c r="F1228">
        <v>0.20911520249999899</v>
      </c>
    </row>
    <row r="1229" spans="1:6" x14ac:dyDescent="0.2">
      <c r="A1229" t="s">
        <v>2238</v>
      </c>
      <c r="B1229" t="s">
        <v>703</v>
      </c>
      <c r="D1229">
        <v>0</v>
      </c>
      <c r="E1229">
        <v>0</v>
      </c>
      <c r="F1229">
        <v>0</v>
      </c>
    </row>
    <row r="1230" spans="1:6" x14ac:dyDescent="0.2">
      <c r="A1230" t="s">
        <v>2239</v>
      </c>
      <c r="B1230" t="s">
        <v>2206</v>
      </c>
      <c r="C1230" t="s">
        <v>2207</v>
      </c>
      <c r="D1230">
        <v>0.1044765406</v>
      </c>
      <c r="E1230">
        <v>7.0397582499999903E-2</v>
      </c>
      <c r="F1230">
        <v>0.14667005999999899</v>
      </c>
    </row>
    <row r="1231" spans="1:6" x14ac:dyDescent="0.2">
      <c r="A1231" t="s">
        <v>2240</v>
      </c>
      <c r="B1231" t="s">
        <v>2209</v>
      </c>
      <c r="D1231">
        <v>0.107776962488985</v>
      </c>
      <c r="E1231">
        <v>7.2352775167680197E-2</v>
      </c>
      <c r="F1231">
        <v>0.15054305335135301</v>
      </c>
    </row>
    <row r="1232" spans="1:6" x14ac:dyDescent="0.2">
      <c r="A1232" t="s">
        <v>2241</v>
      </c>
      <c r="B1232" t="s">
        <v>2211</v>
      </c>
      <c r="D1232">
        <v>0.150456456639806</v>
      </c>
      <c r="E1232">
        <v>0.102812065154997</v>
      </c>
      <c r="F1232">
        <v>0.20715925362267301</v>
      </c>
    </row>
    <row r="1233" spans="1:6" x14ac:dyDescent="0.2">
      <c r="A1233" t="s">
        <v>2242</v>
      </c>
      <c r="B1233" t="s">
        <v>2213</v>
      </c>
      <c r="D1233">
        <v>0.23720671693244499</v>
      </c>
      <c r="E1233">
        <v>0.16536549868531</v>
      </c>
      <c r="F1233">
        <v>0.323689087955913</v>
      </c>
    </row>
    <row r="1234" spans="1:6" x14ac:dyDescent="0.2">
      <c r="A1234" t="s">
        <v>2243</v>
      </c>
      <c r="B1234" t="s">
        <v>1353</v>
      </c>
      <c r="C1234" t="s">
        <v>1354</v>
      </c>
      <c r="D1234">
        <v>0.56850238799999897</v>
      </c>
      <c r="E1234">
        <v>0.38881356</v>
      </c>
      <c r="F1234">
        <v>0.72678767</v>
      </c>
    </row>
    <row r="1235" spans="1:6" x14ac:dyDescent="0.2">
      <c r="A1235" t="s">
        <v>2244</v>
      </c>
      <c r="B1235" t="s">
        <v>2216</v>
      </c>
      <c r="C1235" t="s">
        <v>653</v>
      </c>
      <c r="D1235">
        <v>0.57017541467041</v>
      </c>
      <c r="E1235">
        <v>0.39143400523905197</v>
      </c>
      <c r="F1235">
        <v>0.72742338427928599</v>
      </c>
    </row>
    <row r="1236" spans="1:6" x14ac:dyDescent="0.2">
      <c r="A1236" t="s">
        <v>2245</v>
      </c>
      <c r="B1236" t="s">
        <v>2218</v>
      </c>
      <c r="C1236" t="s">
        <v>653</v>
      </c>
      <c r="D1236">
        <v>0.59050085221308801</v>
      </c>
      <c r="E1236">
        <v>0.41372750161549698</v>
      </c>
      <c r="F1236">
        <v>0.74307276271247702</v>
      </c>
    </row>
    <row r="1237" spans="1:6" x14ac:dyDescent="0.2">
      <c r="A1237" t="s">
        <v>2246</v>
      </c>
      <c r="B1237" t="s">
        <v>2220</v>
      </c>
      <c r="C1237" t="s">
        <v>653</v>
      </c>
      <c r="D1237">
        <v>0.630883907680443</v>
      </c>
      <c r="E1237">
        <v>0.45575649748210001</v>
      </c>
      <c r="F1237">
        <v>0.78245538288760696</v>
      </c>
    </row>
    <row r="1238" spans="1:6" x14ac:dyDescent="0.2">
      <c r="A1238" t="s">
        <v>2247</v>
      </c>
      <c r="B1238" t="s">
        <v>2222</v>
      </c>
      <c r="C1238" t="s">
        <v>653</v>
      </c>
      <c r="D1238">
        <v>0.14820019508281501</v>
      </c>
      <c r="E1238">
        <v>9.98587152353725E-2</v>
      </c>
      <c r="F1238">
        <v>0.20492380866486601</v>
      </c>
    </row>
    <row r="1239" spans="1:6" x14ac:dyDescent="0.2">
      <c r="A1239" t="s">
        <v>2248</v>
      </c>
      <c r="B1239" t="s">
        <v>2224</v>
      </c>
      <c r="C1239" t="s">
        <v>653</v>
      </c>
      <c r="D1239">
        <v>0.141455247522356</v>
      </c>
      <c r="E1239">
        <v>9.6789651893157094E-2</v>
      </c>
      <c r="F1239">
        <v>0.19488565349802001</v>
      </c>
    </row>
    <row r="1240" spans="1:6" x14ac:dyDescent="0.2">
      <c r="A1240" t="s">
        <v>2249</v>
      </c>
      <c r="B1240" t="s">
        <v>2226</v>
      </c>
      <c r="C1240" t="s">
        <v>653</v>
      </c>
      <c r="D1240">
        <v>0.168395653018899</v>
      </c>
      <c r="E1240">
        <v>0.114713887328026</v>
      </c>
      <c r="F1240">
        <v>0.23034236981075701</v>
      </c>
    </row>
    <row r="1241" spans="1:6" x14ac:dyDescent="0.2">
      <c r="A1241" t="s">
        <v>2250</v>
      </c>
      <c r="B1241" t="s">
        <v>2228</v>
      </c>
      <c r="C1241" t="s">
        <v>653</v>
      </c>
      <c r="D1241">
        <v>0.26425755402158901</v>
      </c>
      <c r="E1241">
        <v>0.18585288288821999</v>
      </c>
      <c r="F1241">
        <v>0.35842890375653402</v>
      </c>
    </row>
    <row r="1242" spans="1:6" x14ac:dyDescent="0.2">
      <c r="A1242" t="s">
        <v>2251</v>
      </c>
      <c r="B1242" t="s">
        <v>2190</v>
      </c>
      <c r="C1242" t="s">
        <v>2191</v>
      </c>
      <c r="D1242">
        <v>2.4315463699999901E-2</v>
      </c>
      <c r="E1242">
        <v>1.3568729999999999E-2</v>
      </c>
      <c r="F1242">
        <v>3.8964985000000001E-2</v>
      </c>
    </row>
    <row r="1243" spans="1:6" x14ac:dyDescent="0.2">
      <c r="A1243" t="s">
        <v>2252</v>
      </c>
      <c r="B1243" t="s">
        <v>2193</v>
      </c>
      <c r="C1243" t="s">
        <v>2194</v>
      </c>
      <c r="D1243">
        <v>0.57089716810000002</v>
      </c>
      <c r="E1243">
        <v>0.39823881499999902</v>
      </c>
      <c r="F1243">
        <v>0.72516435499999998</v>
      </c>
    </row>
    <row r="1244" spans="1:6" x14ac:dyDescent="0.2">
      <c r="A1244" t="s">
        <v>2253</v>
      </c>
      <c r="B1244" t="s">
        <v>2196</v>
      </c>
      <c r="C1244" t="s">
        <v>653</v>
      </c>
      <c r="D1244">
        <v>0.57256171279228796</v>
      </c>
      <c r="E1244">
        <v>0.403151128298815</v>
      </c>
      <c r="F1244">
        <v>0.72555420600614295</v>
      </c>
    </row>
    <row r="1245" spans="1:6" x14ac:dyDescent="0.2">
      <c r="A1245" t="s">
        <v>2254</v>
      </c>
      <c r="B1245" t="s">
        <v>2198</v>
      </c>
      <c r="C1245" t="s">
        <v>653</v>
      </c>
      <c r="D1245">
        <v>0.59277197220139899</v>
      </c>
      <c r="E1245">
        <v>0.42359620735771603</v>
      </c>
      <c r="F1245">
        <v>0.74210471607960005</v>
      </c>
    </row>
    <row r="1246" spans="1:6" x14ac:dyDescent="0.2">
      <c r="A1246" t="s">
        <v>2255</v>
      </c>
      <c r="B1246" t="s">
        <v>2200</v>
      </c>
      <c r="C1246" t="s">
        <v>653</v>
      </c>
      <c r="D1246">
        <v>0.63293904867000195</v>
      </c>
      <c r="E1246">
        <v>0.46165970345255503</v>
      </c>
      <c r="F1246">
        <v>0.78103257204120202</v>
      </c>
    </row>
    <row r="1247" spans="1:6" x14ac:dyDescent="0.2">
      <c r="A1247" t="s">
        <v>2256</v>
      </c>
      <c r="B1247" t="s">
        <v>703</v>
      </c>
      <c r="D1247">
        <v>0</v>
      </c>
      <c r="E1247">
        <v>0</v>
      </c>
      <c r="F1247">
        <v>0</v>
      </c>
    </row>
    <row r="1248" spans="1:6" x14ac:dyDescent="0.2">
      <c r="A1248" t="s">
        <v>2257</v>
      </c>
      <c r="B1248" t="s">
        <v>855</v>
      </c>
      <c r="C1248" t="s">
        <v>856</v>
      </c>
      <c r="D1248">
        <v>3.69639789999999E-3</v>
      </c>
      <c r="E1248">
        <v>1.3124725E-3</v>
      </c>
      <c r="F1248">
        <v>8.1387825000000004E-3</v>
      </c>
    </row>
    <row r="1249" spans="1:6" x14ac:dyDescent="0.2">
      <c r="A1249" t="s">
        <v>2258</v>
      </c>
      <c r="B1249" t="s">
        <v>858</v>
      </c>
      <c r="C1249" t="s">
        <v>859</v>
      </c>
      <c r="D1249">
        <v>5.1541961499999997E-2</v>
      </c>
      <c r="E1249">
        <v>3.3847374999999999E-2</v>
      </c>
      <c r="F1249">
        <v>7.5721812499999999E-2</v>
      </c>
    </row>
    <row r="1250" spans="1:6" x14ac:dyDescent="0.2">
      <c r="A1250" t="s">
        <v>2259</v>
      </c>
      <c r="B1250" t="s">
        <v>861</v>
      </c>
      <c r="C1250" t="s">
        <v>862</v>
      </c>
      <c r="D1250">
        <v>0.14876615300000001</v>
      </c>
      <c r="E1250">
        <v>0.10073293999999899</v>
      </c>
      <c r="F1250">
        <v>0.20911520249999899</v>
      </c>
    </row>
    <row r="1251" spans="1:6" x14ac:dyDescent="0.2">
      <c r="A1251" t="s">
        <v>2260</v>
      </c>
      <c r="B1251" t="s">
        <v>703</v>
      </c>
      <c r="D1251">
        <v>0</v>
      </c>
      <c r="E1251">
        <v>0</v>
      </c>
      <c r="F1251">
        <v>0</v>
      </c>
    </row>
    <row r="1252" spans="1:6" x14ac:dyDescent="0.2">
      <c r="A1252" t="s">
        <v>2261</v>
      </c>
      <c r="B1252" t="s">
        <v>2206</v>
      </c>
      <c r="C1252" t="s">
        <v>2207</v>
      </c>
      <c r="D1252">
        <v>0.1044765406</v>
      </c>
      <c r="E1252">
        <v>7.0397582499999903E-2</v>
      </c>
      <c r="F1252">
        <v>0.14667005999999899</v>
      </c>
    </row>
    <row r="1253" spans="1:6" x14ac:dyDescent="0.2">
      <c r="A1253" t="s">
        <v>2262</v>
      </c>
      <c r="B1253" t="s">
        <v>2209</v>
      </c>
      <c r="D1253">
        <v>0.107776962488985</v>
      </c>
      <c r="E1253">
        <v>7.2352775167680197E-2</v>
      </c>
      <c r="F1253">
        <v>0.15054305335135301</v>
      </c>
    </row>
    <row r="1254" spans="1:6" x14ac:dyDescent="0.2">
      <c r="A1254" t="s">
        <v>2263</v>
      </c>
      <c r="B1254" t="s">
        <v>2211</v>
      </c>
      <c r="D1254">
        <v>0.150456456639806</v>
      </c>
      <c r="E1254">
        <v>0.102812065154997</v>
      </c>
      <c r="F1254">
        <v>0.20715925362267301</v>
      </c>
    </row>
    <row r="1255" spans="1:6" x14ac:dyDescent="0.2">
      <c r="A1255" t="s">
        <v>2264</v>
      </c>
      <c r="B1255" t="s">
        <v>2213</v>
      </c>
      <c r="D1255">
        <v>0.23720671693244499</v>
      </c>
      <c r="E1255">
        <v>0.16536549868531</v>
      </c>
      <c r="F1255">
        <v>0.323689087955913</v>
      </c>
    </row>
    <row r="1256" spans="1:6" x14ac:dyDescent="0.2">
      <c r="A1256" t="s">
        <v>2265</v>
      </c>
      <c r="B1256" t="s">
        <v>1353</v>
      </c>
      <c r="C1256" t="s">
        <v>1354</v>
      </c>
      <c r="D1256">
        <v>0.56850238799999897</v>
      </c>
      <c r="E1256">
        <v>0.38881356</v>
      </c>
      <c r="F1256">
        <v>0.72678767</v>
      </c>
    </row>
    <row r="1257" spans="1:6" x14ac:dyDescent="0.2">
      <c r="A1257" t="s">
        <v>2266</v>
      </c>
      <c r="B1257" t="s">
        <v>2216</v>
      </c>
      <c r="C1257" t="s">
        <v>653</v>
      </c>
      <c r="D1257">
        <v>0.57017541467041</v>
      </c>
      <c r="E1257">
        <v>0.39143400523905197</v>
      </c>
      <c r="F1257">
        <v>0.72742338427928599</v>
      </c>
    </row>
    <row r="1258" spans="1:6" x14ac:dyDescent="0.2">
      <c r="A1258" t="s">
        <v>2267</v>
      </c>
      <c r="B1258" t="s">
        <v>2218</v>
      </c>
      <c r="C1258" t="s">
        <v>653</v>
      </c>
      <c r="D1258">
        <v>0.59050085221308801</v>
      </c>
      <c r="E1258">
        <v>0.41372750161549698</v>
      </c>
      <c r="F1258">
        <v>0.74307276271247702</v>
      </c>
    </row>
    <row r="1259" spans="1:6" x14ac:dyDescent="0.2">
      <c r="A1259" t="s">
        <v>2268</v>
      </c>
      <c r="B1259" t="s">
        <v>2220</v>
      </c>
      <c r="C1259" t="s">
        <v>653</v>
      </c>
      <c r="D1259">
        <v>0.630883907680443</v>
      </c>
      <c r="E1259">
        <v>0.45575649748210001</v>
      </c>
      <c r="F1259">
        <v>0.78245538288760696</v>
      </c>
    </row>
    <row r="1260" spans="1:6" x14ac:dyDescent="0.2">
      <c r="A1260" t="s">
        <v>2269</v>
      </c>
      <c r="B1260" t="s">
        <v>2222</v>
      </c>
      <c r="C1260" t="s">
        <v>653</v>
      </c>
      <c r="D1260">
        <v>0.14820019508281501</v>
      </c>
      <c r="E1260">
        <v>9.98587152353725E-2</v>
      </c>
      <c r="F1260">
        <v>0.20492380866486601</v>
      </c>
    </row>
    <row r="1261" spans="1:6" x14ac:dyDescent="0.2">
      <c r="A1261" t="s">
        <v>2270</v>
      </c>
      <c r="B1261" t="s">
        <v>2224</v>
      </c>
      <c r="C1261" t="s">
        <v>653</v>
      </c>
      <c r="D1261">
        <v>0.141455247522356</v>
      </c>
      <c r="E1261">
        <v>9.6789651893157094E-2</v>
      </c>
      <c r="F1261">
        <v>0.19488565349802001</v>
      </c>
    </row>
    <row r="1262" spans="1:6" x14ac:dyDescent="0.2">
      <c r="A1262" t="s">
        <v>2271</v>
      </c>
      <c r="B1262" t="s">
        <v>2226</v>
      </c>
      <c r="C1262" t="s">
        <v>653</v>
      </c>
      <c r="D1262">
        <v>0.168395653018899</v>
      </c>
      <c r="E1262">
        <v>0.114713887328026</v>
      </c>
      <c r="F1262">
        <v>0.23034236981075701</v>
      </c>
    </row>
    <row r="1263" spans="1:6" x14ac:dyDescent="0.2">
      <c r="A1263" t="s">
        <v>2272</v>
      </c>
      <c r="B1263" t="s">
        <v>2228</v>
      </c>
      <c r="C1263" t="s">
        <v>653</v>
      </c>
      <c r="D1263">
        <v>0.26425755402158901</v>
      </c>
      <c r="E1263">
        <v>0.18585288288821999</v>
      </c>
      <c r="F1263">
        <v>0.35842890375653402</v>
      </c>
    </row>
    <row r="1264" spans="1:6" x14ac:dyDescent="0.2">
      <c r="A1264" t="s">
        <v>2273</v>
      </c>
      <c r="B1264" t="s">
        <v>2190</v>
      </c>
      <c r="C1264" t="s">
        <v>2191</v>
      </c>
      <c r="D1264">
        <v>2.4315463699999901E-2</v>
      </c>
      <c r="E1264">
        <v>1.3568729999999999E-2</v>
      </c>
      <c r="F1264">
        <v>3.8964985000000001E-2</v>
      </c>
    </row>
    <row r="1265" spans="1:6" x14ac:dyDescent="0.2">
      <c r="A1265" t="s">
        <v>2274</v>
      </c>
      <c r="B1265" t="s">
        <v>2193</v>
      </c>
      <c r="C1265" t="s">
        <v>2194</v>
      </c>
      <c r="D1265">
        <v>0.57089716810000002</v>
      </c>
      <c r="E1265">
        <v>0.39823881499999902</v>
      </c>
      <c r="F1265">
        <v>0.72516435499999998</v>
      </c>
    </row>
    <row r="1266" spans="1:6" x14ac:dyDescent="0.2">
      <c r="A1266" t="s">
        <v>2275</v>
      </c>
      <c r="B1266" t="s">
        <v>2196</v>
      </c>
      <c r="C1266" t="s">
        <v>653</v>
      </c>
      <c r="D1266">
        <v>0.57256171279228796</v>
      </c>
      <c r="E1266">
        <v>0.403151128298815</v>
      </c>
      <c r="F1266">
        <v>0.72555420600614295</v>
      </c>
    </row>
    <row r="1267" spans="1:6" x14ac:dyDescent="0.2">
      <c r="A1267" t="s">
        <v>2276</v>
      </c>
      <c r="B1267" t="s">
        <v>2198</v>
      </c>
      <c r="C1267" t="s">
        <v>653</v>
      </c>
      <c r="D1267">
        <v>0.59277197220139899</v>
      </c>
      <c r="E1267">
        <v>0.42359620735771603</v>
      </c>
      <c r="F1267">
        <v>0.74210471607960005</v>
      </c>
    </row>
    <row r="1268" spans="1:6" x14ac:dyDescent="0.2">
      <c r="A1268" t="s">
        <v>2277</v>
      </c>
      <c r="B1268" t="s">
        <v>2200</v>
      </c>
      <c r="C1268" t="s">
        <v>653</v>
      </c>
      <c r="D1268">
        <v>0.63293904867000195</v>
      </c>
      <c r="E1268">
        <v>0.46165970345255503</v>
      </c>
      <c r="F1268">
        <v>0.78103257204120202</v>
      </c>
    </row>
    <row r="1269" spans="1:6" x14ac:dyDescent="0.2">
      <c r="A1269" t="s">
        <v>2278</v>
      </c>
      <c r="B1269" t="s">
        <v>703</v>
      </c>
      <c r="D1269">
        <v>0</v>
      </c>
      <c r="E1269">
        <v>0</v>
      </c>
      <c r="F1269">
        <v>0</v>
      </c>
    </row>
    <row r="1270" spans="1:6" x14ac:dyDescent="0.2">
      <c r="A1270" t="s">
        <v>2279</v>
      </c>
      <c r="B1270" t="s">
        <v>855</v>
      </c>
      <c r="C1270" t="s">
        <v>856</v>
      </c>
      <c r="D1270">
        <v>3.69639789999999E-3</v>
      </c>
      <c r="E1270">
        <v>1.3124725E-3</v>
      </c>
      <c r="F1270">
        <v>8.1387825000000004E-3</v>
      </c>
    </row>
    <row r="1271" spans="1:6" x14ac:dyDescent="0.2">
      <c r="A1271" t="s">
        <v>2280</v>
      </c>
      <c r="B1271" t="s">
        <v>858</v>
      </c>
      <c r="C1271" t="s">
        <v>859</v>
      </c>
      <c r="D1271">
        <v>5.1541961499999997E-2</v>
      </c>
      <c r="E1271">
        <v>3.3847374999999999E-2</v>
      </c>
      <c r="F1271">
        <v>7.5721812499999999E-2</v>
      </c>
    </row>
    <row r="1272" spans="1:6" x14ac:dyDescent="0.2">
      <c r="A1272" t="s">
        <v>2281</v>
      </c>
      <c r="B1272" t="s">
        <v>861</v>
      </c>
      <c r="C1272" t="s">
        <v>862</v>
      </c>
      <c r="D1272">
        <v>0.14876615300000001</v>
      </c>
      <c r="E1272">
        <v>0.10073293999999899</v>
      </c>
      <c r="F1272">
        <v>0.20911520249999899</v>
      </c>
    </row>
    <row r="1273" spans="1:6" x14ac:dyDescent="0.2">
      <c r="A1273" t="s">
        <v>2282</v>
      </c>
      <c r="B1273" t="s">
        <v>703</v>
      </c>
      <c r="D1273">
        <v>0</v>
      </c>
      <c r="E1273">
        <v>0</v>
      </c>
      <c r="F1273">
        <v>0</v>
      </c>
    </row>
    <row r="1274" spans="1:6" x14ac:dyDescent="0.2">
      <c r="A1274" t="s">
        <v>2283</v>
      </c>
      <c r="B1274" t="s">
        <v>2206</v>
      </c>
      <c r="C1274" t="s">
        <v>2207</v>
      </c>
      <c r="D1274">
        <v>0.1044765406</v>
      </c>
      <c r="E1274">
        <v>7.0397582499999903E-2</v>
      </c>
      <c r="F1274">
        <v>0.14667005999999899</v>
      </c>
    </row>
    <row r="1275" spans="1:6" x14ac:dyDescent="0.2">
      <c r="A1275" t="s">
        <v>2284</v>
      </c>
      <c r="B1275" t="s">
        <v>2209</v>
      </c>
      <c r="D1275">
        <v>0.107776962488985</v>
      </c>
      <c r="E1275">
        <v>7.2352775167680197E-2</v>
      </c>
      <c r="F1275">
        <v>0.15054305335135301</v>
      </c>
    </row>
    <row r="1276" spans="1:6" x14ac:dyDescent="0.2">
      <c r="A1276" t="s">
        <v>2285</v>
      </c>
      <c r="B1276" t="s">
        <v>2211</v>
      </c>
      <c r="D1276">
        <v>0.150456456639806</v>
      </c>
      <c r="E1276">
        <v>0.102812065154997</v>
      </c>
      <c r="F1276">
        <v>0.20715925362267301</v>
      </c>
    </row>
    <row r="1277" spans="1:6" x14ac:dyDescent="0.2">
      <c r="A1277" t="s">
        <v>2286</v>
      </c>
      <c r="B1277" t="s">
        <v>2213</v>
      </c>
      <c r="D1277">
        <v>0.23720671693244499</v>
      </c>
      <c r="E1277">
        <v>0.16536549868531</v>
      </c>
      <c r="F1277">
        <v>0.323689087955913</v>
      </c>
    </row>
    <row r="1278" spans="1:6" x14ac:dyDescent="0.2">
      <c r="A1278" t="s">
        <v>2287</v>
      </c>
      <c r="B1278" t="s">
        <v>1353</v>
      </c>
      <c r="C1278" t="s">
        <v>1354</v>
      </c>
      <c r="D1278">
        <v>0.56850238799999897</v>
      </c>
      <c r="E1278">
        <v>0.38881356</v>
      </c>
      <c r="F1278">
        <v>0.72678767</v>
      </c>
    </row>
    <row r="1279" spans="1:6" x14ac:dyDescent="0.2">
      <c r="A1279" t="s">
        <v>2288</v>
      </c>
      <c r="B1279" t="s">
        <v>2216</v>
      </c>
      <c r="C1279" t="s">
        <v>653</v>
      </c>
      <c r="D1279">
        <v>0.57017541467041</v>
      </c>
      <c r="E1279">
        <v>0.39143400523905197</v>
      </c>
      <c r="F1279">
        <v>0.72742338427928599</v>
      </c>
    </row>
    <row r="1280" spans="1:6" x14ac:dyDescent="0.2">
      <c r="A1280" t="s">
        <v>2289</v>
      </c>
      <c r="B1280" t="s">
        <v>2218</v>
      </c>
      <c r="C1280" t="s">
        <v>653</v>
      </c>
      <c r="D1280">
        <v>0.59050085221308801</v>
      </c>
      <c r="E1280">
        <v>0.41372750161549698</v>
      </c>
      <c r="F1280">
        <v>0.74307276271247702</v>
      </c>
    </row>
    <row r="1281" spans="1:6" x14ac:dyDescent="0.2">
      <c r="A1281" t="s">
        <v>2290</v>
      </c>
      <c r="B1281" t="s">
        <v>2220</v>
      </c>
      <c r="C1281" t="s">
        <v>653</v>
      </c>
      <c r="D1281">
        <v>0.630883907680443</v>
      </c>
      <c r="E1281">
        <v>0.45575649748210001</v>
      </c>
      <c r="F1281">
        <v>0.78245538288760696</v>
      </c>
    </row>
    <row r="1282" spans="1:6" x14ac:dyDescent="0.2">
      <c r="A1282" t="s">
        <v>2291</v>
      </c>
      <c r="B1282" t="s">
        <v>2222</v>
      </c>
      <c r="C1282" t="s">
        <v>653</v>
      </c>
      <c r="D1282">
        <v>0.14820019508281501</v>
      </c>
      <c r="E1282">
        <v>9.98587152353725E-2</v>
      </c>
      <c r="F1282">
        <v>0.20492380866486601</v>
      </c>
    </row>
    <row r="1283" spans="1:6" x14ac:dyDescent="0.2">
      <c r="A1283" t="s">
        <v>2292</v>
      </c>
      <c r="B1283" t="s">
        <v>2224</v>
      </c>
      <c r="C1283" t="s">
        <v>653</v>
      </c>
      <c r="D1283">
        <v>0.141455247522356</v>
      </c>
      <c r="E1283">
        <v>9.6789651893157094E-2</v>
      </c>
      <c r="F1283">
        <v>0.19488565349802001</v>
      </c>
    </row>
    <row r="1284" spans="1:6" x14ac:dyDescent="0.2">
      <c r="A1284" t="s">
        <v>2293</v>
      </c>
      <c r="B1284" t="s">
        <v>2226</v>
      </c>
      <c r="C1284" t="s">
        <v>653</v>
      </c>
      <c r="D1284">
        <v>0.168395653018899</v>
      </c>
      <c r="E1284">
        <v>0.114713887328026</v>
      </c>
      <c r="F1284">
        <v>0.23034236981075701</v>
      </c>
    </row>
    <row r="1285" spans="1:6" x14ac:dyDescent="0.2">
      <c r="A1285" t="s">
        <v>2294</v>
      </c>
      <c r="B1285" t="s">
        <v>2228</v>
      </c>
      <c r="C1285" t="s">
        <v>653</v>
      </c>
      <c r="D1285">
        <v>0.26425755402158901</v>
      </c>
      <c r="E1285">
        <v>0.18585288288821999</v>
      </c>
      <c r="F1285">
        <v>0.35842890375653402</v>
      </c>
    </row>
    <row r="1286" spans="1:6" x14ac:dyDescent="0.2">
      <c r="A1286" t="s">
        <v>2295</v>
      </c>
      <c r="B1286" t="s">
        <v>2190</v>
      </c>
      <c r="C1286" t="s">
        <v>2191</v>
      </c>
      <c r="D1286">
        <v>2.4315463699999901E-2</v>
      </c>
      <c r="E1286">
        <v>1.3568729999999999E-2</v>
      </c>
      <c r="F1286">
        <v>3.8964985000000001E-2</v>
      </c>
    </row>
    <row r="1287" spans="1:6" x14ac:dyDescent="0.2">
      <c r="A1287" t="s">
        <v>2296</v>
      </c>
      <c r="B1287" t="s">
        <v>2193</v>
      </c>
      <c r="C1287" t="s">
        <v>2194</v>
      </c>
      <c r="D1287">
        <v>0.57089716810000002</v>
      </c>
      <c r="E1287">
        <v>0.39823881499999902</v>
      </c>
      <c r="F1287">
        <v>0.72516435499999998</v>
      </c>
    </row>
    <row r="1288" spans="1:6" x14ac:dyDescent="0.2">
      <c r="A1288" t="s">
        <v>2297</v>
      </c>
      <c r="B1288" t="s">
        <v>2196</v>
      </c>
      <c r="C1288" t="s">
        <v>653</v>
      </c>
      <c r="D1288">
        <v>0.57256171279228796</v>
      </c>
      <c r="E1288">
        <v>0.403151128298815</v>
      </c>
      <c r="F1288">
        <v>0.72555420600614295</v>
      </c>
    </row>
    <row r="1289" spans="1:6" x14ac:dyDescent="0.2">
      <c r="A1289" t="s">
        <v>2298</v>
      </c>
      <c r="B1289" t="s">
        <v>2198</v>
      </c>
      <c r="C1289" t="s">
        <v>653</v>
      </c>
      <c r="D1289">
        <v>0.59277197220139899</v>
      </c>
      <c r="E1289">
        <v>0.42359620735771603</v>
      </c>
      <c r="F1289">
        <v>0.74210471607960005</v>
      </c>
    </row>
    <row r="1290" spans="1:6" x14ac:dyDescent="0.2">
      <c r="A1290" t="s">
        <v>2299</v>
      </c>
      <c r="B1290" t="s">
        <v>2200</v>
      </c>
      <c r="C1290" t="s">
        <v>653</v>
      </c>
      <c r="D1290">
        <v>0.63293904867000195</v>
      </c>
      <c r="E1290">
        <v>0.46165970345255503</v>
      </c>
      <c r="F1290">
        <v>0.78103257204120202</v>
      </c>
    </row>
    <row r="1291" spans="1:6" x14ac:dyDescent="0.2">
      <c r="A1291" t="s">
        <v>2300</v>
      </c>
      <c r="B1291" t="s">
        <v>703</v>
      </c>
      <c r="D1291">
        <v>0</v>
      </c>
      <c r="E1291">
        <v>0</v>
      </c>
      <c r="F1291">
        <v>0</v>
      </c>
    </row>
    <row r="1292" spans="1:6" x14ac:dyDescent="0.2">
      <c r="A1292" t="s">
        <v>2301</v>
      </c>
      <c r="B1292" t="s">
        <v>855</v>
      </c>
      <c r="C1292" t="s">
        <v>856</v>
      </c>
      <c r="D1292">
        <v>3.69639789999999E-3</v>
      </c>
      <c r="E1292">
        <v>1.3124725E-3</v>
      </c>
      <c r="F1292">
        <v>8.1387825000000004E-3</v>
      </c>
    </row>
    <row r="1293" spans="1:6" x14ac:dyDescent="0.2">
      <c r="A1293" t="s">
        <v>2302</v>
      </c>
      <c r="B1293" t="s">
        <v>858</v>
      </c>
      <c r="C1293" t="s">
        <v>859</v>
      </c>
      <c r="D1293">
        <v>5.1541961499999997E-2</v>
      </c>
      <c r="E1293">
        <v>3.3847374999999999E-2</v>
      </c>
      <c r="F1293">
        <v>7.5721812499999999E-2</v>
      </c>
    </row>
    <row r="1294" spans="1:6" x14ac:dyDescent="0.2">
      <c r="A1294" t="s">
        <v>2303</v>
      </c>
      <c r="B1294" t="s">
        <v>861</v>
      </c>
      <c r="C1294" t="s">
        <v>862</v>
      </c>
      <c r="D1294">
        <v>0.14876615300000001</v>
      </c>
      <c r="E1294">
        <v>0.10073293999999899</v>
      </c>
      <c r="F1294">
        <v>0.20911520249999899</v>
      </c>
    </row>
    <row r="1295" spans="1:6" x14ac:dyDescent="0.2">
      <c r="A1295" t="s">
        <v>2304</v>
      </c>
      <c r="B1295" t="s">
        <v>703</v>
      </c>
      <c r="D1295">
        <v>0</v>
      </c>
      <c r="E1295">
        <v>0</v>
      </c>
      <c r="F1295">
        <v>0</v>
      </c>
    </row>
    <row r="1296" spans="1:6" x14ac:dyDescent="0.2">
      <c r="A1296" t="s">
        <v>2305</v>
      </c>
      <c r="B1296" t="s">
        <v>2206</v>
      </c>
      <c r="C1296" t="s">
        <v>2207</v>
      </c>
      <c r="D1296">
        <v>0.1044765406</v>
      </c>
      <c r="E1296">
        <v>7.0397582499999903E-2</v>
      </c>
      <c r="F1296">
        <v>0.14667005999999899</v>
      </c>
    </row>
    <row r="1297" spans="1:6" x14ac:dyDescent="0.2">
      <c r="A1297" t="s">
        <v>2306</v>
      </c>
      <c r="B1297" t="s">
        <v>2209</v>
      </c>
      <c r="D1297">
        <v>0.107776962488985</v>
      </c>
      <c r="E1297">
        <v>7.2352775167680197E-2</v>
      </c>
      <c r="F1297">
        <v>0.15054305335135301</v>
      </c>
    </row>
    <row r="1298" spans="1:6" x14ac:dyDescent="0.2">
      <c r="A1298" t="s">
        <v>2307</v>
      </c>
      <c r="B1298" t="s">
        <v>2211</v>
      </c>
      <c r="D1298">
        <v>0.150456456639806</v>
      </c>
      <c r="E1298">
        <v>0.102812065154997</v>
      </c>
      <c r="F1298">
        <v>0.20715925362267301</v>
      </c>
    </row>
    <row r="1299" spans="1:6" x14ac:dyDescent="0.2">
      <c r="A1299" t="s">
        <v>2308</v>
      </c>
      <c r="B1299" t="s">
        <v>2213</v>
      </c>
      <c r="D1299">
        <v>0.23720671693244499</v>
      </c>
      <c r="E1299">
        <v>0.16536549868531</v>
      </c>
      <c r="F1299">
        <v>0.323689087955913</v>
      </c>
    </row>
    <row r="1300" spans="1:6" x14ac:dyDescent="0.2">
      <c r="A1300" t="s">
        <v>2309</v>
      </c>
      <c r="B1300" t="s">
        <v>1353</v>
      </c>
      <c r="C1300" t="s">
        <v>1354</v>
      </c>
      <c r="D1300">
        <v>0.56850238799999897</v>
      </c>
      <c r="E1300">
        <v>0.38881356</v>
      </c>
      <c r="F1300">
        <v>0.72678767</v>
      </c>
    </row>
    <row r="1301" spans="1:6" x14ac:dyDescent="0.2">
      <c r="A1301" t="s">
        <v>2310</v>
      </c>
      <c r="B1301" t="s">
        <v>2216</v>
      </c>
      <c r="C1301" t="s">
        <v>653</v>
      </c>
      <c r="D1301">
        <v>0.57017541467041</v>
      </c>
      <c r="E1301">
        <v>0.39143400523905197</v>
      </c>
      <c r="F1301">
        <v>0.72742338427928599</v>
      </c>
    </row>
    <row r="1302" spans="1:6" x14ac:dyDescent="0.2">
      <c r="A1302" t="s">
        <v>2311</v>
      </c>
      <c r="B1302" t="s">
        <v>2218</v>
      </c>
      <c r="C1302" t="s">
        <v>653</v>
      </c>
      <c r="D1302">
        <v>0.59050085221308801</v>
      </c>
      <c r="E1302">
        <v>0.41372750161549698</v>
      </c>
      <c r="F1302">
        <v>0.74307276271247702</v>
      </c>
    </row>
    <row r="1303" spans="1:6" x14ac:dyDescent="0.2">
      <c r="A1303" t="s">
        <v>2312</v>
      </c>
      <c r="B1303" t="s">
        <v>2220</v>
      </c>
      <c r="C1303" t="s">
        <v>653</v>
      </c>
      <c r="D1303">
        <v>0.630883907680443</v>
      </c>
      <c r="E1303">
        <v>0.45575649748210001</v>
      </c>
      <c r="F1303">
        <v>0.78245538288760696</v>
      </c>
    </row>
    <row r="1304" spans="1:6" x14ac:dyDescent="0.2">
      <c r="A1304" t="s">
        <v>2313</v>
      </c>
      <c r="B1304" t="s">
        <v>2222</v>
      </c>
      <c r="C1304" t="s">
        <v>653</v>
      </c>
      <c r="D1304">
        <v>0.14820019508281501</v>
      </c>
      <c r="E1304">
        <v>9.98587152353725E-2</v>
      </c>
      <c r="F1304">
        <v>0.20492380866486601</v>
      </c>
    </row>
    <row r="1305" spans="1:6" x14ac:dyDescent="0.2">
      <c r="A1305" t="s">
        <v>2314</v>
      </c>
      <c r="B1305" t="s">
        <v>2224</v>
      </c>
      <c r="C1305" t="s">
        <v>653</v>
      </c>
      <c r="D1305">
        <v>0.141455247522356</v>
      </c>
      <c r="E1305">
        <v>9.6789651893157094E-2</v>
      </c>
      <c r="F1305">
        <v>0.19488565349802001</v>
      </c>
    </row>
    <row r="1306" spans="1:6" x14ac:dyDescent="0.2">
      <c r="A1306" t="s">
        <v>2315</v>
      </c>
      <c r="B1306" t="s">
        <v>2226</v>
      </c>
      <c r="C1306" t="s">
        <v>653</v>
      </c>
      <c r="D1306">
        <v>0.168395653018899</v>
      </c>
      <c r="E1306">
        <v>0.114713887328026</v>
      </c>
      <c r="F1306">
        <v>0.23034236981075701</v>
      </c>
    </row>
    <row r="1307" spans="1:6" x14ac:dyDescent="0.2">
      <c r="A1307" t="s">
        <v>2316</v>
      </c>
      <c r="B1307" t="s">
        <v>2228</v>
      </c>
      <c r="C1307" t="s">
        <v>653</v>
      </c>
      <c r="D1307">
        <v>0.26425755402158901</v>
      </c>
      <c r="E1307">
        <v>0.18585288288821999</v>
      </c>
      <c r="F1307">
        <v>0.35842890375653402</v>
      </c>
    </row>
    <row r="1308" spans="1:6" x14ac:dyDescent="0.2">
      <c r="A1308" t="s">
        <v>2317</v>
      </c>
      <c r="B1308" t="s">
        <v>705</v>
      </c>
      <c r="C1308" t="s">
        <v>706</v>
      </c>
      <c r="D1308">
        <v>5.0594945799999902E-2</v>
      </c>
      <c r="E1308">
        <v>3.2378222499999998E-2</v>
      </c>
      <c r="F1308">
        <v>7.4050449999999907E-2</v>
      </c>
    </row>
    <row r="1309" spans="1:6" x14ac:dyDescent="0.2">
      <c r="A1309" t="s">
        <v>2318</v>
      </c>
      <c r="B1309" t="s">
        <v>924</v>
      </c>
      <c r="C1309" t="s">
        <v>925</v>
      </c>
      <c r="D1309">
        <v>2.6517503899999999E-2</v>
      </c>
      <c r="E1309">
        <v>1.5009937500000001E-2</v>
      </c>
      <c r="F1309">
        <v>4.23970475E-2</v>
      </c>
    </row>
    <row r="1310" spans="1:6" x14ac:dyDescent="0.2">
      <c r="A1310" t="s">
        <v>2319</v>
      </c>
      <c r="B1310" t="s">
        <v>960</v>
      </c>
      <c r="C1310" t="s">
        <v>961</v>
      </c>
      <c r="D1310">
        <v>0.18808746869999901</v>
      </c>
      <c r="E1310">
        <v>0.124700385</v>
      </c>
      <c r="F1310">
        <v>0.26659237499999999</v>
      </c>
    </row>
    <row r="1311" spans="1:6" x14ac:dyDescent="0.2">
      <c r="A1311" t="s">
        <v>2320</v>
      </c>
      <c r="B1311" t="s">
        <v>1392</v>
      </c>
      <c r="C1311" t="s">
        <v>1393</v>
      </c>
      <c r="D1311">
        <v>0.57631682819999996</v>
      </c>
      <c r="E1311">
        <v>0.40142909249999997</v>
      </c>
      <c r="F1311">
        <v>0.73075530999999905</v>
      </c>
    </row>
    <row r="1312" spans="1:6" x14ac:dyDescent="0.2">
      <c r="A1312" t="s">
        <v>2321</v>
      </c>
      <c r="B1312" t="s">
        <v>924</v>
      </c>
      <c r="C1312" t="s">
        <v>925</v>
      </c>
      <c r="D1312">
        <v>2.6517503899999999E-2</v>
      </c>
      <c r="E1312">
        <v>1.5009937500000001E-2</v>
      </c>
      <c r="F1312">
        <v>4.23970475E-2</v>
      </c>
    </row>
    <row r="1313" spans="1:6" x14ac:dyDescent="0.2">
      <c r="A1313" t="s">
        <v>2322</v>
      </c>
      <c r="B1313" t="s">
        <v>960</v>
      </c>
      <c r="C1313" t="s">
        <v>961</v>
      </c>
      <c r="D1313">
        <v>0.18808746869999901</v>
      </c>
      <c r="E1313">
        <v>0.124700385</v>
      </c>
      <c r="F1313">
        <v>0.26659237499999999</v>
      </c>
    </row>
    <row r="1314" spans="1:6" x14ac:dyDescent="0.2">
      <c r="A1314" t="s">
        <v>2323</v>
      </c>
      <c r="B1314" t="s">
        <v>703</v>
      </c>
      <c r="D1314">
        <v>0</v>
      </c>
      <c r="E1314">
        <v>0</v>
      </c>
      <c r="F1314">
        <v>0</v>
      </c>
    </row>
    <row r="1315" spans="1:6" x14ac:dyDescent="0.2">
      <c r="A1315" t="s">
        <v>2324</v>
      </c>
      <c r="B1315" t="s">
        <v>924</v>
      </c>
      <c r="C1315" t="s">
        <v>925</v>
      </c>
      <c r="D1315">
        <v>2.6517503899999999E-2</v>
      </c>
      <c r="E1315">
        <v>1.5009937500000001E-2</v>
      </c>
      <c r="F1315">
        <v>4.23970475E-2</v>
      </c>
    </row>
    <row r="1316" spans="1:6" x14ac:dyDescent="0.2">
      <c r="A1316" t="s">
        <v>2325</v>
      </c>
      <c r="B1316" t="s">
        <v>703</v>
      </c>
      <c r="D1316">
        <v>0</v>
      </c>
      <c r="E1316">
        <v>0</v>
      </c>
      <c r="F1316">
        <v>0</v>
      </c>
    </row>
    <row r="1317" spans="1:6" x14ac:dyDescent="0.2">
      <c r="A1317" t="s">
        <v>2326</v>
      </c>
      <c r="B1317" t="s">
        <v>924</v>
      </c>
      <c r="C1317" t="s">
        <v>925</v>
      </c>
      <c r="D1317">
        <v>2.6517503899999999E-2</v>
      </c>
      <c r="E1317">
        <v>1.5009937500000001E-2</v>
      </c>
      <c r="F1317">
        <v>4.23970475E-2</v>
      </c>
    </row>
    <row r="1318" spans="1:6" x14ac:dyDescent="0.2">
      <c r="A1318" t="s">
        <v>2327</v>
      </c>
      <c r="B1318" t="s">
        <v>960</v>
      </c>
      <c r="C1318" t="s">
        <v>961</v>
      </c>
      <c r="D1318">
        <v>0.18808746869999901</v>
      </c>
      <c r="E1318">
        <v>0.124700385</v>
      </c>
      <c r="F1318">
        <v>0.26659237499999999</v>
      </c>
    </row>
    <row r="1319" spans="1:6" x14ac:dyDescent="0.2">
      <c r="A1319" t="s">
        <v>2328</v>
      </c>
      <c r="B1319" t="s">
        <v>1392</v>
      </c>
      <c r="C1319" t="s">
        <v>1393</v>
      </c>
      <c r="D1319">
        <v>0.57631682819999996</v>
      </c>
      <c r="E1319">
        <v>0.40142909249999997</v>
      </c>
      <c r="F1319">
        <v>0.73075530999999905</v>
      </c>
    </row>
    <row r="1320" spans="1:6" x14ac:dyDescent="0.2">
      <c r="A1320" t="s">
        <v>2329</v>
      </c>
      <c r="B1320" t="s">
        <v>719</v>
      </c>
      <c r="C1320" t="s">
        <v>720</v>
      </c>
      <c r="D1320">
        <v>5.7864971999999903E-3</v>
      </c>
      <c r="E1320">
        <v>2.29985E-3</v>
      </c>
      <c r="F1320">
        <v>1.2109072499999899E-2</v>
      </c>
    </row>
    <row r="1321" spans="1:6" x14ac:dyDescent="0.2">
      <c r="A1321" t="s">
        <v>2330</v>
      </c>
      <c r="B1321" t="s">
        <v>705</v>
      </c>
      <c r="C1321" t="s">
        <v>706</v>
      </c>
      <c r="D1321">
        <v>5.0594945799999902E-2</v>
      </c>
      <c r="E1321">
        <v>3.2378222499999998E-2</v>
      </c>
      <c r="F1321">
        <v>7.4050449999999907E-2</v>
      </c>
    </row>
    <row r="1322" spans="1:6" x14ac:dyDescent="0.2">
      <c r="A1322" t="s">
        <v>2331</v>
      </c>
      <c r="B1322" t="s">
        <v>781</v>
      </c>
      <c r="C1322" t="s">
        <v>782</v>
      </c>
      <c r="D1322">
        <v>0.13341151879999999</v>
      </c>
      <c r="E1322">
        <v>8.8459514999999905E-2</v>
      </c>
      <c r="F1322">
        <v>0.18950166500000001</v>
      </c>
    </row>
    <row r="1323" spans="1:6" x14ac:dyDescent="0.2">
      <c r="A1323" t="s">
        <v>2332</v>
      </c>
      <c r="B1323" t="s">
        <v>719</v>
      </c>
      <c r="C1323" t="s">
        <v>720</v>
      </c>
      <c r="D1323">
        <v>5.7864971999999903E-3</v>
      </c>
      <c r="E1323">
        <v>2.29985E-3</v>
      </c>
      <c r="F1323">
        <v>1.2109072499999899E-2</v>
      </c>
    </row>
    <row r="1324" spans="1:6" x14ac:dyDescent="0.2">
      <c r="A1324" t="s">
        <v>2333</v>
      </c>
      <c r="B1324" t="s">
        <v>719</v>
      </c>
      <c r="C1324" t="s">
        <v>720</v>
      </c>
      <c r="D1324">
        <v>5.7864971999999903E-3</v>
      </c>
      <c r="E1324">
        <v>2.29985E-3</v>
      </c>
      <c r="F1324">
        <v>1.2109072499999899E-2</v>
      </c>
    </row>
    <row r="1325" spans="1:6" x14ac:dyDescent="0.2">
      <c r="A1325" t="s">
        <v>2334</v>
      </c>
      <c r="B1325" t="s">
        <v>924</v>
      </c>
      <c r="C1325" t="s">
        <v>925</v>
      </c>
      <c r="D1325">
        <v>2.6517503899999999E-2</v>
      </c>
      <c r="E1325">
        <v>1.5009937500000001E-2</v>
      </c>
      <c r="F1325">
        <v>4.23970475E-2</v>
      </c>
    </row>
    <row r="1326" spans="1:6" x14ac:dyDescent="0.2">
      <c r="A1326" t="s">
        <v>2335</v>
      </c>
      <c r="B1326" t="s">
        <v>719</v>
      </c>
      <c r="C1326" t="s">
        <v>720</v>
      </c>
      <c r="D1326">
        <v>5.7864971999999903E-3</v>
      </c>
      <c r="E1326">
        <v>2.29985E-3</v>
      </c>
      <c r="F1326">
        <v>1.2109072499999899E-2</v>
      </c>
    </row>
    <row r="1327" spans="1:6" x14ac:dyDescent="0.2">
      <c r="A1327" t="s">
        <v>2336</v>
      </c>
      <c r="B1327" t="s">
        <v>719</v>
      </c>
      <c r="C1327" t="s">
        <v>720</v>
      </c>
      <c r="D1327">
        <v>5.7864971999999903E-3</v>
      </c>
      <c r="E1327">
        <v>2.29985E-3</v>
      </c>
      <c r="F1327">
        <v>1.2109072499999899E-2</v>
      </c>
    </row>
    <row r="1328" spans="1:6" x14ac:dyDescent="0.2">
      <c r="A1328" t="s">
        <v>2337</v>
      </c>
      <c r="B1328" t="s">
        <v>719</v>
      </c>
      <c r="C1328" t="s">
        <v>720</v>
      </c>
      <c r="D1328">
        <v>5.7864971999999903E-3</v>
      </c>
      <c r="E1328">
        <v>2.29985E-3</v>
      </c>
      <c r="F1328">
        <v>1.2109072499999899E-2</v>
      </c>
    </row>
    <row r="1329" spans="1:6" x14ac:dyDescent="0.2">
      <c r="A1329" t="s">
        <v>2338</v>
      </c>
      <c r="B1329" t="s">
        <v>921</v>
      </c>
      <c r="C1329" t="s">
        <v>922</v>
      </c>
      <c r="D1329">
        <v>6.6991753799999998E-2</v>
      </c>
      <c r="E1329">
        <v>4.4417720000000001E-2</v>
      </c>
      <c r="F1329">
        <v>9.5900522499999905E-2</v>
      </c>
    </row>
    <row r="1330" spans="1:6" x14ac:dyDescent="0.2">
      <c r="A1330" t="s">
        <v>2339</v>
      </c>
      <c r="B1330" t="s">
        <v>719</v>
      </c>
      <c r="C1330" t="s">
        <v>720</v>
      </c>
      <c r="D1330">
        <v>5.7864971999999903E-3</v>
      </c>
      <c r="E1330">
        <v>2.29985E-3</v>
      </c>
      <c r="F1330">
        <v>1.2109072499999899E-2</v>
      </c>
    </row>
    <row r="1331" spans="1:6" x14ac:dyDescent="0.2">
      <c r="A1331" t="s">
        <v>2340</v>
      </c>
      <c r="B1331" t="s">
        <v>921</v>
      </c>
      <c r="C1331" t="s">
        <v>922</v>
      </c>
      <c r="D1331">
        <v>6.6991753799999998E-2</v>
      </c>
      <c r="E1331">
        <v>4.4417720000000001E-2</v>
      </c>
      <c r="F1331">
        <v>9.5900522499999905E-2</v>
      </c>
    </row>
    <row r="1332" spans="1:6" x14ac:dyDescent="0.2">
      <c r="A1332" t="s">
        <v>2341</v>
      </c>
      <c r="B1332" t="s">
        <v>711</v>
      </c>
      <c r="C1332" t="s">
        <v>712</v>
      </c>
      <c r="D1332">
        <v>1.10162523999999E-2</v>
      </c>
      <c r="E1332">
        <v>5.2397625E-3</v>
      </c>
      <c r="F1332">
        <v>2.06195424999999E-2</v>
      </c>
    </row>
    <row r="1333" spans="1:6" x14ac:dyDescent="0.2">
      <c r="A1333" t="s">
        <v>2342</v>
      </c>
      <c r="B1333" t="s">
        <v>711</v>
      </c>
      <c r="C1333" t="s">
        <v>712</v>
      </c>
      <c r="D1333">
        <v>1.10162523999999E-2</v>
      </c>
      <c r="E1333">
        <v>5.2397625E-3</v>
      </c>
      <c r="F1333">
        <v>2.06195424999999E-2</v>
      </c>
    </row>
    <row r="1334" spans="1:6" x14ac:dyDescent="0.2">
      <c r="A1334" t="s">
        <v>2343</v>
      </c>
      <c r="B1334" t="s">
        <v>921</v>
      </c>
      <c r="C1334" t="s">
        <v>922</v>
      </c>
      <c r="D1334">
        <v>6.6991753799999998E-2</v>
      </c>
      <c r="E1334">
        <v>4.4417720000000001E-2</v>
      </c>
      <c r="F1334">
        <v>9.5900522499999905E-2</v>
      </c>
    </row>
    <row r="1335" spans="1:6" x14ac:dyDescent="0.2">
      <c r="A1335" t="s">
        <v>2344</v>
      </c>
      <c r="B1335" t="s">
        <v>724</v>
      </c>
      <c r="C1335" t="s">
        <v>725</v>
      </c>
      <c r="D1335">
        <v>0.40479053700000001</v>
      </c>
      <c r="E1335">
        <v>0.27450637750000001</v>
      </c>
      <c r="F1335">
        <v>0.54553343499999996</v>
      </c>
    </row>
    <row r="1336" spans="1:6" x14ac:dyDescent="0.2">
      <c r="A1336" t="s">
        <v>2345</v>
      </c>
      <c r="B1336" t="s">
        <v>711</v>
      </c>
      <c r="C1336" t="s">
        <v>712</v>
      </c>
      <c r="D1336">
        <v>1.10162523999999E-2</v>
      </c>
      <c r="E1336">
        <v>5.2397625E-3</v>
      </c>
      <c r="F1336">
        <v>2.06195424999999E-2</v>
      </c>
    </row>
    <row r="1337" spans="1:6" x14ac:dyDescent="0.2">
      <c r="A1337" t="s">
        <v>2346</v>
      </c>
      <c r="B1337" t="s">
        <v>921</v>
      </c>
      <c r="C1337" t="s">
        <v>922</v>
      </c>
      <c r="D1337">
        <v>6.6991753799999998E-2</v>
      </c>
      <c r="E1337">
        <v>4.4417720000000001E-2</v>
      </c>
      <c r="F1337">
        <v>9.5900522499999905E-2</v>
      </c>
    </row>
    <row r="1338" spans="1:6" x14ac:dyDescent="0.2">
      <c r="A1338" t="s">
        <v>2347</v>
      </c>
      <c r="B1338" t="s">
        <v>711</v>
      </c>
      <c r="C1338" t="s">
        <v>712</v>
      </c>
      <c r="D1338">
        <v>1.10162523999999E-2</v>
      </c>
      <c r="E1338">
        <v>5.2397625E-3</v>
      </c>
      <c r="F1338">
        <v>2.06195424999999E-2</v>
      </c>
    </row>
    <row r="1339" spans="1:6" x14ac:dyDescent="0.2">
      <c r="A1339" t="s">
        <v>2348</v>
      </c>
      <c r="B1339" t="s">
        <v>924</v>
      </c>
      <c r="C1339" t="s">
        <v>925</v>
      </c>
      <c r="D1339">
        <v>2.6517503899999999E-2</v>
      </c>
      <c r="E1339">
        <v>1.5009937500000001E-2</v>
      </c>
      <c r="F1339">
        <v>4.23970475E-2</v>
      </c>
    </row>
    <row r="1340" spans="1:6" x14ac:dyDescent="0.2">
      <c r="A1340" t="s">
        <v>2349</v>
      </c>
      <c r="B1340" t="s">
        <v>960</v>
      </c>
      <c r="C1340" t="s">
        <v>961</v>
      </c>
      <c r="D1340">
        <v>0.18808746869999901</v>
      </c>
      <c r="E1340">
        <v>0.124700385</v>
      </c>
      <c r="F1340">
        <v>0.26659237499999999</v>
      </c>
    </row>
    <row r="1341" spans="1:6" x14ac:dyDescent="0.2">
      <c r="A1341" t="s">
        <v>2350</v>
      </c>
      <c r="B1341" t="s">
        <v>924</v>
      </c>
      <c r="C1341" t="s">
        <v>925</v>
      </c>
      <c r="D1341">
        <v>2.6517503899999999E-2</v>
      </c>
      <c r="E1341">
        <v>1.5009937500000001E-2</v>
      </c>
      <c r="F1341">
        <v>4.23970475E-2</v>
      </c>
    </row>
    <row r="1342" spans="1:6" x14ac:dyDescent="0.2">
      <c r="A1342" t="s">
        <v>2351</v>
      </c>
      <c r="B1342" t="s">
        <v>960</v>
      </c>
      <c r="C1342" t="s">
        <v>961</v>
      </c>
      <c r="D1342">
        <v>0.18808746869999901</v>
      </c>
      <c r="E1342">
        <v>0.124700385</v>
      </c>
      <c r="F1342">
        <v>0.26659237499999999</v>
      </c>
    </row>
    <row r="1343" spans="1:6" x14ac:dyDescent="0.2">
      <c r="A1343" t="s">
        <v>2352</v>
      </c>
      <c r="B1343" t="s">
        <v>1392</v>
      </c>
      <c r="C1343" t="s">
        <v>1393</v>
      </c>
      <c r="D1343">
        <v>0.57631682819999996</v>
      </c>
      <c r="E1343">
        <v>0.40142909249999997</v>
      </c>
      <c r="F1343">
        <v>0.73075530999999905</v>
      </c>
    </row>
    <row r="1344" spans="1:6" x14ac:dyDescent="0.2">
      <c r="A1344" t="s">
        <v>2353</v>
      </c>
      <c r="B1344" t="s">
        <v>711</v>
      </c>
      <c r="C1344" t="s">
        <v>712</v>
      </c>
      <c r="D1344">
        <v>1.10162523999999E-2</v>
      </c>
      <c r="E1344">
        <v>5.2397625E-3</v>
      </c>
      <c r="F1344">
        <v>2.06195424999999E-2</v>
      </c>
    </row>
    <row r="1345" spans="1:6" x14ac:dyDescent="0.2">
      <c r="A1345" t="s">
        <v>2354</v>
      </c>
      <c r="B1345" t="s">
        <v>703</v>
      </c>
      <c r="D1345">
        <v>0</v>
      </c>
      <c r="E1345">
        <v>0</v>
      </c>
      <c r="F1345">
        <v>0</v>
      </c>
    </row>
    <row r="1346" spans="1:6" x14ac:dyDescent="0.2">
      <c r="A1346" t="s">
        <v>2355</v>
      </c>
      <c r="B1346" t="s">
        <v>964</v>
      </c>
      <c r="C1346" t="s">
        <v>965</v>
      </c>
      <c r="D1346">
        <v>3.0842126399999899E-2</v>
      </c>
      <c r="E1346">
        <v>1.8822002500000001E-2</v>
      </c>
      <c r="F1346">
        <v>4.8710372499999897E-2</v>
      </c>
    </row>
    <row r="1347" spans="1:6" x14ac:dyDescent="0.2">
      <c r="A1347" t="s">
        <v>2356</v>
      </c>
      <c r="B1347" t="s">
        <v>967</v>
      </c>
      <c r="C1347" t="s">
        <v>968</v>
      </c>
      <c r="D1347">
        <v>0.18404848779999999</v>
      </c>
      <c r="E1347">
        <v>0.1251250575</v>
      </c>
      <c r="F1347">
        <v>0.25828618249999902</v>
      </c>
    </row>
    <row r="1348" spans="1:6" x14ac:dyDescent="0.2">
      <c r="A1348" t="s">
        <v>2357</v>
      </c>
      <c r="B1348" t="s">
        <v>970</v>
      </c>
      <c r="C1348" t="s">
        <v>971</v>
      </c>
      <c r="D1348">
        <v>0.18736458340000001</v>
      </c>
      <c r="E1348">
        <v>0.1244286775</v>
      </c>
      <c r="F1348">
        <v>0.26021716249999999</v>
      </c>
    </row>
    <row r="1349" spans="1:6" x14ac:dyDescent="0.2">
      <c r="A1349" t="s">
        <v>2358</v>
      </c>
      <c r="B1349" t="s">
        <v>964</v>
      </c>
      <c r="C1349" t="s">
        <v>965</v>
      </c>
      <c r="D1349">
        <v>3.0842126399999899E-2</v>
      </c>
      <c r="E1349">
        <v>1.8822002500000001E-2</v>
      </c>
      <c r="F1349">
        <v>4.8710372499999897E-2</v>
      </c>
    </row>
    <row r="1350" spans="1:6" x14ac:dyDescent="0.2">
      <c r="A1350" t="s">
        <v>2359</v>
      </c>
      <c r="B1350" t="s">
        <v>967</v>
      </c>
      <c r="C1350" t="s">
        <v>968</v>
      </c>
      <c r="D1350">
        <v>0.18404848779999999</v>
      </c>
      <c r="E1350">
        <v>0.1251250575</v>
      </c>
      <c r="F1350">
        <v>0.25828618249999902</v>
      </c>
    </row>
    <row r="1351" spans="1:6" x14ac:dyDescent="0.2">
      <c r="A1351" t="s">
        <v>2360</v>
      </c>
      <c r="B1351" t="s">
        <v>970</v>
      </c>
      <c r="C1351" t="s">
        <v>971</v>
      </c>
      <c r="D1351">
        <v>0.18736458340000001</v>
      </c>
      <c r="E1351">
        <v>0.1244286775</v>
      </c>
      <c r="F1351">
        <v>0.26021716249999999</v>
      </c>
    </row>
    <row r="1352" spans="1:6" x14ac:dyDescent="0.2">
      <c r="A1352" t="s">
        <v>2361</v>
      </c>
      <c r="B1352" t="s">
        <v>964</v>
      </c>
      <c r="C1352" t="s">
        <v>965</v>
      </c>
      <c r="D1352">
        <v>3.0842126399999899E-2</v>
      </c>
      <c r="E1352">
        <v>1.8822002500000001E-2</v>
      </c>
      <c r="F1352">
        <v>4.8710372499999897E-2</v>
      </c>
    </row>
    <row r="1353" spans="1:6" x14ac:dyDescent="0.2">
      <c r="A1353" t="s">
        <v>2362</v>
      </c>
      <c r="B1353" t="s">
        <v>967</v>
      </c>
      <c r="C1353" t="s">
        <v>968</v>
      </c>
      <c r="D1353">
        <v>0.18404848779999999</v>
      </c>
      <c r="E1353">
        <v>0.1251250575</v>
      </c>
      <c r="F1353">
        <v>0.25828618249999902</v>
      </c>
    </row>
    <row r="1354" spans="1:6" x14ac:dyDescent="0.2">
      <c r="A1354" t="s">
        <v>2363</v>
      </c>
      <c r="B1354" t="s">
        <v>970</v>
      </c>
      <c r="C1354" t="s">
        <v>971</v>
      </c>
      <c r="D1354">
        <v>0.18736458340000001</v>
      </c>
      <c r="E1354">
        <v>0.1244286775</v>
      </c>
      <c r="F1354">
        <v>0.26021716249999999</v>
      </c>
    </row>
    <row r="1355" spans="1:6" x14ac:dyDescent="0.2">
      <c r="A1355" t="s">
        <v>2364</v>
      </c>
      <c r="B1355" t="s">
        <v>964</v>
      </c>
      <c r="C1355" t="s">
        <v>965</v>
      </c>
      <c r="D1355">
        <v>3.0842126399999899E-2</v>
      </c>
      <c r="E1355">
        <v>1.8822002500000001E-2</v>
      </c>
      <c r="F1355">
        <v>4.8710372499999897E-2</v>
      </c>
    </row>
    <row r="1356" spans="1:6" x14ac:dyDescent="0.2">
      <c r="A1356" t="s">
        <v>2365</v>
      </c>
      <c r="B1356" t="s">
        <v>967</v>
      </c>
      <c r="C1356" t="s">
        <v>968</v>
      </c>
      <c r="D1356">
        <v>0.18404848779999999</v>
      </c>
      <c r="E1356">
        <v>0.1251250575</v>
      </c>
      <c r="F1356">
        <v>0.25828618249999902</v>
      </c>
    </row>
    <row r="1357" spans="1:6" x14ac:dyDescent="0.2">
      <c r="A1357" t="s">
        <v>2366</v>
      </c>
      <c r="B1357" t="s">
        <v>970</v>
      </c>
      <c r="C1357" t="s">
        <v>971</v>
      </c>
      <c r="D1357">
        <v>0.18736458340000001</v>
      </c>
      <c r="E1357">
        <v>0.1244286775</v>
      </c>
      <c r="F1357">
        <v>0.26021716249999999</v>
      </c>
    </row>
    <row r="1358" spans="1:6" x14ac:dyDescent="0.2">
      <c r="A1358" t="s">
        <v>2367</v>
      </c>
      <c r="B1358" t="s">
        <v>2368</v>
      </c>
      <c r="C1358" t="s">
        <v>2369</v>
      </c>
      <c r="D1358">
        <v>1.06037545999999E-2</v>
      </c>
      <c r="E1358">
        <v>4.9516274999999998E-3</v>
      </c>
      <c r="F1358">
        <v>1.9869292499999899E-2</v>
      </c>
    </row>
    <row r="1359" spans="1:6" x14ac:dyDescent="0.2">
      <c r="A1359" t="s">
        <v>2370</v>
      </c>
      <c r="B1359" t="s">
        <v>964</v>
      </c>
      <c r="C1359" t="s">
        <v>965</v>
      </c>
      <c r="D1359">
        <v>3.0842126399999899E-2</v>
      </c>
      <c r="E1359">
        <v>1.8822002500000001E-2</v>
      </c>
      <c r="F1359">
        <v>4.8710372499999897E-2</v>
      </c>
    </row>
    <row r="1360" spans="1:6" x14ac:dyDescent="0.2">
      <c r="A1360" t="s">
        <v>2371</v>
      </c>
      <c r="B1360" t="s">
        <v>967</v>
      </c>
      <c r="C1360" t="s">
        <v>968</v>
      </c>
      <c r="D1360">
        <v>0.18404848779999999</v>
      </c>
      <c r="E1360">
        <v>0.1251250575</v>
      </c>
      <c r="F1360">
        <v>0.25828618249999902</v>
      </c>
    </row>
    <row r="1361" spans="1:6" x14ac:dyDescent="0.2">
      <c r="A1361" t="s">
        <v>2372</v>
      </c>
      <c r="B1361" t="s">
        <v>970</v>
      </c>
      <c r="C1361" t="s">
        <v>971</v>
      </c>
      <c r="D1361">
        <v>0.18736458340000001</v>
      </c>
      <c r="E1361">
        <v>0.1244286775</v>
      </c>
      <c r="F1361">
        <v>0.26021716249999999</v>
      </c>
    </row>
    <row r="1362" spans="1:6" x14ac:dyDescent="0.2">
      <c r="A1362" t="s">
        <v>2373</v>
      </c>
      <c r="B1362" t="s">
        <v>791</v>
      </c>
      <c r="C1362" t="s">
        <v>792</v>
      </c>
      <c r="D1362">
        <v>9.5578865999999991E-3</v>
      </c>
      <c r="E1362">
        <v>4.1924800000000002E-3</v>
      </c>
      <c r="F1362">
        <v>1.8805200000000001E-2</v>
      </c>
    </row>
    <row r="1363" spans="1:6" x14ac:dyDescent="0.2">
      <c r="A1363" t="s">
        <v>2374</v>
      </c>
      <c r="B1363" t="s">
        <v>794</v>
      </c>
      <c r="C1363" t="s">
        <v>795</v>
      </c>
      <c r="D1363">
        <v>2.65751711999999E-2</v>
      </c>
      <c r="E1363">
        <v>1.52951175E-2</v>
      </c>
      <c r="F1363">
        <v>4.22289125E-2</v>
      </c>
    </row>
    <row r="1364" spans="1:6" x14ac:dyDescent="0.2">
      <c r="A1364" t="s">
        <v>2375</v>
      </c>
      <c r="B1364" t="s">
        <v>1050</v>
      </c>
      <c r="C1364" t="s">
        <v>1051</v>
      </c>
      <c r="D1364">
        <v>0.15839743489999999</v>
      </c>
      <c r="E1364">
        <v>0.1047161475</v>
      </c>
      <c r="F1364">
        <v>0.226632689999999</v>
      </c>
    </row>
    <row r="1365" spans="1:6" x14ac:dyDescent="0.2">
      <c r="A1365" t="s">
        <v>2376</v>
      </c>
      <c r="B1365" t="s">
        <v>1053</v>
      </c>
      <c r="C1365" t="s">
        <v>1054</v>
      </c>
      <c r="D1365">
        <v>0.2039397084</v>
      </c>
      <c r="E1365">
        <v>0.13448814749999999</v>
      </c>
      <c r="F1365">
        <v>0.28766184750000001</v>
      </c>
    </row>
    <row r="1366" spans="1:6" x14ac:dyDescent="0.2">
      <c r="A1366" t="s">
        <v>2377</v>
      </c>
      <c r="B1366" t="s">
        <v>1056</v>
      </c>
      <c r="C1366" t="s">
        <v>1057</v>
      </c>
      <c r="D1366">
        <v>0.21483467019999899</v>
      </c>
      <c r="E1366">
        <v>0.14405489499999999</v>
      </c>
      <c r="F1366">
        <v>0.30661874249999999</v>
      </c>
    </row>
    <row r="1367" spans="1:6" x14ac:dyDescent="0.2">
      <c r="A1367" t="s">
        <v>2378</v>
      </c>
      <c r="B1367" t="s">
        <v>797</v>
      </c>
      <c r="C1367" t="s">
        <v>798</v>
      </c>
      <c r="D1367">
        <v>2.1431429099999899E-2</v>
      </c>
      <c r="E1367">
        <v>1.1755784999999999E-2</v>
      </c>
      <c r="F1367">
        <v>3.6158027499999898E-2</v>
      </c>
    </row>
    <row r="1368" spans="1:6" x14ac:dyDescent="0.2">
      <c r="A1368" t="s">
        <v>2379</v>
      </c>
      <c r="B1368" t="s">
        <v>800</v>
      </c>
      <c r="C1368" t="s">
        <v>801</v>
      </c>
      <c r="D1368">
        <v>7.3963035999999899E-2</v>
      </c>
      <c r="E1368">
        <v>4.8560812499999897E-2</v>
      </c>
      <c r="F1368">
        <v>0.1065795325</v>
      </c>
    </row>
    <row r="1369" spans="1:6" x14ac:dyDescent="0.2">
      <c r="A1369" t="s">
        <v>2380</v>
      </c>
      <c r="B1369" t="s">
        <v>1061</v>
      </c>
      <c r="C1369" t="s">
        <v>1062</v>
      </c>
      <c r="D1369">
        <v>0.26086708250000001</v>
      </c>
      <c r="E1369">
        <v>0.17492123749999999</v>
      </c>
      <c r="F1369">
        <v>0.3600558425</v>
      </c>
    </row>
    <row r="1370" spans="1:6" x14ac:dyDescent="0.2">
      <c r="A1370" t="s">
        <v>2381</v>
      </c>
      <c r="B1370" t="s">
        <v>1064</v>
      </c>
      <c r="C1370" t="s">
        <v>1065</v>
      </c>
      <c r="D1370">
        <v>0.27732069809999998</v>
      </c>
      <c r="E1370">
        <v>0.18206008500000001</v>
      </c>
      <c r="F1370">
        <v>0.38717259249999902</v>
      </c>
    </row>
    <row r="1371" spans="1:6" x14ac:dyDescent="0.2">
      <c r="A1371" t="s">
        <v>2382</v>
      </c>
      <c r="B1371" t="s">
        <v>1067</v>
      </c>
      <c r="C1371" t="s">
        <v>1068</v>
      </c>
      <c r="D1371">
        <v>0.31580135729999997</v>
      </c>
      <c r="E1371">
        <v>0.2122617</v>
      </c>
      <c r="F1371">
        <v>0.43527153749999897</v>
      </c>
    </row>
    <row r="1372" spans="1:6" x14ac:dyDescent="0.2">
      <c r="A1372" t="s">
        <v>2383</v>
      </c>
      <c r="B1372" t="s">
        <v>1083</v>
      </c>
      <c r="C1372" t="s">
        <v>1084</v>
      </c>
      <c r="D1372">
        <v>9.2486303049999996E-2</v>
      </c>
      <c r="E1372">
        <v>6.3713094999999997E-2</v>
      </c>
      <c r="F1372">
        <v>0.12911613750000001</v>
      </c>
    </row>
    <row r="1373" spans="1:6" x14ac:dyDescent="0.2">
      <c r="A1373" t="s">
        <v>2384</v>
      </c>
      <c r="B1373" t="s">
        <v>1086</v>
      </c>
      <c r="C1373" t="s">
        <v>1084</v>
      </c>
      <c r="D1373">
        <v>0.16741505925</v>
      </c>
      <c r="E1373">
        <v>0.11486844874999901</v>
      </c>
      <c r="F1373">
        <v>0.23069741124999901</v>
      </c>
    </row>
    <row r="1374" spans="1:6" x14ac:dyDescent="0.2">
      <c r="A1374" t="s">
        <v>2385</v>
      </c>
      <c r="B1374" t="s">
        <v>711</v>
      </c>
      <c r="C1374" t="s">
        <v>712</v>
      </c>
      <c r="D1374">
        <v>1.10162523999999E-2</v>
      </c>
      <c r="E1374">
        <v>5.2397625E-3</v>
      </c>
      <c r="F1374">
        <v>2.06195424999999E-2</v>
      </c>
    </row>
    <row r="1375" spans="1:6" x14ac:dyDescent="0.2">
      <c r="A1375" t="s">
        <v>2386</v>
      </c>
      <c r="B1375" t="s">
        <v>703</v>
      </c>
      <c r="D1375">
        <v>0</v>
      </c>
      <c r="E1375">
        <v>0</v>
      </c>
      <c r="F1375">
        <v>0</v>
      </c>
    </row>
    <row r="1376" spans="1:6" x14ac:dyDescent="0.2">
      <c r="A1376" t="s">
        <v>2387</v>
      </c>
      <c r="B1376" t="s">
        <v>2388</v>
      </c>
      <c r="D1376">
        <v>0.113372240199999</v>
      </c>
      <c r="E1376">
        <v>7.3619699999999996E-2</v>
      </c>
      <c r="F1376">
        <v>0.15750459749999901</v>
      </c>
    </row>
    <row r="1377" spans="1:6" x14ac:dyDescent="0.2">
      <c r="A1377" t="s">
        <v>2389</v>
      </c>
      <c r="B1377" t="s">
        <v>719</v>
      </c>
      <c r="C1377" t="s">
        <v>720</v>
      </c>
      <c r="D1377">
        <v>5.7864971999999903E-3</v>
      </c>
      <c r="E1377">
        <v>2.29985E-3</v>
      </c>
      <c r="F1377">
        <v>1.2109072499999899E-2</v>
      </c>
    </row>
    <row r="1378" spans="1:6" x14ac:dyDescent="0.2">
      <c r="A1378" t="s">
        <v>2390</v>
      </c>
      <c r="B1378" t="s">
        <v>705</v>
      </c>
      <c r="C1378" t="s">
        <v>706</v>
      </c>
      <c r="D1378">
        <v>5.0594945799999902E-2</v>
      </c>
      <c r="E1378">
        <v>3.2378222499999998E-2</v>
      </c>
      <c r="F1378">
        <v>7.4050449999999907E-2</v>
      </c>
    </row>
    <row r="1379" spans="1:6" x14ac:dyDescent="0.2">
      <c r="A1379" t="s">
        <v>2391</v>
      </c>
      <c r="B1379" t="s">
        <v>703</v>
      </c>
      <c r="D1379">
        <v>0</v>
      </c>
      <c r="E1379">
        <v>0</v>
      </c>
      <c r="F1379">
        <v>0</v>
      </c>
    </row>
    <row r="1380" spans="1:6" x14ac:dyDescent="0.2">
      <c r="A1380" t="s">
        <v>2392</v>
      </c>
      <c r="B1380" t="s">
        <v>2393</v>
      </c>
      <c r="C1380" t="s">
        <v>2394</v>
      </c>
      <c r="D1380">
        <v>0.11707429799999899</v>
      </c>
      <c r="E1380">
        <v>7.9707004999999997E-2</v>
      </c>
      <c r="F1380">
        <v>0.162751334999999</v>
      </c>
    </row>
    <row r="1381" spans="1:6" x14ac:dyDescent="0.2">
      <c r="A1381" t="s">
        <v>2395</v>
      </c>
      <c r="B1381" t="s">
        <v>2396</v>
      </c>
      <c r="C1381" t="s">
        <v>2397</v>
      </c>
      <c r="D1381">
        <v>0.31744633160000002</v>
      </c>
      <c r="E1381">
        <v>0.21568688750000001</v>
      </c>
      <c r="F1381">
        <v>0.43971226999999902</v>
      </c>
    </row>
    <row r="1382" spans="1:6" x14ac:dyDescent="0.2">
      <c r="A1382" t="s">
        <v>2398</v>
      </c>
      <c r="B1382" t="s">
        <v>2399</v>
      </c>
      <c r="C1382" t="s">
        <v>2400</v>
      </c>
      <c r="D1382">
        <v>0.58118364210000095</v>
      </c>
      <c r="E1382">
        <v>0.40329404000000002</v>
      </c>
      <c r="F1382">
        <v>0.73932043250000001</v>
      </c>
    </row>
    <row r="1383" spans="1:6" x14ac:dyDescent="0.2">
      <c r="A1383" t="s">
        <v>2401</v>
      </c>
      <c r="B1383" t="s">
        <v>703</v>
      </c>
      <c r="D1383">
        <v>0</v>
      </c>
      <c r="E1383">
        <v>0</v>
      </c>
      <c r="F1383">
        <v>0</v>
      </c>
    </row>
    <row r="1384" spans="1:6" x14ac:dyDescent="0.2">
      <c r="A1384" t="s">
        <v>2402</v>
      </c>
      <c r="B1384" t="s">
        <v>2403</v>
      </c>
      <c r="C1384" t="s">
        <v>2404</v>
      </c>
      <c r="D1384">
        <v>2.2650050500000001E-2</v>
      </c>
      <c r="E1384">
        <v>1.27067449999999E-2</v>
      </c>
      <c r="F1384">
        <v>3.731458E-2</v>
      </c>
    </row>
    <row r="1385" spans="1:6" x14ac:dyDescent="0.2">
      <c r="A1385" t="s">
        <v>2405</v>
      </c>
      <c r="B1385" t="s">
        <v>1030</v>
      </c>
      <c r="C1385" t="s">
        <v>1031</v>
      </c>
      <c r="D1385">
        <v>7.8670707099999806E-2</v>
      </c>
      <c r="E1385">
        <v>5.3842090000000002E-2</v>
      </c>
      <c r="F1385">
        <v>0.109519294999999</v>
      </c>
    </row>
    <row r="1386" spans="1:6" x14ac:dyDescent="0.2">
      <c r="A1386" t="s">
        <v>2406</v>
      </c>
      <c r="B1386" t="s">
        <v>2407</v>
      </c>
      <c r="C1386" t="s">
        <v>2408</v>
      </c>
      <c r="D1386">
        <v>0.164979408399999</v>
      </c>
      <c r="E1386">
        <v>0.112283675</v>
      </c>
      <c r="F1386">
        <v>0.232387175</v>
      </c>
    </row>
    <row r="1387" spans="1:6" x14ac:dyDescent="0.2">
      <c r="A1387" t="s">
        <v>2409</v>
      </c>
      <c r="B1387" t="s">
        <v>703</v>
      </c>
      <c r="D1387">
        <v>0</v>
      </c>
      <c r="E1387">
        <v>0</v>
      </c>
      <c r="F1387">
        <v>0</v>
      </c>
    </row>
    <row r="1388" spans="1:6" x14ac:dyDescent="0.2">
      <c r="A1388" t="s">
        <v>2410</v>
      </c>
      <c r="B1388" t="s">
        <v>2403</v>
      </c>
      <c r="C1388" t="s">
        <v>2404</v>
      </c>
      <c r="D1388">
        <v>2.2650050500000001E-2</v>
      </c>
      <c r="E1388">
        <v>1.27067449999999E-2</v>
      </c>
      <c r="F1388">
        <v>3.731458E-2</v>
      </c>
    </row>
    <row r="1389" spans="1:6" x14ac:dyDescent="0.2">
      <c r="A1389" t="s">
        <v>2411</v>
      </c>
      <c r="B1389" t="s">
        <v>1030</v>
      </c>
      <c r="C1389" t="s">
        <v>1031</v>
      </c>
      <c r="D1389">
        <v>7.8670707099999806E-2</v>
      </c>
      <c r="E1389">
        <v>5.3842090000000002E-2</v>
      </c>
      <c r="F1389">
        <v>0.109519294999999</v>
      </c>
    </row>
    <row r="1390" spans="1:6" x14ac:dyDescent="0.2">
      <c r="A1390" t="s">
        <v>2412</v>
      </c>
      <c r="B1390" t="s">
        <v>2407</v>
      </c>
      <c r="C1390" t="s">
        <v>2408</v>
      </c>
      <c r="D1390">
        <v>0.164979408399999</v>
      </c>
      <c r="E1390">
        <v>0.112283675</v>
      </c>
      <c r="F1390">
        <v>0.232387175</v>
      </c>
    </row>
    <row r="1391" spans="1:6" x14ac:dyDescent="0.2">
      <c r="A1391" t="s">
        <v>2413</v>
      </c>
      <c r="B1391" t="s">
        <v>703</v>
      </c>
      <c r="D1391">
        <v>0</v>
      </c>
      <c r="E1391">
        <v>0</v>
      </c>
      <c r="F1391">
        <v>0</v>
      </c>
    </row>
    <row r="1392" spans="1:6" x14ac:dyDescent="0.2">
      <c r="A1392" t="s">
        <v>2414</v>
      </c>
      <c r="B1392" t="s">
        <v>2403</v>
      </c>
      <c r="C1392" t="s">
        <v>2404</v>
      </c>
      <c r="D1392">
        <v>2.2650050500000001E-2</v>
      </c>
      <c r="E1392">
        <v>1.27067449999999E-2</v>
      </c>
      <c r="F1392">
        <v>3.731458E-2</v>
      </c>
    </row>
    <row r="1393" spans="1:6" x14ac:dyDescent="0.2">
      <c r="A1393" t="s">
        <v>2415</v>
      </c>
      <c r="B1393" t="s">
        <v>1030</v>
      </c>
      <c r="C1393" t="s">
        <v>1031</v>
      </c>
      <c r="D1393">
        <v>7.8670707099999806E-2</v>
      </c>
      <c r="E1393">
        <v>5.3842090000000002E-2</v>
      </c>
      <c r="F1393">
        <v>0.109519294999999</v>
      </c>
    </row>
    <row r="1394" spans="1:6" x14ac:dyDescent="0.2">
      <c r="A1394" t="s">
        <v>2416</v>
      </c>
      <c r="B1394" t="s">
        <v>2407</v>
      </c>
      <c r="C1394" t="s">
        <v>2408</v>
      </c>
      <c r="D1394">
        <v>0.164979408399999</v>
      </c>
      <c r="E1394">
        <v>0.112283675</v>
      </c>
      <c r="F1394">
        <v>0.232387175</v>
      </c>
    </row>
    <row r="1395" spans="1:6" x14ac:dyDescent="0.2">
      <c r="A1395" t="s">
        <v>2417</v>
      </c>
      <c r="B1395" t="s">
        <v>703</v>
      </c>
      <c r="D1395">
        <v>0</v>
      </c>
      <c r="E1395">
        <v>0</v>
      </c>
      <c r="F1395">
        <v>0</v>
      </c>
    </row>
    <row r="1396" spans="1:6" x14ac:dyDescent="0.2">
      <c r="A1396" t="s">
        <v>2418</v>
      </c>
      <c r="B1396" t="s">
        <v>2403</v>
      </c>
      <c r="C1396" t="s">
        <v>2404</v>
      </c>
      <c r="D1396">
        <v>2.2650050500000001E-2</v>
      </c>
      <c r="E1396">
        <v>1.27067449999999E-2</v>
      </c>
      <c r="F1396">
        <v>3.731458E-2</v>
      </c>
    </row>
    <row r="1397" spans="1:6" x14ac:dyDescent="0.2">
      <c r="A1397" t="s">
        <v>2419</v>
      </c>
      <c r="B1397" t="s">
        <v>1030</v>
      </c>
      <c r="C1397" t="s">
        <v>1031</v>
      </c>
      <c r="D1397">
        <v>7.8670707099999806E-2</v>
      </c>
      <c r="E1397">
        <v>5.3842090000000002E-2</v>
      </c>
      <c r="F1397">
        <v>0.109519294999999</v>
      </c>
    </row>
    <row r="1398" spans="1:6" x14ac:dyDescent="0.2">
      <c r="A1398" t="s">
        <v>2420</v>
      </c>
      <c r="B1398" t="s">
        <v>2407</v>
      </c>
      <c r="C1398" t="s">
        <v>2408</v>
      </c>
      <c r="D1398">
        <v>0.164979408399999</v>
      </c>
      <c r="E1398">
        <v>0.112283675</v>
      </c>
      <c r="F1398">
        <v>0.232387175</v>
      </c>
    </row>
    <row r="1399" spans="1:6" x14ac:dyDescent="0.2">
      <c r="A1399" t="s">
        <v>2421</v>
      </c>
      <c r="B1399" t="s">
        <v>703</v>
      </c>
      <c r="D1399">
        <v>0</v>
      </c>
      <c r="E1399">
        <v>0</v>
      </c>
      <c r="F1399">
        <v>0</v>
      </c>
    </row>
    <row r="1400" spans="1:6" x14ac:dyDescent="0.2">
      <c r="A1400" t="s">
        <v>2422</v>
      </c>
      <c r="B1400" t="s">
        <v>2423</v>
      </c>
      <c r="C1400" t="s">
        <v>2424</v>
      </c>
      <c r="D1400">
        <v>0.32498960099999902</v>
      </c>
      <c r="E1400">
        <v>0.21931443749999999</v>
      </c>
      <c r="F1400">
        <v>0.44643780499999902</v>
      </c>
    </row>
    <row r="1401" spans="1:6" x14ac:dyDescent="0.2">
      <c r="A1401" t="s">
        <v>2425</v>
      </c>
      <c r="B1401" t="s">
        <v>2426</v>
      </c>
      <c r="C1401" t="s">
        <v>2427</v>
      </c>
      <c r="D1401">
        <v>0.38411733789999902</v>
      </c>
      <c r="E1401">
        <v>0.2561167325</v>
      </c>
      <c r="F1401">
        <v>0.51772991749999997</v>
      </c>
    </row>
    <row r="1402" spans="1:6" x14ac:dyDescent="0.2">
      <c r="A1402" t="s">
        <v>2428</v>
      </c>
      <c r="B1402" t="s">
        <v>2428</v>
      </c>
      <c r="C1402" t="s">
        <v>653</v>
      </c>
      <c r="D1402">
        <v>1.9962998299999899E-2</v>
      </c>
      <c r="E1402">
        <v>1.08557675E-2</v>
      </c>
      <c r="F1402">
        <v>3.47695175E-2</v>
      </c>
    </row>
    <row r="1403" spans="1:6" x14ac:dyDescent="0.2">
      <c r="A1403" t="s">
        <v>2429</v>
      </c>
      <c r="B1403" t="s">
        <v>2429</v>
      </c>
      <c r="C1403" t="s">
        <v>653</v>
      </c>
      <c r="D1403">
        <v>5.39885172999999E-2</v>
      </c>
      <c r="E1403">
        <v>3.4603004999999999E-2</v>
      </c>
      <c r="F1403">
        <v>7.9486669999999995E-2</v>
      </c>
    </row>
    <row r="1404" spans="1:6" x14ac:dyDescent="0.2">
      <c r="A1404" t="s">
        <v>2430</v>
      </c>
      <c r="B1404" t="s">
        <v>2431</v>
      </c>
      <c r="C1404" t="s">
        <v>2432</v>
      </c>
      <c r="D1404">
        <v>0.272193404299999</v>
      </c>
      <c r="E1404">
        <v>0.18157837999999901</v>
      </c>
      <c r="F1404">
        <v>0.37254055749999898</v>
      </c>
    </row>
    <row r="1405" spans="1:6" x14ac:dyDescent="0.2">
      <c r="A1405" t="s">
        <v>2433</v>
      </c>
      <c r="B1405" t="s">
        <v>2434</v>
      </c>
      <c r="C1405" t="s">
        <v>2435</v>
      </c>
      <c r="D1405">
        <v>0.37217272280000002</v>
      </c>
      <c r="E1405">
        <v>0.25030506499999999</v>
      </c>
      <c r="F1405">
        <v>0.50564616750000002</v>
      </c>
    </row>
    <row r="1406" spans="1:6" x14ac:dyDescent="0.2">
      <c r="A1406" t="s">
        <v>2436</v>
      </c>
      <c r="B1406" t="s">
        <v>2437</v>
      </c>
      <c r="C1406" t="s">
        <v>2438</v>
      </c>
      <c r="D1406">
        <v>1.9962998299999899E-2</v>
      </c>
      <c r="E1406">
        <v>1.08557675E-2</v>
      </c>
      <c r="F1406">
        <v>3.47695175E-2</v>
      </c>
    </row>
    <row r="1407" spans="1:6" x14ac:dyDescent="0.2">
      <c r="A1407" t="s">
        <v>2439</v>
      </c>
      <c r="B1407" t="s">
        <v>2440</v>
      </c>
      <c r="C1407" t="s">
        <v>2441</v>
      </c>
      <c r="D1407">
        <v>5.39885172999999E-2</v>
      </c>
      <c r="E1407">
        <v>3.4603004999999999E-2</v>
      </c>
      <c r="F1407">
        <v>7.9486669999999995E-2</v>
      </c>
    </row>
    <row r="1408" spans="1:6" x14ac:dyDescent="0.2">
      <c r="A1408" t="s">
        <v>2442</v>
      </c>
      <c r="B1408" t="s">
        <v>2443</v>
      </c>
      <c r="C1408" t="s">
        <v>2444</v>
      </c>
      <c r="D1408">
        <v>5.27500209E-2</v>
      </c>
      <c r="E1408">
        <v>3.3573800000000001E-2</v>
      </c>
      <c r="F1408">
        <v>7.84352725E-2</v>
      </c>
    </row>
    <row r="1409" spans="1:6" x14ac:dyDescent="0.2">
      <c r="A1409" t="s">
        <v>2445</v>
      </c>
      <c r="B1409" t="s">
        <v>2446</v>
      </c>
      <c r="C1409" t="s">
        <v>2447</v>
      </c>
      <c r="D1409">
        <v>0.22943868649999999</v>
      </c>
      <c r="E1409">
        <v>0.15327389</v>
      </c>
      <c r="F1409">
        <v>0.31687214499999999</v>
      </c>
    </row>
    <row r="1410" spans="1:6" x14ac:dyDescent="0.2">
      <c r="A1410" t="s">
        <v>2448</v>
      </c>
      <c r="B1410" t="s">
        <v>2449</v>
      </c>
      <c r="C1410" t="s">
        <v>2450</v>
      </c>
      <c r="D1410">
        <v>0.1139587682</v>
      </c>
      <c r="E1410">
        <v>7.5418984999999994E-2</v>
      </c>
      <c r="F1410">
        <v>0.161827027499999</v>
      </c>
    </row>
    <row r="1411" spans="1:6" x14ac:dyDescent="0.2">
      <c r="A1411" t="s">
        <v>2451</v>
      </c>
      <c r="B1411" t="s">
        <v>2452</v>
      </c>
      <c r="C1411" t="s">
        <v>2453</v>
      </c>
      <c r="D1411">
        <v>0.30360109120000001</v>
      </c>
      <c r="E1411">
        <v>0.20247241999999999</v>
      </c>
      <c r="F1411">
        <v>0.41543309499999997</v>
      </c>
    </row>
    <row r="1412" spans="1:6" x14ac:dyDescent="0.2">
      <c r="A1412" t="s">
        <v>2454</v>
      </c>
      <c r="B1412" t="s">
        <v>2399</v>
      </c>
      <c r="C1412" t="s">
        <v>2400</v>
      </c>
      <c r="D1412">
        <v>0.58118364210000095</v>
      </c>
      <c r="E1412">
        <v>0.40329404000000002</v>
      </c>
      <c r="F1412">
        <v>0.73932043250000001</v>
      </c>
    </row>
    <row r="1413" spans="1:6" x14ac:dyDescent="0.2">
      <c r="A1413" t="s">
        <v>2455</v>
      </c>
      <c r="B1413" t="s">
        <v>2456</v>
      </c>
      <c r="C1413" t="s">
        <v>2457</v>
      </c>
      <c r="D1413">
        <v>0.29480950820000001</v>
      </c>
      <c r="E1413">
        <v>0.1961655175</v>
      </c>
      <c r="F1413">
        <v>0.40946830499999998</v>
      </c>
    </row>
    <row r="1414" spans="1:6" x14ac:dyDescent="0.2">
      <c r="A1414" t="s">
        <v>2458</v>
      </c>
      <c r="B1414" t="s">
        <v>703</v>
      </c>
      <c r="D1414">
        <v>0</v>
      </c>
      <c r="E1414">
        <v>0</v>
      </c>
      <c r="F1414">
        <v>0</v>
      </c>
    </row>
    <row r="1415" spans="1:6" x14ac:dyDescent="0.2">
      <c r="A1415" t="s">
        <v>2459</v>
      </c>
      <c r="B1415" t="s">
        <v>2403</v>
      </c>
      <c r="C1415" t="s">
        <v>2404</v>
      </c>
      <c r="D1415">
        <v>2.2650050500000001E-2</v>
      </c>
      <c r="E1415">
        <v>1.27067449999999E-2</v>
      </c>
      <c r="F1415">
        <v>3.731458E-2</v>
      </c>
    </row>
    <row r="1416" spans="1:6" x14ac:dyDescent="0.2">
      <c r="A1416" t="s">
        <v>2460</v>
      </c>
      <c r="B1416" t="s">
        <v>2407</v>
      </c>
      <c r="C1416" t="s">
        <v>2408</v>
      </c>
      <c r="D1416">
        <v>0.164979408399999</v>
      </c>
      <c r="E1416">
        <v>0.112283675</v>
      </c>
      <c r="F1416">
        <v>0.232387175</v>
      </c>
    </row>
    <row r="1417" spans="1:6" x14ac:dyDescent="0.2">
      <c r="A1417" t="s">
        <v>2461</v>
      </c>
      <c r="B1417" t="s">
        <v>2462</v>
      </c>
      <c r="C1417" t="s">
        <v>2463</v>
      </c>
      <c r="D1417">
        <v>2.83410989E-2</v>
      </c>
      <c r="E1417">
        <v>1.6622524999999999E-2</v>
      </c>
      <c r="F1417">
        <v>4.4844687500000001E-2</v>
      </c>
    </row>
    <row r="1418" spans="1:6" x14ac:dyDescent="0.2">
      <c r="A1418" t="s">
        <v>2464</v>
      </c>
      <c r="B1418" t="s">
        <v>2393</v>
      </c>
      <c r="C1418" t="s">
        <v>2394</v>
      </c>
      <c r="D1418">
        <v>0.11707429799999899</v>
      </c>
      <c r="E1418">
        <v>7.9707004999999997E-2</v>
      </c>
      <c r="F1418">
        <v>0.162751334999999</v>
      </c>
    </row>
    <row r="1419" spans="1:6" x14ac:dyDescent="0.2">
      <c r="A1419" t="s">
        <v>2465</v>
      </c>
      <c r="B1419" t="s">
        <v>2396</v>
      </c>
      <c r="C1419" t="s">
        <v>2397</v>
      </c>
      <c r="D1419">
        <v>0.31744633160000002</v>
      </c>
      <c r="E1419">
        <v>0.21568688750000001</v>
      </c>
      <c r="F1419">
        <v>0.43971226999999902</v>
      </c>
    </row>
    <row r="1420" spans="1:6" x14ac:dyDescent="0.2">
      <c r="A1420" t="s">
        <v>2466</v>
      </c>
      <c r="B1420" t="s">
        <v>2399</v>
      </c>
      <c r="C1420" t="s">
        <v>2400</v>
      </c>
      <c r="D1420">
        <v>0.58118364210000095</v>
      </c>
      <c r="E1420">
        <v>0.40329404000000002</v>
      </c>
      <c r="F1420">
        <v>0.73932043250000001</v>
      </c>
    </row>
    <row r="1421" spans="1:6" x14ac:dyDescent="0.2">
      <c r="A1421" t="s">
        <v>2467</v>
      </c>
      <c r="B1421" t="s">
        <v>703</v>
      </c>
      <c r="D1421">
        <v>0</v>
      </c>
      <c r="E1421">
        <v>0</v>
      </c>
      <c r="F1421">
        <v>0</v>
      </c>
    </row>
    <row r="1422" spans="1:6" x14ac:dyDescent="0.2">
      <c r="A1422" t="s">
        <v>2468</v>
      </c>
      <c r="B1422" t="s">
        <v>927</v>
      </c>
      <c r="C1422" t="s">
        <v>928</v>
      </c>
      <c r="D1422">
        <v>0.54166777129999999</v>
      </c>
      <c r="E1422">
        <v>0.37403827749999902</v>
      </c>
      <c r="F1422">
        <v>0.70224279499999998</v>
      </c>
    </row>
    <row r="1423" spans="1:6" x14ac:dyDescent="0.2">
      <c r="A1423" t="s">
        <v>2469</v>
      </c>
      <c r="B1423" t="s">
        <v>1434</v>
      </c>
      <c r="C1423" t="s">
        <v>1435</v>
      </c>
      <c r="D1423">
        <v>0.13913545869999999</v>
      </c>
      <c r="E1423">
        <v>9.4181122500000006E-2</v>
      </c>
      <c r="F1423">
        <v>0.19754553749999901</v>
      </c>
    </row>
    <row r="1424" spans="1:6" x14ac:dyDescent="0.2">
      <c r="A1424" t="s">
        <v>2470</v>
      </c>
      <c r="B1424" t="s">
        <v>1042</v>
      </c>
      <c r="C1424" t="s">
        <v>1043</v>
      </c>
      <c r="D1424">
        <v>1.0793008600000001E-2</v>
      </c>
      <c r="E1424">
        <v>5.1901200000000003E-3</v>
      </c>
      <c r="F1424">
        <v>2.02353999999999E-2</v>
      </c>
    </row>
    <row r="1425" spans="1:6" x14ac:dyDescent="0.2">
      <c r="A1425" t="s">
        <v>2471</v>
      </c>
      <c r="B1425" t="s">
        <v>1045</v>
      </c>
      <c r="C1425" t="s">
        <v>1046</v>
      </c>
      <c r="D1425">
        <v>4.25405801999999E-2</v>
      </c>
      <c r="E1425">
        <v>2.5978245000000001E-2</v>
      </c>
      <c r="F1425">
        <v>6.4453929999999895E-2</v>
      </c>
    </row>
    <row r="1426" spans="1:6" x14ac:dyDescent="0.2">
      <c r="A1426" t="s">
        <v>2472</v>
      </c>
      <c r="B1426" t="s">
        <v>2087</v>
      </c>
      <c r="C1426" t="s">
        <v>2088</v>
      </c>
      <c r="D1426">
        <v>0.100020868199999</v>
      </c>
      <c r="E1426">
        <v>6.6049517500000002E-2</v>
      </c>
      <c r="F1426">
        <v>0.14174874749999999</v>
      </c>
    </row>
    <row r="1427" spans="1:6" x14ac:dyDescent="0.2">
      <c r="A1427" t="s">
        <v>2473</v>
      </c>
      <c r="B1427" t="s">
        <v>2090</v>
      </c>
      <c r="C1427" t="s">
        <v>2091</v>
      </c>
      <c r="D1427">
        <v>0.1600574337</v>
      </c>
      <c r="E1427">
        <v>0.107062184999999</v>
      </c>
      <c r="F1427">
        <v>0.226226345</v>
      </c>
    </row>
    <row r="1428" spans="1:6" x14ac:dyDescent="0.2">
      <c r="A1428" t="s">
        <v>2474</v>
      </c>
      <c r="B1428" t="s">
        <v>2093</v>
      </c>
      <c r="C1428" t="s">
        <v>2094</v>
      </c>
      <c r="D1428">
        <v>0.20030707170000001</v>
      </c>
      <c r="E1428">
        <v>0.13325701249999999</v>
      </c>
      <c r="F1428">
        <v>0.28252101499999999</v>
      </c>
    </row>
    <row r="1429" spans="1:6" x14ac:dyDescent="0.2">
      <c r="A1429" t="s">
        <v>2475</v>
      </c>
      <c r="B1429" t="s">
        <v>1073</v>
      </c>
      <c r="C1429" t="s">
        <v>1074</v>
      </c>
      <c r="D1429">
        <v>1.0140717400000001E-2</v>
      </c>
      <c r="E1429">
        <v>4.8555075E-3</v>
      </c>
      <c r="F1429">
        <v>1.933766E-2</v>
      </c>
    </row>
    <row r="1430" spans="1:6" x14ac:dyDescent="0.2">
      <c r="A1430" t="s">
        <v>2476</v>
      </c>
      <c r="B1430" t="s">
        <v>868</v>
      </c>
      <c r="C1430" t="s">
        <v>869</v>
      </c>
      <c r="D1430">
        <v>6.08338594999999E-2</v>
      </c>
      <c r="E1430">
        <v>3.9587362499999897E-2</v>
      </c>
      <c r="F1430">
        <v>8.9085129999999998E-2</v>
      </c>
    </row>
    <row r="1431" spans="1:6" x14ac:dyDescent="0.2">
      <c r="A1431" t="s">
        <v>2477</v>
      </c>
      <c r="B1431" t="s">
        <v>877</v>
      </c>
      <c r="C1431" t="s">
        <v>878</v>
      </c>
      <c r="D1431">
        <v>0.40161053799999902</v>
      </c>
      <c r="E1431">
        <v>0.2682705675</v>
      </c>
      <c r="F1431">
        <v>0.54533271750000001</v>
      </c>
    </row>
    <row r="1432" spans="1:6" x14ac:dyDescent="0.2">
      <c r="A1432" t="s">
        <v>2478</v>
      </c>
      <c r="B1432" t="s">
        <v>1078</v>
      </c>
      <c r="C1432" t="s">
        <v>1079</v>
      </c>
      <c r="D1432">
        <v>3.1164678500000001E-2</v>
      </c>
      <c r="E1432">
        <v>1.8060440000000001E-2</v>
      </c>
      <c r="F1432">
        <v>4.9540897499999903E-2</v>
      </c>
    </row>
    <row r="1433" spans="1:6" x14ac:dyDescent="0.2">
      <c r="A1433" t="s">
        <v>2479</v>
      </c>
      <c r="B1433" t="s">
        <v>708</v>
      </c>
      <c r="C1433" t="s">
        <v>709</v>
      </c>
      <c r="D1433">
        <v>0.20294601349999999</v>
      </c>
      <c r="E1433">
        <v>0.13394816000000001</v>
      </c>
      <c r="F1433">
        <v>0.28958335000000002</v>
      </c>
    </row>
    <row r="1434" spans="1:6" x14ac:dyDescent="0.2">
      <c r="A1434" t="s">
        <v>2480</v>
      </c>
      <c r="B1434" t="s">
        <v>2481</v>
      </c>
      <c r="C1434" t="s">
        <v>653</v>
      </c>
      <c r="D1434">
        <v>0.48339527113636599</v>
      </c>
      <c r="E1434">
        <v>0.34608073529613098</v>
      </c>
      <c r="F1434">
        <v>0.62852979317949498</v>
      </c>
    </row>
    <row r="1435" spans="1:6" x14ac:dyDescent="0.2">
      <c r="A1435" t="s">
        <v>2482</v>
      </c>
      <c r="B1435" t="s">
        <v>2481</v>
      </c>
      <c r="C1435" t="s">
        <v>653</v>
      </c>
      <c r="D1435">
        <v>0.48339527113636599</v>
      </c>
      <c r="E1435">
        <v>0.34608073529613098</v>
      </c>
      <c r="F1435">
        <v>0.62852979317949498</v>
      </c>
    </row>
    <row r="1436" spans="1:6" x14ac:dyDescent="0.2">
      <c r="A1436" t="s">
        <v>2483</v>
      </c>
      <c r="B1436" t="s">
        <v>2481</v>
      </c>
      <c r="C1436" t="s">
        <v>653</v>
      </c>
      <c r="D1436">
        <v>0.48339527113636599</v>
      </c>
      <c r="E1436">
        <v>0.34608073529613098</v>
      </c>
      <c r="F1436">
        <v>0.62852979317949498</v>
      </c>
    </row>
    <row r="1437" spans="1:6" x14ac:dyDescent="0.2">
      <c r="A1437" t="s">
        <v>2484</v>
      </c>
      <c r="B1437" t="s">
        <v>2481</v>
      </c>
      <c r="C1437" t="s">
        <v>653</v>
      </c>
      <c r="D1437">
        <v>0.48339527113636599</v>
      </c>
      <c r="E1437">
        <v>0.34608073529613098</v>
      </c>
      <c r="F1437">
        <v>0.62852979317949498</v>
      </c>
    </row>
    <row r="1438" spans="1:6" x14ac:dyDescent="0.2">
      <c r="A1438" t="s">
        <v>2485</v>
      </c>
      <c r="B1438" t="s">
        <v>2481</v>
      </c>
      <c r="C1438" t="s">
        <v>653</v>
      </c>
      <c r="D1438">
        <v>0.48339527113636599</v>
      </c>
      <c r="E1438">
        <v>0.34608073529613098</v>
      </c>
      <c r="F1438">
        <v>0.62852979317949498</v>
      </c>
    </row>
    <row r="1439" spans="1:6" x14ac:dyDescent="0.2">
      <c r="A1439" t="s">
        <v>2486</v>
      </c>
      <c r="B1439" t="s">
        <v>703</v>
      </c>
      <c r="D1439">
        <v>0</v>
      </c>
      <c r="E1439">
        <v>0</v>
      </c>
      <c r="F1439">
        <v>0</v>
      </c>
    </row>
    <row r="1440" spans="1:6" x14ac:dyDescent="0.2">
      <c r="A1440" t="s">
        <v>2487</v>
      </c>
      <c r="B1440" t="s">
        <v>2488</v>
      </c>
      <c r="C1440" t="s">
        <v>653</v>
      </c>
      <c r="D1440">
        <v>0.50510678254499497</v>
      </c>
      <c r="E1440">
        <v>0.36739751133743698</v>
      </c>
      <c r="F1440">
        <v>0.64684719454420603</v>
      </c>
    </row>
    <row r="1441" spans="1:6" x14ac:dyDescent="0.2">
      <c r="A1441" t="s">
        <v>2489</v>
      </c>
      <c r="B1441" t="s">
        <v>2490</v>
      </c>
      <c r="C1441" t="s">
        <v>653</v>
      </c>
      <c r="D1441">
        <v>0.53402151021716304</v>
      </c>
      <c r="E1441">
        <v>0.39064647292552901</v>
      </c>
      <c r="F1441">
        <v>0.67543029358461504</v>
      </c>
    </row>
    <row r="1442" spans="1:6" x14ac:dyDescent="0.2">
      <c r="A1442" t="s">
        <v>2491</v>
      </c>
      <c r="B1442" t="s">
        <v>2492</v>
      </c>
      <c r="C1442" t="s">
        <v>653</v>
      </c>
      <c r="D1442">
        <v>0.56412908510083404</v>
      </c>
      <c r="E1442">
        <v>0.41816373895501202</v>
      </c>
      <c r="F1442">
        <v>0.70965194315136604</v>
      </c>
    </row>
    <row r="1443" spans="1:6" x14ac:dyDescent="0.2">
      <c r="A1443" t="s">
        <v>2493</v>
      </c>
      <c r="B1443" t="s">
        <v>2492</v>
      </c>
      <c r="C1443" t="s">
        <v>653</v>
      </c>
      <c r="D1443">
        <v>0.56412908510083404</v>
      </c>
      <c r="E1443">
        <v>0.41816373895501202</v>
      </c>
      <c r="F1443">
        <v>0.70965194315136604</v>
      </c>
    </row>
    <row r="1444" spans="1:6" x14ac:dyDescent="0.2">
      <c r="A1444" t="s">
        <v>2494</v>
      </c>
      <c r="B1444" t="s">
        <v>2495</v>
      </c>
      <c r="C1444" t="s">
        <v>653</v>
      </c>
      <c r="D1444">
        <v>0.42687234530632701</v>
      </c>
      <c r="E1444">
        <v>0.30031218656961101</v>
      </c>
      <c r="F1444">
        <v>0.56737767854370602</v>
      </c>
    </row>
    <row r="1445" spans="1:6" x14ac:dyDescent="0.2">
      <c r="A1445" t="s">
        <v>2496</v>
      </c>
      <c r="B1445" t="s">
        <v>2497</v>
      </c>
      <c r="C1445" t="s">
        <v>653</v>
      </c>
      <c r="D1445">
        <v>0.46054067651812602</v>
      </c>
      <c r="E1445">
        <v>0.32428886046942601</v>
      </c>
      <c r="F1445">
        <v>0.60338355371011099</v>
      </c>
    </row>
    <row r="1446" spans="1:6" x14ac:dyDescent="0.2">
      <c r="A1446" t="s">
        <v>2498</v>
      </c>
      <c r="B1446" t="s">
        <v>2499</v>
      </c>
      <c r="C1446" t="s">
        <v>653</v>
      </c>
      <c r="D1446">
        <v>0.495598284938366</v>
      </c>
      <c r="E1446">
        <v>0.35535750584875903</v>
      </c>
      <c r="F1446">
        <v>0.64103055684436505</v>
      </c>
    </row>
    <row r="1447" spans="1:6" x14ac:dyDescent="0.2">
      <c r="A1447" t="s">
        <v>2500</v>
      </c>
      <c r="B1447" t="s">
        <v>2501</v>
      </c>
      <c r="C1447" t="s">
        <v>653</v>
      </c>
      <c r="D1447">
        <v>0.14839902852508399</v>
      </c>
      <c r="E1447">
        <v>0.101002507700067</v>
      </c>
      <c r="F1447">
        <v>0.20639320297528599</v>
      </c>
    </row>
    <row r="1448" spans="1:6" x14ac:dyDescent="0.2">
      <c r="A1448" t="s">
        <v>2502</v>
      </c>
      <c r="B1448" t="s">
        <v>2503</v>
      </c>
      <c r="C1448" t="s">
        <v>653</v>
      </c>
      <c r="D1448">
        <v>0.17558986162374701</v>
      </c>
      <c r="E1448">
        <v>0.120083729764521</v>
      </c>
      <c r="F1448">
        <v>0.24237804390968401</v>
      </c>
    </row>
    <row r="1449" spans="1:6" x14ac:dyDescent="0.2">
      <c r="A1449" t="s">
        <v>2504</v>
      </c>
      <c r="B1449" t="s">
        <v>2505</v>
      </c>
      <c r="C1449" t="s">
        <v>653</v>
      </c>
      <c r="D1449">
        <v>0.22480791951137699</v>
      </c>
      <c r="E1449">
        <v>0.15552181212167501</v>
      </c>
      <c r="F1449">
        <v>0.30405925996742</v>
      </c>
    </row>
    <row r="1450" spans="1:6" x14ac:dyDescent="0.2">
      <c r="A1450" t="s">
        <v>2506</v>
      </c>
      <c r="B1450" t="s">
        <v>2507</v>
      </c>
      <c r="C1450" t="s">
        <v>653</v>
      </c>
      <c r="D1450">
        <v>0.27621283909531902</v>
      </c>
      <c r="E1450">
        <v>0.19412663537709801</v>
      </c>
      <c r="F1450">
        <v>0.37601640216495402</v>
      </c>
    </row>
    <row r="1451" spans="1:6" x14ac:dyDescent="0.2">
      <c r="A1451" t="s">
        <v>2508</v>
      </c>
      <c r="B1451" t="s">
        <v>2509</v>
      </c>
      <c r="C1451" t="s">
        <v>653</v>
      </c>
      <c r="D1451">
        <v>0.31071414210113502</v>
      </c>
      <c r="E1451">
        <v>0.216720659253578</v>
      </c>
      <c r="F1451">
        <v>0.41818206833267302</v>
      </c>
    </row>
    <row r="1452" spans="1:6" x14ac:dyDescent="0.2">
      <c r="A1452" t="s">
        <v>2510</v>
      </c>
      <c r="B1452" t="s">
        <v>2511</v>
      </c>
      <c r="C1452" t="s">
        <v>653</v>
      </c>
      <c r="D1452">
        <v>2.0809588381067699E-2</v>
      </c>
      <c r="E1452">
        <v>1.0076172835707499E-2</v>
      </c>
      <c r="F1452">
        <v>3.8535344698671203E-2</v>
      </c>
    </row>
    <row r="1453" spans="1:6" x14ac:dyDescent="0.2">
      <c r="A1453" t="s">
        <v>2512</v>
      </c>
      <c r="B1453" t="s">
        <v>2513</v>
      </c>
      <c r="C1453" t="s">
        <v>653</v>
      </c>
      <c r="D1453">
        <v>7.0936592370278995E-2</v>
      </c>
      <c r="E1453">
        <v>4.4891845896468399E-2</v>
      </c>
      <c r="F1453">
        <v>0.105848114213122</v>
      </c>
    </row>
    <row r="1454" spans="1:6" x14ac:dyDescent="0.2">
      <c r="A1454" t="s">
        <v>2514</v>
      </c>
      <c r="B1454" t="s">
        <v>2515</v>
      </c>
      <c r="C1454" t="s">
        <v>653</v>
      </c>
      <c r="D1454">
        <v>0.40812141670000401</v>
      </c>
      <c r="E1454">
        <v>0.27864661982625799</v>
      </c>
      <c r="F1454">
        <v>0.54958067881140305</v>
      </c>
    </row>
    <row r="1455" spans="1:6" x14ac:dyDescent="0.2">
      <c r="A1455" t="s">
        <v>2516</v>
      </c>
      <c r="B1455" t="s">
        <v>2517</v>
      </c>
      <c r="C1455" t="s">
        <v>653</v>
      </c>
      <c r="D1455">
        <v>0.100679216548761</v>
      </c>
      <c r="E1455">
        <v>6.5591807221744694E-2</v>
      </c>
      <c r="F1455">
        <v>0.14641800120534501</v>
      </c>
    </row>
    <row r="1456" spans="1:6" x14ac:dyDescent="0.2">
      <c r="A1456" t="s">
        <v>2518</v>
      </c>
      <c r="B1456" t="s">
        <v>2519</v>
      </c>
      <c r="C1456" t="s">
        <v>653</v>
      </c>
      <c r="D1456">
        <v>0.109115521479688</v>
      </c>
      <c r="E1456">
        <v>7.3270092802479897E-2</v>
      </c>
      <c r="F1456">
        <v>0.15356705784048499</v>
      </c>
    </row>
    <row r="1457" spans="1:6" x14ac:dyDescent="0.2">
      <c r="A1457" t="s">
        <v>2520</v>
      </c>
      <c r="B1457" t="s">
        <v>2521</v>
      </c>
      <c r="C1457" t="s">
        <v>653</v>
      </c>
      <c r="D1457">
        <v>0.16854999340987201</v>
      </c>
      <c r="E1457">
        <v>0.11328465947189501</v>
      </c>
      <c r="F1457">
        <v>0.23749545398097999</v>
      </c>
    </row>
    <row r="1458" spans="1:6" x14ac:dyDescent="0.2">
      <c r="A1458" t="s">
        <v>2522</v>
      </c>
      <c r="B1458" t="s">
        <v>2523</v>
      </c>
      <c r="C1458" t="s">
        <v>653</v>
      </c>
      <c r="D1458">
        <v>0.21086303894661301</v>
      </c>
      <c r="E1458">
        <v>0.145223487339916</v>
      </c>
      <c r="F1458">
        <v>0.29287453292129101</v>
      </c>
    </row>
    <row r="1459" spans="1:6" x14ac:dyDescent="0.2">
      <c r="A1459" t="s">
        <v>2524</v>
      </c>
      <c r="B1459" t="s">
        <v>2525</v>
      </c>
      <c r="C1459" t="s">
        <v>653</v>
      </c>
      <c r="D1459">
        <v>0.15699513125284201</v>
      </c>
      <c r="E1459">
        <v>0.10819502212134099</v>
      </c>
      <c r="F1459">
        <v>0.21790139670910699</v>
      </c>
    </row>
    <row r="1460" spans="1:6" x14ac:dyDescent="0.2">
      <c r="A1460" t="s">
        <v>2526</v>
      </c>
      <c r="B1460" t="s">
        <v>2527</v>
      </c>
      <c r="C1460" t="s">
        <v>653</v>
      </c>
      <c r="D1460">
        <v>0.19991944137193501</v>
      </c>
      <c r="E1460">
        <v>0.13854466430111001</v>
      </c>
      <c r="F1460">
        <v>0.27307890469313301</v>
      </c>
    </row>
    <row r="1461" spans="1:6" x14ac:dyDescent="0.2">
      <c r="A1461" t="s">
        <v>2528</v>
      </c>
      <c r="B1461" t="s">
        <v>2529</v>
      </c>
      <c r="C1461" t="s">
        <v>653</v>
      </c>
      <c r="D1461">
        <v>0.48899922133592999</v>
      </c>
      <c r="E1461">
        <v>0.35346143661088902</v>
      </c>
      <c r="F1461">
        <v>0.63161605329138704</v>
      </c>
    </row>
    <row r="1462" spans="1:6" x14ac:dyDescent="0.2">
      <c r="A1462" t="s">
        <v>2530</v>
      </c>
      <c r="B1462" t="s">
        <v>2531</v>
      </c>
      <c r="C1462" t="s">
        <v>653</v>
      </c>
      <c r="D1462">
        <v>0.183898578780819</v>
      </c>
      <c r="E1462">
        <v>0.12751916677720501</v>
      </c>
      <c r="F1462">
        <v>0.25318908834479398</v>
      </c>
    </row>
    <row r="1463" spans="1:6" x14ac:dyDescent="0.2">
      <c r="A1463" t="s">
        <v>2532</v>
      </c>
      <c r="B1463" t="s">
        <v>2533</v>
      </c>
      <c r="C1463" t="s">
        <v>653</v>
      </c>
      <c r="D1463">
        <v>0.27155896045927802</v>
      </c>
      <c r="E1463">
        <v>0.19121125639109199</v>
      </c>
      <c r="F1463">
        <v>0.363522428276705</v>
      </c>
    </row>
    <row r="1464" spans="1:6" x14ac:dyDescent="0.2">
      <c r="A1464" t="s">
        <v>2534</v>
      </c>
      <c r="B1464" t="s">
        <v>2535</v>
      </c>
      <c r="C1464" t="s">
        <v>653</v>
      </c>
      <c r="D1464">
        <v>0.23261701881340299</v>
      </c>
      <c r="E1464">
        <v>0.16137085011279401</v>
      </c>
      <c r="F1464">
        <v>0.314201406043494</v>
      </c>
    </row>
    <row r="1465" spans="1:6" x14ac:dyDescent="0.2">
      <c r="A1465" t="s">
        <v>2536</v>
      </c>
      <c r="B1465" t="s">
        <v>2537</v>
      </c>
      <c r="C1465" t="s">
        <v>653</v>
      </c>
      <c r="D1465">
        <v>0.27155896045927802</v>
      </c>
      <c r="E1465">
        <v>0.19121125639109199</v>
      </c>
      <c r="F1465">
        <v>0.363522428276705</v>
      </c>
    </row>
    <row r="1466" spans="1:6" x14ac:dyDescent="0.2">
      <c r="A1466" t="s">
        <v>2538</v>
      </c>
      <c r="B1466" t="s">
        <v>2539</v>
      </c>
      <c r="C1466" t="s">
        <v>653</v>
      </c>
      <c r="D1466">
        <v>0.28350805917211902</v>
      </c>
      <c r="E1466">
        <v>0.20068486457342899</v>
      </c>
      <c r="F1466">
        <v>0.38451862895382399</v>
      </c>
    </row>
    <row r="1467" spans="1:6" x14ac:dyDescent="0.2">
      <c r="A1467" t="s">
        <v>2540</v>
      </c>
      <c r="B1467" t="s">
        <v>2541</v>
      </c>
      <c r="C1467" t="s">
        <v>653</v>
      </c>
      <c r="D1467">
        <v>0.319777488161469</v>
      </c>
      <c r="E1467">
        <v>0.227692664466497</v>
      </c>
      <c r="F1467">
        <v>0.428562973834686</v>
      </c>
    </row>
    <row r="1468" spans="1:6" x14ac:dyDescent="0.2">
      <c r="A1468" t="s">
        <v>2542</v>
      </c>
      <c r="B1468" t="s">
        <v>2543</v>
      </c>
      <c r="C1468" t="s">
        <v>653</v>
      </c>
      <c r="D1468">
        <v>0.147837782535922</v>
      </c>
      <c r="E1468">
        <v>0.10039932743776001</v>
      </c>
      <c r="F1468">
        <v>0.206681909719483</v>
      </c>
    </row>
    <row r="1469" spans="1:6" x14ac:dyDescent="0.2">
      <c r="A1469" t="s">
        <v>2544</v>
      </c>
      <c r="B1469" t="s">
        <v>2545</v>
      </c>
      <c r="C1469" t="s">
        <v>653</v>
      </c>
      <c r="D1469">
        <v>0.19124543051054799</v>
      </c>
      <c r="E1469">
        <v>0.13166202325238599</v>
      </c>
      <c r="F1469">
        <v>0.26281946756930502</v>
      </c>
    </row>
    <row r="1470" spans="1:6" x14ac:dyDescent="0.2">
      <c r="A1470" t="s">
        <v>2546</v>
      </c>
      <c r="B1470" t="s">
        <v>2547</v>
      </c>
      <c r="C1470" t="s">
        <v>653</v>
      </c>
      <c r="D1470">
        <v>0.31767150372108199</v>
      </c>
      <c r="E1470">
        <v>0.22435143937525501</v>
      </c>
      <c r="F1470">
        <v>0.42636239459750003</v>
      </c>
    </row>
    <row r="1471" spans="1:6" x14ac:dyDescent="0.2">
      <c r="A1471" t="s">
        <v>2548</v>
      </c>
      <c r="B1471" t="s">
        <v>1073</v>
      </c>
      <c r="C1471" t="s">
        <v>1074</v>
      </c>
      <c r="D1471">
        <v>1.0140717400000001E-2</v>
      </c>
      <c r="E1471">
        <v>4.8555075E-3</v>
      </c>
      <c r="F1471">
        <v>1.933766E-2</v>
      </c>
    </row>
    <row r="1472" spans="1:6" x14ac:dyDescent="0.2">
      <c r="A1472" t="s">
        <v>2549</v>
      </c>
      <c r="B1472" t="s">
        <v>868</v>
      </c>
      <c r="C1472" t="s">
        <v>869</v>
      </c>
      <c r="D1472">
        <v>6.08338594999999E-2</v>
      </c>
      <c r="E1472">
        <v>3.9587362499999897E-2</v>
      </c>
      <c r="F1472">
        <v>8.9085129999999998E-2</v>
      </c>
    </row>
    <row r="1473" spans="1:6" x14ac:dyDescent="0.2">
      <c r="A1473" t="s">
        <v>2550</v>
      </c>
      <c r="B1473" t="s">
        <v>877</v>
      </c>
      <c r="C1473" t="s">
        <v>878</v>
      </c>
      <c r="D1473">
        <v>0.40161053799999902</v>
      </c>
      <c r="E1473">
        <v>0.2682705675</v>
      </c>
      <c r="F1473">
        <v>0.54533271750000001</v>
      </c>
    </row>
    <row r="1474" spans="1:6" x14ac:dyDescent="0.2">
      <c r="A1474" t="s">
        <v>2551</v>
      </c>
      <c r="B1474" t="s">
        <v>1078</v>
      </c>
      <c r="C1474" t="s">
        <v>1079</v>
      </c>
      <c r="D1474">
        <v>3.1164678500000001E-2</v>
      </c>
      <c r="E1474">
        <v>1.8060440000000001E-2</v>
      </c>
      <c r="F1474">
        <v>4.9540897499999903E-2</v>
      </c>
    </row>
    <row r="1475" spans="1:6" x14ac:dyDescent="0.2">
      <c r="A1475" t="s">
        <v>2552</v>
      </c>
      <c r="B1475" t="s">
        <v>708</v>
      </c>
      <c r="C1475" t="s">
        <v>709</v>
      </c>
      <c r="D1475">
        <v>0.20294601349999999</v>
      </c>
      <c r="E1475">
        <v>0.13394816000000001</v>
      </c>
      <c r="F1475">
        <v>0.28958335000000002</v>
      </c>
    </row>
    <row r="1476" spans="1:6" x14ac:dyDescent="0.2">
      <c r="A1476" t="s">
        <v>2553</v>
      </c>
      <c r="B1476" t="s">
        <v>2481</v>
      </c>
      <c r="C1476" t="s">
        <v>653</v>
      </c>
      <c r="D1476">
        <v>0.48339527113636599</v>
      </c>
      <c r="E1476">
        <v>0.34608073529613098</v>
      </c>
      <c r="F1476">
        <v>0.62852979317949498</v>
      </c>
    </row>
    <row r="1477" spans="1:6" x14ac:dyDescent="0.2">
      <c r="A1477" t="s">
        <v>2554</v>
      </c>
      <c r="B1477" t="s">
        <v>2488</v>
      </c>
      <c r="C1477" t="s">
        <v>653</v>
      </c>
      <c r="D1477">
        <v>0.50510678254499497</v>
      </c>
      <c r="E1477">
        <v>0.36739751133743698</v>
      </c>
      <c r="F1477">
        <v>0.64684719454420603</v>
      </c>
    </row>
    <row r="1478" spans="1:6" x14ac:dyDescent="0.2">
      <c r="A1478" t="s">
        <v>2555</v>
      </c>
      <c r="B1478" t="s">
        <v>2490</v>
      </c>
      <c r="C1478" t="s">
        <v>653</v>
      </c>
      <c r="D1478">
        <v>0.53402151021716304</v>
      </c>
      <c r="E1478">
        <v>0.39064647292552901</v>
      </c>
      <c r="F1478">
        <v>0.67543029358461504</v>
      </c>
    </row>
    <row r="1479" spans="1:6" x14ac:dyDescent="0.2">
      <c r="A1479" t="s">
        <v>2556</v>
      </c>
      <c r="B1479" t="s">
        <v>2492</v>
      </c>
      <c r="C1479" t="s">
        <v>653</v>
      </c>
      <c r="D1479">
        <v>0.56412908510083404</v>
      </c>
      <c r="E1479">
        <v>0.41816373895501202</v>
      </c>
      <c r="F1479">
        <v>0.70965194315136604</v>
      </c>
    </row>
    <row r="1480" spans="1:6" x14ac:dyDescent="0.2">
      <c r="A1480" t="s">
        <v>2557</v>
      </c>
      <c r="B1480" t="s">
        <v>2558</v>
      </c>
      <c r="C1480" t="s">
        <v>653</v>
      </c>
      <c r="D1480">
        <v>0.58438009278135505</v>
      </c>
      <c r="E1480">
        <v>0.434611141486276</v>
      </c>
      <c r="F1480">
        <v>0.72973591929067005</v>
      </c>
    </row>
    <row r="1481" spans="1:6" x14ac:dyDescent="0.2">
      <c r="A1481" t="s">
        <v>2559</v>
      </c>
      <c r="B1481" t="s">
        <v>2495</v>
      </c>
      <c r="C1481" t="s">
        <v>653</v>
      </c>
      <c r="D1481">
        <v>0.42687234530632701</v>
      </c>
      <c r="E1481">
        <v>0.30031218656961101</v>
      </c>
      <c r="F1481">
        <v>0.56737767854370602</v>
      </c>
    </row>
    <row r="1482" spans="1:6" x14ac:dyDescent="0.2">
      <c r="A1482" t="s">
        <v>2560</v>
      </c>
      <c r="B1482" t="s">
        <v>2497</v>
      </c>
      <c r="C1482" t="s">
        <v>653</v>
      </c>
      <c r="D1482">
        <v>0.46054067651812602</v>
      </c>
      <c r="E1482">
        <v>0.32428886046942601</v>
      </c>
      <c r="F1482">
        <v>0.60338355371011099</v>
      </c>
    </row>
    <row r="1483" spans="1:6" x14ac:dyDescent="0.2">
      <c r="A1483" t="s">
        <v>2561</v>
      </c>
      <c r="B1483" t="s">
        <v>2499</v>
      </c>
      <c r="C1483" t="s">
        <v>653</v>
      </c>
      <c r="D1483">
        <v>0.495598284938366</v>
      </c>
      <c r="E1483">
        <v>0.35535750584875903</v>
      </c>
      <c r="F1483">
        <v>0.64103055684436505</v>
      </c>
    </row>
    <row r="1484" spans="1:6" x14ac:dyDescent="0.2">
      <c r="A1484" t="s">
        <v>2562</v>
      </c>
      <c r="B1484" t="s">
        <v>2563</v>
      </c>
      <c r="C1484" t="s">
        <v>653</v>
      </c>
      <c r="D1484">
        <v>0.51915528706833503</v>
      </c>
      <c r="E1484">
        <v>0.369631500633537</v>
      </c>
      <c r="F1484">
        <v>0.66843499971564801</v>
      </c>
    </row>
    <row r="1485" spans="1:6" x14ac:dyDescent="0.2">
      <c r="A1485" t="s">
        <v>2564</v>
      </c>
      <c r="B1485" t="s">
        <v>2511</v>
      </c>
      <c r="C1485" t="s">
        <v>653</v>
      </c>
      <c r="D1485">
        <v>2.0809588381067699E-2</v>
      </c>
      <c r="E1485">
        <v>1.0076172835707499E-2</v>
      </c>
      <c r="F1485">
        <v>3.8535344698671203E-2</v>
      </c>
    </row>
    <row r="1486" spans="1:6" x14ac:dyDescent="0.2">
      <c r="A1486" t="s">
        <v>2565</v>
      </c>
      <c r="B1486" t="s">
        <v>2513</v>
      </c>
      <c r="C1486" t="s">
        <v>653</v>
      </c>
      <c r="D1486">
        <v>7.0936592370278995E-2</v>
      </c>
      <c r="E1486">
        <v>4.4891845896468399E-2</v>
      </c>
      <c r="F1486">
        <v>0.105848114213122</v>
      </c>
    </row>
    <row r="1487" spans="1:6" x14ac:dyDescent="0.2">
      <c r="A1487" t="s">
        <v>2566</v>
      </c>
      <c r="B1487" t="s">
        <v>2515</v>
      </c>
      <c r="C1487" t="s">
        <v>653</v>
      </c>
      <c r="D1487">
        <v>0.40812141670000401</v>
      </c>
      <c r="E1487">
        <v>0.27864661982625799</v>
      </c>
      <c r="F1487">
        <v>0.54958067881140305</v>
      </c>
    </row>
    <row r="1488" spans="1:6" x14ac:dyDescent="0.2">
      <c r="A1488" t="s">
        <v>2567</v>
      </c>
      <c r="B1488" t="s">
        <v>2517</v>
      </c>
      <c r="C1488" t="s">
        <v>653</v>
      </c>
      <c r="D1488">
        <v>0.100679216548761</v>
      </c>
      <c r="E1488">
        <v>6.5591807221744694E-2</v>
      </c>
      <c r="F1488">
        <v>0.14641800120534501</v>
      </c>
    </row>
    <row r="1489" spans="1:6" x14ac:dyDescent="0.2">
      <c r="A1489" t="s">
        <v>2568</v>
      </c>
      <c r="B1489" t="s">
        <v>2519</v>
      </c>
      <c r="C1489" t="s">
        <v>653</v>
      </c>
      <c r="D1489">
        <v>0.109115521479688</v>
      </c>
      <c r="E1489">
        <v>7.3270092802479897E-2</v>
      </c>
      <c r="F1489">
        <v>0.15356705784048499</v>
      </c>
    </row>
    <row r="1490" spans="1:6" x14ac:dyDescent="0.2">
      <c r="A1490" t="s">
        <v>2569</v>
      </c>
      <c r="B1490" t="s">
        <v>2521</v>
      </c>
      <c r="C1490" t="s">
        <v>653</v>
      </c>
      <c r="D1490">
        <v>0.16854999340987201</v>
      </c>
      <c r="E1490">
        <v>0.11328465947189501</v>
      </c>
      <c r="F1490">
        <v>0.23749545398097999</v>
      </c>
    </row>
    <row r="1491" spans="1:6" x14ac:dyDescent="0.2">
      <c r="A1491" t="s">
        <v>2570</v>
      </c>
      <c r="B1491" t="s">
        <v>2523</v>
      </c>
      <c r="C1491" t="s">
        <v>653</v>
      </c>
      <c r="D1491">
        <v>0.21086303894661301</v>
      </c>
      <c r="E1491">
        <v>0.145223487339916</v>
      </c>
      <c r="F1491">
        <v>0.29287453292129101</v>
      </c>
    </row>
    <row r="1492" spans="1:6" x14ac:dyDescent="0.2">
      <c r="A1492" t="s">
        <v>2571</v>
      </c>
      <c r="B1492" t="s">
        <v>2525</v>
      </c>
      <c r="C1492" t="s">
        <v>653</v>
      </c>
      <c r="D1492">
        <v>0.15699513125284201</v>
      </c>
      <c r="E1492">
        <v>0.10819502212134099</v>
      </c>
      <c r="F1492">
        <v>0.21790139670910699</v>
      </c>
    </row>
    <row r="1493" spans="1:6" x14ac:dyDescent="0.2">
      <c r="A1493" t="s">
        <v>2572</v>
      </c>
      <c r="B1493" t="s">
        <v>2527</v>
      </c>
      <c r="C1493" t="s">
        <v>653</v>
      </c>
      <c r="D1493">
        <v>0.19991944137193501</v>
      </c>
      <c r="E1493">
        <v>0.13854466430111001</v>
      </c>
      <c r="F1493">
        <v>0.27307890469313301</v>
      </c>
    </row>
    <row r="1494" spans="1:6" x14ac:dyDescent="0.2">
      <c r="A1494" t="s">
        <v>2573</v>
      </c>
      <c r="B1494" t="s">
        <v>2529</v>
      </c>
      <c r="C1494" t="s">
        <v>653</v>
      </c>
      <c r="D1494">
        <v>0.48899922133592999</v>
      </c>
      <c r="E1494">
        <v>0.35346143661088902</v>
      </c>
      <c r="F1494">
        <v>0.63161605329138704</v>
      </c>
    </row>
    <row r="1495" spans="1:6" x14ac:dyDescent="0.2">
      <c r="A1495" t="s">
        <v>2574</v>
      </c>
      <c r="B1495" t="s">
        <v>2531</v>
      </c>
      <c r="C1495" t="s">
        <v>653</v>
      </c>
      <c r="D1495">
        <v>0.183898578780819</v>
      </c>
      <c r="E1495">
        <v>0.12751916677720501</v>
      </c>
      <c r="F1495">
        <v>0.25318908834479398</v>
      </c>
    </row>
    <row r="1496" spans="1:6" x14ac:dyDescent="0.2">
      <c r="A1496" t="s">
        <v>2575</v>
      </c>
      <c r="B1496" t="s">
        <v>2533</v>
      </c>
      <c r="C1496" t="s">
        <v>653</v>
      </c>
      <c r="D1496">
        <v>0.27155896045927802</v>
      </c>
      <c r="E1496">
        <v>0.19121125639109199</v>
      </c>
      <c r="F1496">
        <v>0.363522428276705</v>
      </c>
    </row>
    <row r="1497" spans="1:6" x14ac:dyDescent="0.2">
      <c r="A1497" t="s">
        <v>2576</v>
      </c>
      <c r="B1497" t="s">
        <v>2535</v>
      </c>
      <c r="C1497" t="s">
        <v>653</v>
      </c>
      <c r="D1497">
        <v>0.23261701881340299</v>
      </c>
      <c r="E1497">
        <v>0.16137085011279401</v>
      </c>
      <c r="F1497">
        <v>0.314201406043494</v>
      </c>
    </row>
    <row r="1498" spans="1:6" x14ac:dyDescent="0.2">
      <c r="A1498" t="s">
        <v>2577</v>
      </c>
      <c r="B1498" t="s">
        <v>2537</v>
      </c>
      <c r="C1498" t="s">
        <v>653</v>
      </c>
      <c r="D1498">
        <v>0.27155896045927802</v>
      </c>
      <c r="E1498">
        <v>0.19121125639109199</v>
      </c>
      <c r="F1498">
        <v>0.363522428276705</v>
      </c>
    </row>
    <row r="1499" spans="1:6" x14ac:dyDescent="0.2">
      <c r="A1499" t="s">
        <v>2578</v>
      </c>
      <c r="B1499" t="s">
        <v>2539</v>
      </c>
      <c r="C1499" t="s">
        <v>653</v>
      </c>
      <c r="D1499">
        <v>0.28350805917211902</v>
      </c>
      <c r="E1499">
        <v>0.20068486457342899</v>
      </c>
      <c r="F1499">
        <v>0.38451862895382399</v>
      </c>
    </row>
    <row r="1500" spans="1:6" x14ac:dyDescent="0.2">
      <c r="A1500" t="s">
        <v>2579</v>
      </c>
      <c r="B1500" t="s">
        <v>2541</v>
      </c>
      <c r="C1500" t="s">
        <v>653</v>
      </c>
      <c r="D1500">
        <v>0.319777488161469</v>
      </c>
      <c r="E1500">
        <v>0.227692664466497</v>
      </c>
      <c r="F1500">
        <v>0.428562973834686</v>
      </c>
    </row>
    <row r="1501" spans="1:6" x14ac:dyDescent="0.2">
      <c r="A1501" t="s">
        <v>2580</v>
      </c>
      <c r="B1501" t="s">
        <v>2543</v>
      </c>
      <c r="C1501" t="s">
        <v>653</v>
      </c>
      <c r="D1501">
        <v>0.147837782535922</v>
      </c>
      <c r="E1501">
        <v>0.10039932743776001</v>
      </c>
      <c r="F1501">
        <v>0.206681909719483</v>
      </c>
    </row>
    <row r="1502" spans="1:6" x14ac:dyDescent="0.2">
      <c r="A1502" t="s">
        <v>2581</v>
      </c>
      <c r="B1502" t="s">
        <v>2545</v>
      </c>
      <c r="C1502" t="s">
        <v>653</v>
      </c>
      <c r="D1502">
        <v>0.19124543051054799</v>
      </c>
      <c r="E1502">
        <v>0.13166202325238599</v>
      </c>
      <c r="F1502">
        <v>0.26281946756930502</v>
      </c>
    </row>
    <row r="1503" spans="1:6" x14ac:dyDescent="0.2">
      <c r="A1503" t="s">
        <v>2582</v>
      </c>
      <c r="B1503" t="s">
        <v>2547</v>
      </c>
      <c r="C1503" t="s">
        <v>653</v>
      </c>
      <c r="D1503">
        <v>0.31767150372108199</v>
      </c>
      <c r="E1503">
        <v>0.22435143937525501</v>
      </c>
      <c r="F1503">
        <v>0.42636239459750003</v>
      </c>
    </row>
    <row r="1504" spans="1:6" x14ac:dyDescent="0.2">
      <c r="A1504" t="s">
        <v>2583</v>
      </c>
      <c r="B1504" t="s">
        <v>2584</v>
      </c>
      <c r="C1504" t="s">
        <v>653</v>
      </c>
      <c r="D1504">
        <v>0.20840421489713501</v>
      </c>
      <c r="E1504">
        <v>0.14153071234940101</v>
      </c>
      <c r="F1504">
        <v>0.289286008140412</v>
      </c>
    </row>
    <row r="1505" spans="1:6" x14ac:dyDescent="0.2">
      <c r="A1505" t="s">
        <v>2585</v>
      </c>
      <c r="B1505" t="s">
        <v>2586</v>
      </c>
      <c r="C1505" t="s">
        <v>653</v>
      </c>
      <c r="D1505">
        <v>0.248632837180573</v>
      </c>
      <c r="E1505">
        <v>0.17399163179848701</v>
      </c>
      <c r="F1505">
        <v>0.33785564397749301</v>
      </c>
    </row>
    <row r="1506" spans="1:6" x14ac:dyDescent="0.2">
      <c r="A1506" t="s">
        <v>2587</v>
      </c>
      <c r="B1506" t="s">
        <v>2588</v>
      </c>
      <c r="C1506" t="s">
        <v>653</v>
      </c>
      <c r="D1506">
        <v>0.35216353678432999</v>
      </c>
      <c r="E1506">
        <v>0.25373397878199999</v>
      </c>
      <c r="F1506">
        <v>0.46512162338915197</v>
      </c>
    </row>
    <row r="1507" spans="1:6" x14ac:dyDescent="0.2">
      <c r="A1507" t="s">
        <v>2589</v>
      </c>
      <c r="B1507" t="s">
        <v>2590</v>
      </c>
      <c r="C1507" t="s">
        <v>2591</v>
      </c>
      <c r="D1507">
        <v>6.0814388803672001E-2</v>
      </c>
      <c r="E1507">
        <v>2.3912576027214399E-2</v>
      </c>
      <c r="F1507">
        <v>0.10686210505664299</v>
      </c>
    </row>
    <row r="1508" spans="1:6" x14ac:dyDescent="0.2">
      <c r="A1508" t="s">
        <v>2592</v>
      </c>
      <c r="B1508" t="s">
        <v>2593</v>
      </c>
      <c r="C1508" t="s">
        <v>653</v>
      </c>
      <c r="D1508">
        <v>9.9739118360256396E-2</v>
      </c>
      <c r="E1508">
        <v>6.0189492234025199E-2</v>
      </c>
      <c r="F1508">
        <v>0.146840123216636</v>
      </c>
    </row>
    <row r="1509" spans="1:6" x14ac:dyDescent="0.2">
      <c r="A1509" t="s">
        <v>2594</v>
      </c>
      <c r="B1509" t="s">
        <v>2595</v>
      </c>
      <c r="C1509" t="s">
        <v>653</v>
      </c>
      <c r="D1509">
        <v>0.12810417897889501</v>
      </c>
      <c r="E1509">
        <v>8.4041963996242294E-2</v>
      </c>
      <c r="F1509">
        <v>0.178070136116012</v>
      </c>
    </row>
    <row r="1510" spans="1:6" x14ac:dyDescent="0.2">
      <c r="A1510" t="s">
        <v>2596</v>
      </c>
      <c r="B1510" t="s">
        <v>2597</v>
      </c>
      <c r="C1510" t="s">
        <v>653</v>
      </c>
      <c r="D1510">
        <v>0.22897576486061</v>
      </c>
      <c r="E1510">
        <v>0.161692641181614</v>
      </c>
      <c r="F1510">
        <v>0.30363217545797699</v>
      </c>
    </row>
    <row r="1511" spans="1:6" x14ac:dyDescent="0.2">
      <c r="A1511" t="s">
        <v>2598</v>
      </c>
      <c r="B1511" t="s">
        <v>2599</v>
      </c>
      <c r="C1511" t="s">
        <v>653</v>
      </c>
      <c r="D1511">
        <v>0.109426792893646</v>
      </c>
      <c r="E1511">
        <v>6.8117601966706104E-2</v>
      </c>
      <c r="F1511">
        <v>0.15781181399949601</v>
      </c>
    </row>
    <row r="1512" spans="1:6" x14ac:dyDescent="0.2">
      <c r="A1512" t="s">
        <v>2598</v>
      </c>
      <c r="B1512" t="s">
        <v>2599</v>
      </c>
      <c r="C1512" t="s">
        <v>653</v>
      </c>
      <c r="D1512">
        <v>0.109426792893646</v>
      </c>
      <c r="E1512">
        <v>6.8117601966706104E-2</v>
      </c>
      <c r="F1512">
        <v>0.15781181399949601</v>
      </c>
    </row>
    <row r="1513" spans="1:6" x14ac:dyDescent="0.2">
      <c r="A1513" t="s">
        <v>2600</v>
      </c>
      <c r="B1513" t="s">
        <v>2601</v>
      </c>
      <c r="C1513" t="s">
        <v>653</v>
      </c>
      <c r="D1513">
        <v>0.137481972912012</v>
      </c>
      <c r="E1513">
        <v>9.2193469943263703E-2</v>
      </c>
      <c r="F1513">
        <v>0.19029522164014701</v>
      </c>
    </row>
    <row r="1514" spans="1:6" x14ac:dyDescent="0.2">
      <c r="A1514" t="s">
        <v>2600</v>
      </c>
      <c r="B1514" t="s">
        <v>2601</v>
      </c>
      <c r="C1514" t="s">
        <v>653</v>
      </c>
      <c r="D1514">
        <v>0.137481972912012</v>
      </c>
      <c r="E1514">
        <v>9.2193469943263703E-2</v>
      </c>
      <c r="F1514">
        <v>0.19029522164014701</v>
      </c>
    </row>
    <row r="1515" spans="1:6" x14ac:dyDescent="0.2">
      <c r="A1515" t="s">
        <v>2602</v>
      </c>
      <c r="B1515" t="s">
        <v>2603</v>
      </c>
      <c r="C1515" t="s">
        <v>653</v>
      </c>
      <c r="D1515">
        <v>0.23727952763370999</v>
      </c>
      <c r="E1515">
        <v>0.168942796030502</v>
      </c>
      <c r="F1515">
        <v>0.31329887403897799</v>
      </c>
    </row>
    <row r="1516" spans="1:6" x14ac:dyDescent="0.2">
      <c r="A1516" t="s">
        <v>2602</v>
      </c>
      <c r="B1516" t="s">
        <v>2603</v>
      </c>
      <c r="C1516" t="s">
        <v>653</v>
      </c>
      <c r="D1516">
        <v>0.23727952763370999</v>
      </c>
      <c r="E1516">
        <v>0.168942796030502</v>
      </c>
      <c r="F1516">
        <v>0.31329887403897799</v>
      </c>
    </row>
    <row r="1517" spans="1:6" x14ac:dyDescent="0.2">
      <c r="A1517" t="s">
        <v>2604</v>
      </c>
      <c r="B1517" t="s">
        <v>2605</v>
      </c>
      <c r="C1517" t="s">
        <v>653</v>
      </c>
      <c r="D1517">
        <v>0.13795459846219699</v>
      </c>
      <c r="E1517">
        <v>9.1217411160529102E-2</v>
      </c>
      <c r="F1517">
        <v>0.19264140849908901</v>
      </c>
    </row>
    <row r="1518" spans="1:6" x14ac:dyDescent="0.2">
      <c r="A1518" t="s">
        <v>2604</v>
      </c>
      <c r="B1518" t="s">
        <v>2605</v>
      </c>
      <c r="C1518" t="s">
        <v>653</v>
      </c>
      <c r="D1518">
        <v>0.13795459846219699</v>
      </c>
      <c r="E1518">
        <v>9.1217411160529102E-2</v>
      </c>
      <c r="F1518">
        <v>0.19264140849908901</v>
      </c>
    </row>
    <row r="1519" spans="1:6" x14ac:dyDescent="0.2">
      <c r="A1519" t="s">
        <v>2606</v>
      </c>
      <c r="B1519" t="s">
        <v>2607</v>
      </c>
      <c r="C1519" t="s">
        <v>653</v>
      </c>
      <c r="D1519">
        <v>0.16507934217759501</v>
      </c>
      <c r="E1519">
        <v>0.113680650965976</v>
      </c>
      <c r="F1519">
        <v>0.225675095772986</v>
      </c>
    </row>
    <row r="1520" spans="1:6" x14ac:dyDescent="0.2">
      <c r="A1520" t="s">
        <v>2606</v>
      </c>
      <c r="B1520" t="s">
        <v>2607</v>
      </c>
      <c r="C1520" t="s">
        <v>653</v>
      </c>
      <c r="D1520">
        <v>0.16507934217759501</v>
      </c>
      <c r="E1520">
        <v>0.113680650965976</v>
      </c>
      <c r="F1520">
        <v>0.225675095772986</v>
      </c>
    </row>
    <row r="1521" spans="1:6" x14ac:dyDescent="0.2">
      <c r="A1521" t="s">
        <v>2608</v>
      </c>
      <c r="B1521" t="s">
        <v>2609</v>
      </c>
      <c r="C1521" t="s">
        <v>653</v>
      </c>
      <c r="D1521">
        <v>0.26159814066557702</v>
      </c>
      <c r="E1521">
        <v>0.18935334255594599</v>
      </c>
      <c r="F1521">
        <v>0.340562393377912</v>
      </c>
    </row>
    <row r="1522" spans="1:6" x14ac:dyDescent="0.2">
      <c r="A1522" t="s">
        <v>2608</v>
      </c>
      <c r="B1522" t="s">
        <v>2609</v>
      </c>
      <c r="C1522" t="s">
        <v>653</v>
      </c>
      <c r="D1522">
        <v>0.26159814066557702</v>
      </c>
      <c r="E1522">
        <v>0.18935334255594599</v>
      </c>
      <c r="F1522">
        <v>0.340562393377912</v>
      </c>
    </row>
    <row r="1523" spans="1:6" x14ac:dyDescent="0.2">
      <c r="A1523" t="s">
        <v>2610</v>
      </c>
      <c r="B1523" t="s">
        <v>2611</v>
      </c>
      <c r="C1523" t="s">
        <v>653</v>
      </c>
      <c r="D1523">
        <v>0.18964300546632601</v>
      </c>
      <c r="E1523">
        <v>0.13183672200763299</v>
      </c>
      <c r="F1523">
        <v>0.25610874024448799</v>
      </c>
    </row>
    <row r="1524" spans="1:6" x14ac:dyDescent="0.2">
      <c r="A1524" t="s">
        <v>2610</v>
      </c>
      <c r="B1524" t="s">
        <v>2611</v>
      </c>
      <c r="C1524" t="s">
        <v>653</v>
      </c>
      <c r="D1524">
        <v>0.18964300546632601</v>
      </c>
      <c r="E1524">
        <v>0.13183672200763299</v>
      </c>
      <c r="F1524">
        <v>0.25610874024448799</v>
      </c>
    </row>
    <row r="1525" spans="1:6" x14ac:dyDescent="0.2">
      <c r="A1525" t="s">
        <v>2612</v>
      </c>
      <c r="B1525" t="s">
        <v>2613</v>
      </c>
      <c r="C1525" t="s">
        <v>653</v>
      </c>
      <c r="D1525">
        <v>0.215076306628736</v>
      </c>
      <c r="E1525">
        <v>0.15261780470137101</v>
      </c>
      <c r="F1525">
        <v>0.28549904757533601</v>
      </c>
    </row>
    <row r="1526" spans="1:6" x14ac:dyDescent="0.2">
      <c r="A1526" t="s">
        <v>2612</v>
      </c>
      <c r="B1526" t="s">
        <v>2613</v>
      </c>
      <c r="C1526" t="s">
        <v>653</v>
      </c>
      <c r="D1526">
        <v>0.215076306628736</v>
      </c>
      <c r="E1526">
        <v>0.15261780470137101</v>
      </c>
      <c r="F1526">
        <v>0.28549904757533601</v>
      </c>
    </row>
    <row r="1527" spans="1:6" x14ac:dyDescent="0.2">
      <c r="A1527" t="s">
        <v>2614</v>
      </c>
      <c r="B1527" t="s">
        <v>2615</v>
      </c>
      <c r="C1527" t="s">
        <v>653</v>
      </c>
      <c r="D1527">
        <v>0.30557357073797597</v>
      </c>
      <c r="E1527">
        <v>0.223103812527645</v>
      </c>
      <c r="F1527">
        <v>0.395754518169602</v>
      </c>
    </row>
    <row r="1528" spans="1:6" x14ac:dyDescent="0.2">
      <c r="A1528" t="s">
        <v>2614</v>
      </c>
      <c r="B1528" t="s">
        <v>2615</v>
      </c>
      <c r="C1528" t="s">
        <v>653</v>
      </c>
      <c r="D1528">
        <v>0.30557357073797597</v>
      </c>
      <c r="E1528">
        <v>0.223103812527645</v>
      </c>
      <c r="F1528">
        <v>0.395754518169602</v>
      </c>
    </row>
    <row r="1529" spans="1:6" x14ac:dyDescent="0.2">
      <c r="A1529" t="s">
        <v>2616</v>
      </c>
      <c r="B1529" t="s">
        <v>2617</v>
      </c>
      <c r="C1529" t="s">
        <v>653</v>
      </c>
      <c r="D1529">
        <v>0.24366106412591301</v>
      </c>
      <c r="E1529">
        <v>0.176324700407062</v>
      </c>
      <c r="F1529">
        <v>0.318702397073586</v>
      </c>
    </row>
    <row r="1530" spans="1:6" x14ac:dyDescent="0.2">
      <c r="A1530" t="s">
        <v>2616</v>
      </c>
      <c r="B1530" t="s">
        <v>2617</v>
      </c>
      <c r="C1530" t="s">
        <v>653</v>
      </c>
      <c r="D1530">
        <v>0.24366106412591301</v>
      </c>
      <c r="E1530">
        <v>0.176324700407062</v>
      </c>
      <c r="F1530">
        <v>0.318702397073586</v>
      </c>
    </row>
    <row r="1531" spans="1:6" x14ac:dyDescent="0.2">
      <c r="A1531" t="s">
        <v>2618</v>
      </c>
      <c r="B1531" t="s">
        <v>2619</v>
      </c>
      <c r="C1531" t="s">
        <v>653</v>
      </c>
      <c r="D1531">
        <v>0.26732210608507501</v>
      </c>
      <c r="E1531">
        <v>0.194333531099455</v>
      </c>
      <c r="F1531">
        <v>0.34922583284553799</v>
      </c>
    </row>
    <row r="1532" spans="1:6" x14ac:dyDescent="0.2">
      <c r="A1532" t="s">
        <v>2618</v>
      </c>
      <c r="B1532" t="s">
        <v>2619</v>
      </c>
      <c r="C1532" t="s">
        <v>653</v>
      </c>
      <c r="D1532">
        <v>0.26732210608507501</v>
      </c>
      <c r="E1532">
        <v>0.194333531099455</v>
      </c>
      <c r="F1532">
        <v>0.34922583284553799</v>
      </c>
    </row>
    <row r="1533" spans="1:6" x14ac:dyDescent="0.2">
      <c r="A1533" t="s">
        <v>2620</v>
      </c>
      <c r="B1533" t="s">
        <v>2621</v>
      </c>
      <c r="C1533" t="s">
        <v>653</v>
      </c>
      <c r="D1533">
        <v>0.35149758919801199</v>
      </c>
      <c r="E1533">
        <v>0.25829193951708201</v>
      </c>
      <c r="F1533">
        <v>0.45527744210608201</v>
      </c>
    </row>
    <row r="1534" spans="1:6" x14ac:dyDescent="0.2">
      <c r="A1534" t="s">
        <v>2620</v>
      </c>
      <c r="B1534" t="s">
        <v>2621</v>
      </c>
      <c r="C1534" t="s">
        <v>653</v>
      </c>
      <c r="D1534">
        <v>0.35149758919801199</v>
      </c>
      <c r="E1534">
        <v>0.25829193951708201</v>
      </c>
      <c r="F1534">
        <v>0.45527744210608201</v>
      </c>
    </row>
    <row r="1535" spans="1:6" x14ac:dyDescent="0.2">
      <c r="A1535" t="s">
        <v>2622</v>
      </c>
      <c r="B1535" t="s">
        <v>2623</v>
      </c>
      <c r="C1535" t="s">
        <v>653</v>
      </c>
      <c r="D1535">
        <v>0.27988910145600499</v>
      </c>
      <c r="E1535">
        <v>0.206107452513074</v>
      </c>
      <c r="F1535">
        <v>0.369398696031361</v>
      </c>
    </row>
    <row r="1536" spans="1:6" x14ac:dyDescent="0.2">
      <c r="A1536" t="s">
        <v>2622</v>
      </c>
      <c r="B1536" t="s">
        <v>2623</v>
      </c>
      <c r="C1536" t="s">
        <v>653</v>
      </c>
      <c r="D1536">
        <v>0.27988910145600499</v>
      </c>
      <c r="E1536">
        <v>0.206107452513074</v>
      </c>
      <c r="F1536">
        <v>0.369398696031361</v>
      </c>
    </row>
    <row r="1537" spans="1:6" x14ac:dyDescent="0.2">
      <c r="A1537" t="s">
        <v>2624</v>
      </c>
      <c r="B1537" t="s">
        <v>2625</v>
      </c>
      <c r="C1537" t="s">
        <v>653</v>
      </c>
      <c r="D1537">
        <v>0.30237079963526597</v>
      </c>
      <c r="E1537">
        <v>0.22193505298723201</v>
      </c>
      <c r="F1537">
        <v>0.39514015484222997</v>
      </c>
    </row>
    <row r="1538" spans="1:6" x14ac:dyDescent="0.2">
      <c r="A1538" t="s">
        <v>2624</v>
      </c>
      <c r="B1538" t="s">
        <v>2625</v>
      </c>
      <c r="C1538" t="s">
        <v>653</v>
      </c>
      <c r="D1538">
        <v>0.30237079963526597</v>
      </c>
      <c r="E1538">
        <v>0.22193505298723201</v>
      </c>
      <c r="F1538">
        <v>0.39514015484222997</v>
      </c>
    </row>
    <row r="1539" spans="1:6" x14ac:dyDescent="0.2">
      <c r="A1539" t="s">
        <v>2626</v>
      </c>
      <c r="B1539" t="s">
        <v>2627</v>
      </c>
      <c r="C1539" t="s">
        <v>653</v>
      </c>
      <c r="D1539">
        <v>0.38232698643035101</v>
      </c>
      <c r="E1539">
        <v>0.28210886120820899</v>
      </c>
      <c r="F1539">
        <v>0.49462478510011998</v>
      </c>
    </row>
    <row r="1540" spans="1:6" x14ac:dyDescent="0.2">
      <c r="A1540" t="s">
        <v>2626</v>
      </c>
      <c r="B1540" t="s">
        <v>2627</v>
      </c>
      <c r="C1540" t="s">
        <v>653</v>
      </c>
      <c r="D1540">
        <v>0.38232698643035101</v>
      </c>
      <c r="E1540">
        <v>0.28210886120820899</v>
      </c>
      <c r="F1540">
        <v>0.49462478510011998</v>
      </c>
    </row>
    <row r="1541" spans="1:6" x14ac:dyDescent="0.2">
      <c r="A1541" t="s">
        <v>2628</v>
      </c>
      <c r="B1541" t="s">
        <v>2629</v>
      </c>
      <c r="C1541" t="s">
        <v>653</v>
      </c>
      <c r="D1541">
        <v>7.0950113734209397E-2</v>
      </c>
      <c r="E1541">
        <v>3.3402817236394003E-2</v>
      </c>
      <c r="F1541">
        <v>0.116938444805247</v>
      </c>
    </row>
    <row r="1542" spans="1:6" x14ac:dyDescent="0.2">
      <c r="A1542" t="s">
        <v>2630</v>
      </c>
      <c r="B1542" t="s">
        <v>2631</v>
      </c>
      <c r="C1542" t="s">
        <v>653</v>
      </c>
      <c r="D1542">
        <v>0.100761875305934</v>
      </c>
      <c r="E1542">
        <v>6.0740628028239901E-2</v>
      </c>
      <c r="F1542">
        <v>0.14900305077601</v>
      </c>
    </row>
    <row r="1543" spans="1:6" x14ac:dyDescent="0.2">
      <c r="A1543" t="s">
        <v>2632</v>
      </c>
      <c r="B1543" t="s">
        <v>2633</v>
      </c>
      <c r="C1543" t="s">
        <v>653</v>
      </c>
      <c r="D1543">
        <v>0.15473785558450601</v>
      </c>
      <c r="E1543">
        <v>0.104661500044936</v>
      </c>
      <c r="F1543">
        <v>0.21097456911391199</v>
      </c>
    </row>
    <row r="1544" spans="1:6" x14ac:dyDescent="0.2">
      <c r="A1544" t="s">
        <v>2634</v>
      </c>
      <c r="B1544" t="s">
        <v>2635</v>
      </c>
      <c r="C1544" t="s">
        <v>653</v>
      </c>
      <c r="D1544">
        <v>0.21112984364049101</v>
      </c>
      <c r="E1544">
        <v>0.148295220306848</v>
      </c>
      <c r="F1544">
        <v>0.28050699784379002</v>
      </c>
    </row>
    <row r="1545" spans="1:6" x14ac:dyDescent="0.2">
      <c r="A1545" t="s">
        <v>2636</v>
      </c>
      <c r="B1545" t="s">
        <v>2637</v>
      </c>
      <c r="C1545" t="s">
        <v>653</v>
      </c>
      <c r="D1545">
        <v>0.248928374202847</v>
      </c>
      <c r="E1545">
        <v>0.17587789470915799</v>
      </c>
      <c r="F1545">
        <v>0.32768477011460001</v>
      </c>
    </row>
    <row r="1546" spans="1:6" x14ac:dyDescent="0.2">
      <c r="A1546" t="s">
        <v>2638</v>
      </c>
      <c r="B1546" t="s">
        <v>2639</v>
      </c>
      <c r="C1546" t="s">
        <v>653</v>
      </c>
      <c r="D1546">
        <v>0.10683962207452</v>
      </c>
      <c r="E1546">
        <v>6.6589324771667305E-2</v>
      </c>
      <c r="F1546">
        <v>0.15570243501491299</v>
      </c>
    </row>
    <row r="1547" spans="1:6" x14ac:dyDescent="0.2">
      <c r="A1547" t="s">
        <v>2640</v>
      </c>
      <c r="B1547" t="s">
        <v>2641</v>
      </c>
      <c r="C1547" t="s">
        <v>653</v>
      </c>
      <c r="D1547">
        <v>0.116448447432206</v>
      </c>
      <c r="E1547">
        <v>7.4250464146367504E-2</v>
      </c>
      <c r="F1547">
        <v>0.168844760935567</v>
      </c>
    </row>
    <row r="1548" spans="1:6" x14ac:dyDescent="0.2">
      <c r="A1548" t="s">
        <v>2640</v>
      </c>
      <c r="B1548" t="s">
        <v>2641</v>
      </c>
      <c r="C1548" t="s">
        <v>653</v>
      </c>
      <c r="D1548">
        <v>0.116448447432206</v>
      </c>
      <c r="E1548">
        <v>7.4250464146367504E-2</v>
      </c>
      <c r="F1548">
        <v>0.168844760935567</v>
      </c>
    </row>
    <row r="1549" spans="1:6" x14ac:dyDescent="0.2">
      <c r="A1549" t="s">
        <v>2642</v>
      </c>
      <c r="B1549" t="s">
        <v>2643</v>
      </c>
      <c r="C1549" t="s">
        <v>653</v>
      </c>
      <c r="D1549">
        <v>0.14474289612401101</v>
      </c>
      <c r="E1549">
        <v>9.7638490644870499E-2</v>
      </c>
      <c r="F1549">
        <v>0.200325254642547</v>
      </c>
    </row>
    <row r="1550" spans="1:6" x14ac:dyDescent="0.2">
      <c r="A1550" t="s">
        <v>2642</v>
      </c>
      <c r="B1550" t="s">
        <v>2643</v>
      </c>
      <c r="C1550" t="s">
        <v>653</v>
      </c>
      <c r="D1550">
        <v>0.14474289612401101</v>
      </c>
      <c r="E1550">
        <v>9.7638490644870499E-2</v>
      </c>
      <c r="F1550">
        <v>0.200325254642547</v>
      </c>
    </row>
    <row r="1551" spans="1:6" x14ac:dyDescent="0.2">
      <c r="A1551" t="s">
        <v>2644</v>
      </c>
      <c r="B1551" t="s">
        <v>2645</v>
      </c>
      <c r="C1551" t="s">
        <v>653</v>
      </c>
      <c r="D1551">
        <v>0.196010168827008</v>
      </c>
      <c r="E1551">
        <v>0.13730379534550699</v>
      </c>
      <c r="F1551">
        <v>0.26361965175409902</v>
      </c>
    </row>
    <row r="1552" spans="1:6" x14ac:dyDescent="0.2">
      <c r="A1552" t="s">
        <v>2644</v>
      </c>
      <c r="B1552" t="s">
        <v>2645</v>
      </c>
      <c r="C1552" t="s">
        <v>653</v>
      </c>
      <c r="D1552">
        <v>0.196010168827008</v>
      </c>
      <c r="E1552">
        <v>0.13730379534550699</v>
      </c>
      <c r="F1552">
        <v>0.26361965175409902</v>
      </c>
    </row>
    <row r="1553" spans="1:6" x14ac:dyDescent="0.2">
      <c r="A1553" t="s">
        <v>2646</v>
      </c>
      <c r="B1553" t="s">
        <v>2647</v>
      </c>
      <c r="C1553" t="s">
        <v>653</v>
      </c>
      <c r="D1553">
        <v>0.24958788798432999</v>
      </c>
      <c r="E1553">
        <v>0.17813894687147899</v>
      </c>
      <c r="F1553">
        <v>0.32595451480308002</v>
      </c>
    </row>
    <row r="1554" spans="1:6" x14ac:dyDescent="0.2">
      <c r="A1554" t="s">
        <v>2646</v>
      </c>
      <c r="B1554" t="s">
        <v>2647</v>
      </c>
      <c r="C1554" t="s">
        <v>653</v>
      </c>
      <c r="D1554">
        <v>0.24958788798432999</v>
      </c>
      <c r="E1554">
        <v>0.17813894687147899</v>
      </c>
      <c r="F1554">
        <v>0.32595451480308002</v>
      </c>
    </row>
    <row r="1555" spans="1:6" x14ac:dyDescent="0.2">
      <c r="A1555" t="s">
        <v>2648</v>
      </c>
      <c r="B1555" t="s">
        <v>2649</v>
      </c>
      <c r="C1555" t="s">
        <v>653</v>
      </c>
      <c r="D1555">
        <v>0.285521051528702</v>
      </c>
      <c r="E1555">
        <v>0.20994826986026899</v>
      </c>
      <c r="F1555">
        <v>0.37472521878596099</v>
      </c>
    </row>
    <row r="1556" spans="1:6" x14ac:dyDescent="0.2">
      <c r="A1556" t="s">
        <v>2648</v>
      </c>
      <c r="B1556" t="s">
        <v>2649</v>
      </c>
      <c r="C1556" t="s">
        <v>653</v>
      </c>
      <c r="D1556">
        <v>0.285521051528702</v>
      </c>
      <c r="E1556">
        <v>0.20994826986026899</v>
      </c>
      <c r="F1556">
        <v>0.37472521878596099</v>
      </c>
    </row>
    <row r="1557" spans="1:6" x14ac:dyDescent="0.2">
      <c r="A1557" t="s">
        <v>2650</v>
      </c>
      <c r="B1557" t="s">
        <v>2590</v>
      </c>
      <c r="C1557" t="s">
        <v>2591</v>
      </c>
      <c r="D1557">
        <v>6.0814388803672001E-2</v>
      </c>
      <c r="E1557">
        <v>2.3912576027214399E-2</v>
      </c>
      <c r="F1557">
        <v>0.10686210505664299</v>
      </c>
    </row>
    <row r="1558" spans="1:6" x14ac:dyDescent="0.2">
      <c r="A1558" t="s">
        <v>2651</v>
      </c>
      <c r="B1558" t="s">
        <v>2629</v>
      </c>
      <c r="C1558" t="s">
        <v>653</v>
      </c>
      <c r="D1558">
        <v>7.0950113734209397E-2</v>
      </c>
      <c r="E1558">
        <v>3.3402817236394003E-2</v>
      </c>
      <c r="F1558">
        <v>0.116938444805247</v>
      </c>
    </row>
    <row r="1559" spans="1:6" x14ac:dyDescent="0.2">
      <c r="A1559" t="s">
        <v>2652</v>
      </c>
      <c r="B1559" t="s">
        <v>2631</v>
      </c>
      <c r="C1559" t="s">
        <v>653</v>
      </c>
      <c r="D1559">
        <v>0.100761875305934</v>
      </c>
      <c r="E1559">
        <v>6.0740628028239901E-2</v>
      </c>
      <c r="F1559">
        <v>0.14900305077601</v>
      </c>
    </row>
    <row r="1560" spans="1:6" x14ac:dyDescent="0.2">
      <c r="A1560" t="s">
        <v>2653</v>
      </c>
      <c r="B1560" t="s">
        <v>2633</v>
      </c>
      <c r="C1560" t="s">
        <v>653</v>
      </c>
      <c r="D1560">
        <v>0.15473785558450601</v>
      </c>
      <c r="E1560">
        <v>0.104661500044936</v>
      </c>
      <c r="F1560">
        <v>0.21097456911391199</v>
      </c>
    </row>
    <row r="1561" spans="1:6" x14ac:dyDescent="0.2">
      <c r="A1561" t="s">
        <v>2654</v>
      </c>
      <c r="B1561" t="s">
        <v>2635</v>
      </c>
      <c r="C1561" t="s">
        <v>653</v>
      </c>
      <c r="D1561">
        <v>0.21112984364049101</v>
      </c>
      <c r="E1561">
        <v>0.148295220306848</v>
      </c>
      <c r="F1561">
        <v>0.28050699784379002</v>
      </c>
    </row>
    <row r="1562" spans="1:6" x14ac:dyDescent="0.2">
      <c r="A1562" t="s">
        <v>2655</v>
      </c>
      <c r="B1562" t="s">
        <v>2637</v>
      </c>
      <c r="C1562" t="s">
        <v>653</v>
      </c>
      <c r="D1562">
        <v>0.248928374202847</v>
      </c>
      <c r="E1562">
        <v>0.17587789470915799</v>
      </c>
      <c r="F1562">
        <v>0.32768477011460001</v>
      </c>
    </row>
    <row r="1563" spans="1:6" x14ac:dyDescent="0.2">
      <c r="A1563" t="s">
        <v>2656</v>
      </c>
      <c r="B1563" t="s">
        <v>2590</v>
      </c>
      <c r="C1563" t="s">
        <v>2591</v>
      </c>
      <c r="D1563">
        <v>6.0814388803672001E-2</v>
      </c>
      <c r="E1563">
        <v>2.3912576027214399E-2</v>
      </c>
      <c r="F1563">
        <v>0.10686210505664299</v>
      </c>
    </row>
    <row r="1564" spans="1:6" x14ac:dyDescent="0.2">
      <c r="A1564" t="s">
        <v>2657</v>
      </c>
      <c r="B1564" t="s">
        <v>2593</v>
      </c>
      <c r="C1564" t="s">
        <v>653</v>
      </c>
      <c r="D1564">
        <v>9.9739118360256396E-2</v>
      </c>
      <c r="E1564">
        <v>6.0189492234025199E-2</v>
      </c>
      <c r="F1564">
        <v>0.146840123216636</v>
      </c>
    </row>
    <row r="1565" spans="1:6" x14ac:dyDescent="0.2">
      <c r="A1565" t="s">
        <v>2658</v>
      </c>
      <c r="B1565" t="s">
        <v>2595</v>
      </c>
      <c r="C1565" t="s">
        <v>653</v>
      </c>
      <c r="D1565">
        <v>0.12810417897889501</v>
      </c>
      <c r="E1565">
        <v>8.4041963996242294E-2</v>
      </c>
      <c r="F1565">
        <v>0.178070136116012</v>
      </c>
    </row>
    <row r="1566" spans="1:6" x14ac:dyDescent="0.2">
      <c r="A1566" t="s">
        <v>2659</v>
      </c>
      <c r="B1566" t="s">
        <v>2597</v>
      </c>
      <c r="C1566" t="s">
        <v>653</v>
      </c>
      <c r="D1566">
        <v>0.22897576486061</v>
      </c>
      <c r="E1566">
        <v>0.161692641181614</v>
      </c>
      <c r="F1566">
        <v>0.30363217545797699</v>
      </c>
    </row>
    <row r="1567" spans="1:6" x14ac:dyDescent="0.2">
      <c r="A1567" t="s">
        <v>2660</v>
      </c>
      <c r="B1567" t="s">
        <v>2599</v>
      </c>
      <c r="C1567" t="s">
        <v>653</v>
      </c>
      <c r="D1567">
        <v>0.109426792893646</v>
      </c>
      <c r="E1567">
        <v>6.8117601966706104E-2</v>
      </c>
      <c r="F1567">
        <v>0.15781181399949601</v>
      </c>
    </row>
    <row r="1568" spans="1:6" x14ac:dyDescent="0.2">
      <c r="A1568" t="s">
        <v>2660</v>
      </c>
      <c r="B1568" t="s">
        <v>2599</v>
      </c>
      <c r="C1568" t="s">
        <v>653</v>
      </c>
      <c r="D1568">
        <v>0.109426792893646</v>
      </c>
      <c r="E1568">
        <v>6.8117601966706104E-2</v>
      </c>
      <c r="F1568">
        <v>0.15781181399949601</v>
      </c>
    </row>
    <row r="1569" spans="1:6" x14ac:dyDescent="0.2">
      <c r="A1569" t="s">
        <v>2661</v>
      </c>
      <c r="B1569" t="s">
        <v>2601</v>
      </c>
      <c r="C1569" t="s">
        <v>653</v>
      </c>
      <c r="D1569">
        <v>0.137481972912012</v>
      </c>
      <c r="E1569">
        <v>9.2193469943263703E-2</v>
      </c>
      <c r="F1569">
        <v>0.19029522164014701</v>
      </c>
    </row>
    <row r="1570" spans="1:6" x14ac:dyDescent="0.2">
      <c r="A1570" t="s">
        <v>2661</v>
      </c>
      <c r="B1570" t="s">
        <v>2601</v>
      </c>
      <c r="C1570" t="s">
        <v>653</v>
      </c>
      <c r="D1570">
        <v>0.137481972912012</v>
      </c>
      <c r="E1570">
        <v>9.2193469943263703E-2</v>
      </c>
      <c r="F1570">
        <v>0.19029522164014701</v>
      </c>
    </row>
    <row r="1571" spans="1:6" x14ac:dyDescent="0.2">
      <c r="A1571" t="s">
        <v>2662</v>
      </c>
      <c r="B1571" t="s">
        <v>2603</v>
      </c>
      <c r="C1571" t="s">
        <v>653</v>
      </c>
      <c r="D1571">
        <v>0.23727952763370999</v>
      </c>
      <c r="E1571">
        <v>0.168942796030502</v>
      </c>
      <c r="F1571">
        <v>0.31329887403897799</v>
      </c>
    </row>
    <row r="1572" spans="1:6" x14ac:dyDescent="0.2">
      <c r="A1572" t="s">
        <v>2662</v>
      </c>
      <c r="B1572" t="s">
        <v>2603</v>
      </c>
      <c r="C1572" t="s">
        <v>653</v>
      </c>
      <c r="D1572">
        <v>0.23727952763370999</v>
      </c>
      <c r="E1572">
        <v>0.168942796030502</v>
      </c>
      <c r="F1572">
        <v>0.31329887403897799</v>
      </c>
    </row>
    <row r="1573" spans="1:6" x14ac:dyDescent="0.2">
      <c r="A1573" t="s">
        <v>2663</v>
      </c>
      <c r="B1573" t="s">
        <v>2605</v>
      </c>
      <c r="C1573" t="s">
        <v>653</v>
      </c>
      <c r="D1573">
        <v>0.13795459846219699</v>
      </c>
      <c r="E1573">
        <v>9.1217411160529102E-2</v>
      </c>
      <c r="F1573">
        <v>0.19264140849908901</v>
      </c>
    </row>
    <row r="1574" spans="1:6" x14ac:dyDescent="0.2">
      <c r="A1574" t="s">
        <v>2663</v>
      </c>
      <c r="B1574" t="s">
        <v>2605</v>
      </c>
      <c r="C1574" t="s">
        <v>653</v>
      </c>
      <c r="D1574">
        <v>0.13795459846219699</v>
      </c>
      <c r="E1574">
        <v>9.1217411160529102E-2</v>
      </c>
      <c r="F1574">
        <v>0.19264140849908901</v>
      </c>
    </row>
    <row r="1575" spans="1:6" x14ac:dyDescent="0.2">
      <c r="A1575" t="s">
        <v>2664</v>
      </c>
      <c r="B1575" t="s">
        <v>2607</v>
      </c>
      <c r="C1575" t="s">
        <v>653</v>
      </c>
      <c r="D1575">
        <v>0.16507934217759501</v>
      </c>
      <c r="E1575">
        <v>0.113680650965976</v>
      </c>
      <c r="F1575">
        <v>0.225675095772986</v>
      </c>
    </row>
    <row r="1576" spans="1:6" x14ac:dyDescent="0.2">
      <c r="A1576" t="s">
        <v>2664</v>
      </c>
      <c r="B1576" t="s">
        <v>2607</v>
      </c>
      <c r="C1576" t="s">
        <v>653</v>
      </c>
      <c r="D1576">
        <v>0.16507934217759501</v>
      </c>
      <c r="E1576">
        <v>0.113680650965976</v>
      </c>
      <c r="F1576">
        <v>0.225675095772986</v>
      </c>
    </row>
    <row r="1577" spans="1:6" x14ac:dyDescent="0.2">
      <c r="A1577" t="s">
        <v>2665</v>
      </c>
      <c r="B1577" t="s">
        <v>2609</v>
      </c>
      <c r="C1577" t="s">
        <v>653</v>
      </c>
      <c r="D1577">
        <v>0.26159814066557702</v>
      </c>
      <c r="E1577">
        <v>0.18935334255594599</v>
      </c>
      <c r="F1577">
        <v>0.340562393377912</v>
      </c>
    </row>
    <row r="1578" spans="1:6" x14ac:dyDescent="0.2">
      <c r="A1578" t="s">
        <v>2665</v>
      </c>
      <c r="B1578" t="s">
        <v>2609</v>
      </c>
      <c r="C1578" t="s">
        <v>653</v>
      </c>
      <c r="D1578">
        <v>0.26159814066557702</v>
      </c>
      <c r="E1578">
        <v>0.18935334255594599</v>
      </c>
      <c r="F1578">
        <v>0.340562393377912</v>
      </c>
    </row>
    <row r="1579" spans="1:6" x14ac:dyDescent="0.2">
      <c r="A1579" t="s">
        <v>2666</v>
      </c>
      <c r="B1579" t="s">
        <v>2611</v>
      </c>
      <c r="C1579" t="s">
        <v>653</v>
      </c>
      <c r="D1579">
        <v>0.18964300546632601</v>
      </c>
      <c r="E1579">
        <v>0.13183672200763299</v>
      </c>
      <c r="F1579">
        <v>0.25610874024448799</v>
      </c>
    </row>
    <row r="1580" spans="1:6" x14ac:dyDescent="0.2">
      <c r="A1580" t="s">
        <v>2666</v>
      </c>
      <c r="B1580" t="s">
        <v>2611</v>
      </c>
      <c r="C1580" t="s">
        <v>653</v>
      </c>
      <c r="D1580">
        <v>0.18964300546632601</v>
      </c>
      <c r="E1580">
        <v>0.13183672200763299</v>
      </c>
      <c r="F1580">
        <v>0.25610874024448799</v>
      </c>
    </row>
    <row r="1581" spans="1:6" x14ac:dyDescent="0.2">
      <c r="A1581" t="s">
        <v>2667</v>
      </c>
      <c r="B1581" t="s">
        <v>2613</v>
      </c>
      <c r="C1581" t="s">
        <v>653</v>
      </c>
      <c r="D1581">
        <v>0.215076306628736</v>
      </c>
      <c r="E1581">
        <v>0.15261780470137101</v>
      </c>
      <c r="F1581">
        <v>0.28549904757533601</v>
      </c>
    </row>
    <row r="1582" spans="1:6" x14ac:dyDescent="0.2">
      <c r="A1582" t="s">
        <v>2667</v>
      </c>
      <c r="B1582" t="s">
        <v>2613</v>
      </c>
      <c r="C1582" t="s">
        <v>653</v>
      </c>
      <c r="D1582">
        <v>0.215076306628736</v>
      </c>
      <c r="E1582">
        <v>0.15261780470137101</v>
      </c>
      <c r="F1582">
        <v>0.28549904757533601</v>
      </c>
    </row>
    <row r="1583" spans="1:6" x14ac:dyDescent="0.2">
      <c r="A1583" t="s">
        <v>2668</v>
      </c>
      <c r="B1583" t="s">
        <v>2615</v>
      </c>
      <c r="C1583" t="s">
        <v>653</v>
      </c>
      <c r="D1583">
        <v>0.30557357073797597</v>
      </c>
      <c r="E1583">
        <v>0.223103812527645</v>
      </c>
      <c r="F1583">
        <v>0.395754518169602</v>
      </c>
    </row>
    <row r="1584" spans="1:6" x14ac:dyDescent="0.2">
      <c r="A1584" t="s">
        <v>2668</v>
      </c>
      <c r="B1584" t="s">
        <v>2615</v>
      </c>
      <c r="C1584" t="s">
        <v>653</v>
      </c>
      <c r="D1584">
        <v>0.30557357073797597</v>
      </c>
      <c r="E1584">
        <v>0.223103812527645</v>
      </c>
      <c r="F1584">
        <v>0.395754518169602</v>
      </c>
    </row>
    <row r="1585" spans="1:6" x14ac:dyDescent="0.2">
      <c r="A1585" t="s">
        <v>2669</v>
      </c>
      <c r="B1585" t="s">
        <v>2617</v>
      </c>
      <c r="C1585" t="s">
        <v>653</v>
      </c>
      <c r="D1585">
        <v>0.24366106412591301</v>
      </c>
      <c r="E1585">
        <v>0.176324700407062</v>
      </c>
      <c r="F1585">
        <v>0.318702397073586</v>
      </c>
    </row>
    <row r="1586" spans="1:6" x14ac:dyDescent="0.2">
      <c r="A1586" t="s">
        <v>2669</v>
      </c>
      <c r="B1586" t="s">
        <v>2617</v>
      </c>
      <c r="C1586" t="s">
        <v>653</v>
      </c>
      <c r="D1586">
        <v>0.24366106412591301</v>
      </c>
      <c r="E1586">
        <v>0.176324700407062</v>
      </c>
      <c r="F1586">
        <v>0.318702397073586</v>
      </c>
    </row>
    <row r="1587" spans="1:6" x14ac:dyDescent="0.2">
      <c r="A1587" t="s">
        <v>2670</v>
      </c>
      <c r="B1587" t="s">
        <v>2619</v>
      </c>
      <c r="C1587" t="s">
        <v>653</v>
      </c>
      <c r="D1587">
        <v>0.26732210608507501</v>
      </c>
      <c r="E1587">
        <v>0.194333531099455</v>
      </c>
      <c r="F1587">
        <v>0.34922583284553799</v>
      </c>
    </row>
    <row r="1588" spans="1:6" x14ac:dyDescent="0.2">
      <c r="A1588" t="s">
        <v>2670</v>
      </c>
      <c r="B1588" t="s">
        <v>2619</v>
      </c>
      <c r="C1588" t="s">
        <v>653</v>
      </c>
      <c r="D1588">
        <v>0.26732210608507501</v>
      </c>
      <c r="E1588">
        <v>0.194333531099455</v>
      </c>
      <c r="F1588">
        <v>0.34922583284553799</v>
      </c>
    </row>
    <row r="1589" spans="1:6" x14ac:dyDescent="0.2">
      <c r="A1589" t="s">
        <v>2671</v>
      </c>
      <c r="B1589" t="s">
        <v>2621</v>
      </c>
      <c r="C1589" t="s">
        <v>653</v>
      </c>
      <c r="D1589">
        <v>0.35149758919801199</v>
      </c>
      <c r="E1589">
        <v>0.25829193951708201</v>
      </c>
      <c r="F1589">
        <v>0.45527744210608201</v>
      </c>
    </row>
    <row r="1590" spans="1:6" x14ac:dyDescent="0.2">
      <c r="A1590" t="s">
        <v>2671</v>
      </c>
      <c r="B1590" t="s">
        <v>2621</v>
      </c>
      <c r="C1590" t="s">
        <v>653</v>
      </c>
      <c r="D1590">
        <v>0.35149758919801199</v>
      </c>
      <c r="E1590">
        <v>0.25829193951708201</v>
      </c>
      <c r="F1590">
        <v>0.45527744210608201</v>
      </c>
    </row>
    <row r="1591" spans="1:6" x14ac:dyDescent="0.2">
      <c r="A1591" t="s">
        <v>2672</v>
      </c>
      <c r="B1591" t="s">
        <v>2623</v>
      </c>
      <c r="C1591" t="s">
        <v>653</v>
      </c>
      <c r="D1591">
        <v>0.27988910145600499</v>
      </c>
      <c r="E1591">
        <v>0.206107452513074</v>
      </c>
      <c r="F1591">
        <v>0.369398696031361</v>
      </c>
    </row>
    <row r="1592" spans="1:6" x14ac:dyDescent="0.2">
      <c r="A1592" t="s">
        <v>2672</v>
      </c>
      <c r="B1592" t="s">
        <v>2623</v>
      </c>
      <c r="C1592" t="s">
        <v>653</v>
      </c>
      <c r="D1592">
        <v>0.27988910145600499</v>
      </c>
      <c r="E1592">
        <v>0.206107452513074</v>
      </c>
      <c r="F1592">
        <v>0.369398696031361</v>
      </c>
    </row>
    <row r="1593" spans="1:6" x14ac:dyDescent="0.2">
      <c r="A1593" t="s">
        <v>2673</v>
      </c>
      <c r="B1593" t="s">
        <v>2625</v>
      </c>
      <c r="C1593" t="s">
        <v>653</v>
      </c>
      <c r="D1593">
        <v>0.30237079963526597</v>
      </c>
      <c r="E1593">
        <v>0.22193505298723201</v>
      </c>
      <c r="F1593">
        <v>0.39514015484222997</v>
      </c>
    </row>
    <row r="1594" spans="1:6" x14ac:dyDescent="0.2">
      <c r="A1594" t="s">
        <v>2673</v>
      </c>
      <c r="B1594" t="s">
        <v>2625</v>
      </c>
      <c r="C1594" t="s">
        <v>653</v>
      </c>
      <c r="D1594">
        <v>0.30237079963526597</v>
      </c>
      <c r="E1594">
        <v>0.22193505298723201</v>
      </c>
      <c r="F1594">
        <v>0.39514015484222997</v>
      </c>
    </row>
    <row r="1595" spans="1:6" x14ac:dyDescent="0.2">
      <c r="A1595" t="s">
        <v>2674</v>
      </c>
      <c r="B1595" t="s">
        <v>2627</v>
      </c>
      <c r="C1595" t="s">
        <v>653</v>
      </c>
      <c r="D1595">
        <v>0.38232698643035101</v>
      </c>
      <c r="E1595">
        <v>0.28210886120820899</v>
      </c>
      <c r="F1595">
        <v>0.49462478510011998</v>
      </c>
    </row>
    <row r="1596" spans="1:6" x14ac:dyDescent="0.2">
      <c r="A1596" t="s">
        <v>2674</v>
      </c>
      <c r="B1596" t="s">
        <v>2627</v>
      </c>
      <c r="C1596" t="s">
        <v>653</v>
      </c>
      <c r="D1596">
        <v>0.38232698643035101</v>
      </c>
      <c r="E1596">
        <v>0.28210886120820899</v>
      </c>
      <c r="F1596">
        <v>0.49462478510011998</v>
      </c>
    </row>
    <row r="1597" spans="1:6" x14ac:dyDescent="0.2">
      <c r="A1597" t="s">
        <v>2675</v>
      </c>
      <c r="B1597" t="s">
        <v>2629</v>
      </c>
      <c r="C1597" t="s">
        <v>653</v>
      </c>
      <c r="D1597">
        <v>7.0950113734209397E-2</v>
      </c>
      <c r="E1597">
        <v>3.3402817236394003E-2</v>
      </c>
      <c r="F1597">
        <v>0.116938444805247</v>
      </c>
    </row>
    <row r="1598" spans="1:6" x14ac:dyDescent="0.2">
      <c r="A1598" t="s">
        <v>2676</v>
      </c>
      <c r="B1598" t="s">
        <v>2631</v>
      </c>
      <c r="C1598" t="s">
        <v>653</v>
      </c>
      <c r="D1598">
        <v>0.100761875305934</v>
      </c>
      <c r="E1598">
        <v>6.0740628028239901E-2</v>
      </c>
      <c r="F1598">
        <v>0.14900305077601</v>
      </c>
    </row>
    <row r="1599" spans="1:6" x14ac:dyDescent="0.2">
      <c r="A1599" t="s">
        <v>2677</v>
      </c>
      <c r="B1599" t="s">
        <v>2633</v>
      </c>
      <c r="C1599" t="s">
        <v>653</v>
      </c>
      <c r="D1599">
        <v>0.15473785558450601</v>
      </c>
      <c r="E1599">
        <v>0.104661500044936</v>
      </c>
      <c r="F1599">
        <v>0.21097456911391199</v>
      </c>
    </row>
    <row r="1600" spans="1:6" x14ac:dyDescent="0.2">
      <c r="A1600" t="s">
        <v>2678</v>
      </c>
      <c r="B1600" t="s">
        <v>2635</v>
      </c>
      <c r="C1600" t="s">
        <v>653</v>
      </c>
      <c r="D1600">
        <v>0.21112984364049101</v>
      </c>
      <c r="E1600">
        <v>0.148295220306848</v>
      </c>
      <c r="F1600">
        <v>0.28050699784379002</v>
      </c>
    </row>
    <row r="1601" spans="1:6" x14ac:dyDescent="0.2">
      <c r="A1601" t="s">
        <v>2679</v>
      </c>
      <c r="B1601" t="s">
        <v>2637</v>
      </c>
      <c r="C1601" t="s">
        <v>653</v>
      </c>
      <c r="D1601">
        <v>0.248928374202847</v>
      </c>
      <c r="E1601">
        <v>0.17587789470915799</v>
      </c>
      <c r="F1601">
        <v>0.32768477011460001</v>
      </c>
    </row>
    <row r="1602" spans="1:6" x14ac:dyDescent="0.2">
      <c r="A1602" t="s">
        <v>2680</v>
      </c>
      <c r="B1602" t="s">
        <v>2639</v>
      </c>
      <c r="C1602" t="s">
        <v>653</v>
      </c>
      <c r="D1602">
        <v>0.10683962207452</v>
      </c>
      <c r="E1602">
        <v>6.6589324771667305E-2</v>
      </c>
      <c r="F1602">
        <v>0.15570243501491299</v>
      </c>
    </row>
    <row r="1603" spans="1:6" x14ac:dyDescent="0.2">
      <c r="A1603" t="s">
        <v>2681</v>
      </c>
      <c r="B1603" t="s">
        <v>2641</v>
      </c>
      <c r="C1603" t="s">
        <v>653</v>
      </c>
      <c r="D1603">
        <v>0.116448447432206</v>
      </c>
      <c r="E1603">
        <v>7.4250464146367504E-2</v>
      </c>
      <c r="F1603">
        <v>0.168844760935567</v>
      </c>
    </row>
    <row r="1604" spans="1:6" x14ac:dyDescent="0.2">
      <c r="A1604" t="s">
        <v>2681</v>
      </c>
      <c r="B1604" t="s">
        <v>2641</v>
      </c>
      <c r="C1604" t="s">
        <v>653</v>
      </c>
      <c r="D1604">
        <v>0.116448447432206</v>
      </c>
      <c r="E1604">
        <v>7.4250464146367504E-2</v>
      </c>
      <c r="F1604">
        <v>0.168844760935567</v>
      </c>
    </row>
    <row r="1605" spans="1:6" x14ac:dyDescent="0.2">
      <c r="A1605" t="s">
        <v>2682</v>
      </c>
      <c r="B1605" t="s">
        <v>2643</v>
      </c>
      <c r="C1605" t="s">
        <v>653</v>
      </c>
      <c r="D1605">
        <v>0.14474289612401101</v>
      </c>
      <c r="E1605">
        <v>9.7638490644870499E-2</v>
      </c>
      <c r="F1605">
        <v>0.200325254642547</v>
      </c>
    </row>
    <row r="1606" spans="1:6" x14ac:dyDescent="0.2">
      <c r="A1606" t="s">
        <v>2682</v>
      </c>
      <c r="B1606" t="s">
        <v>2643</v>
      </c>
      <c r="C1606" t="s">
        <v>653</v>
      </c>
      <c r="D1606">
        <v>0.14474289612401101</v>
      </c>
      <c r="E1606">
        <v>9.7638490644870499E-2</v>
      </c>
      <c r="F1606">
        <v>0.200325254642547</v>
      </c>
    </row>
    <row r="1607" spans="1:6" x14ac:dyDescent="0.2">
      <c r="A1607" t="s">
        <v>2683</v>
      </c>
      <c r="B1607" t="s">
        <v>2645</v>
      </c>
      <c r="C1607" t="s">
        <v>653</v>
      </c>
      <c r="D1607">
        <v>0.196010168827008</v>
      </c>
      <c r="E1607">
        <v>0.13730379534550699</v>
      </c>
      <c r="F1607">
        <v>0.26361965175409902</v>
      </c>
    </row>
    <row r="1608" spans="1:6" x14ac:dyDescent="0.2">
      <c r="A1608" t="s">
        <v>2683</v>
      </c>
      <c r="B1608" t="s">
        <v>2645</v>
      </c>
      <c r="C1608" t="s">
        <v>653</v>
      </c>
      <c r="D1608">
        <v>0.196010168827008</v>
      </c>
      <c r="E1608">
        <v>0.13730379534550699</v>
      </c>
      <c r="F1608">
        <v>0.26361965175409902</v>
      </c>
    </row>
    <row r="1609" spans="1:6" x14ac:dyDescent="0.2">
      <c r="A1609" t="s">
        <v>2684</v>
      </c>
      <c r="B1609" t="s">
        <v>2647</v>
      </c>
      <c r="C1609" t="s">
        <v>653</v>
      </c>
      <c r="D1609">
        <v>0.24958788798432999</v>
      </c>
      <c r="E1609">
        <v>0.17813894687147899</v>
      </c>
      <c r="F1609">
        <v>0.32595451480308002</v>
      </c>
    </row>
    <row r="1610" spans="1:6" x14ac:dyDescent="0.2">
      <c r="A1610" t="s">
        <v>2684</v>
      </c>
      <c r="B1610" t="s">
        <v>2647</v>
      </c>
      <c r="C1610" t="s">
        <v>653</v>
      </c>
      <c r="D1610">
        <v>0.24958788798432999</v>
      </c>
      <c r="E1610">
        <v>0.17813894687147899</v>
      </c>
      <c r="F1610">
        <v>0.32595451480308002</v>
      </c>
    </row>
    <row r="1611" spans="1:6" x14ac:dyDescent="0.2">
      <c r="A1611" t="s">
        <v>2685</v>
      </c>
      <c r="B1611" t="s">
        <v>2649</v>
      </c>
      <c r="C1611" t="s">
        <v>653</v>
      </c>
      <c r="D1611">
        <v>0.285521051528702</v>
      </c>
      <c r="E1611">
        <v>0.20994826986026899</v>
      </c>
      <c r="F1611">
        <v>0.37472521878596099</v>
      </c>
    </row>
    <row r="1612" spans="1:6" x14ac:dyDescent="0.2">
      <c r="A1612" t="s">
        <v>2685</v>
      </c>
      <c r="B1612" t="s">
        <v>2649</v>
      </c>
      <c r="C1612" t="s">
        <v>653</v>
      </c>
      <c r="D1612">
        <v>0.285521051528702</v>
      </c>
      <c r="E1612">
        <v>0.20994826986026899</v>
      </c>
      <c r="F1612">
        <v>0.37472521878596099</v>
      </c>
    </row>
    <row r="1613" spans="1:6" x14ac:dyDescent="0.2">
      <c r="A1613" t="s">
        <v>2686</v>
      </c>
      <c r="B1613" t="s">
        <v>2590</v>
      </c>
      <c r="C1613" t="s">
        <v>2591</v>
      </c>
      <c r="D1613">
        <v>6.0814388803672001E-2</v>
      </c>
      <c r="E1613">
        <v>2.3912576027214399E-2</v>
      </c>
      <c r="F1613">
        <v>0.10686210505664299</v>
      </c>
    </row>
    <row r="1614" spans="1:6" x14ac:dyDescent="0.2">
      <c r="A1614" t="s">
        <v>2687</v>
      </c>
      <c r="B1614" t="s">
        <v>2593</v>
      </c>
      <c r="C1614" t="s">
        <v>653</v>
      </c>
      <c r="D1614">
        <v>9.9739118360256396E-2</v>
      </c>
      <c r="E1614">
        <v>6.0189492234025199E-2</v>
      </c>
      <c r="F1614">
        <v>0.146840123216636</v>
      </c>
    </row>
    <row r="1615" spans="1:6" x14ac:dyDescent="0.2">
      <c r="A1615" t="s">
        <v>2688</v>
      </c>
      <c r="B1615" t="s">
        <v>2595</v>
      </c>
      <c r="C1615" t="s">
        <v>653</v>
      </c>
      <c r="D1615">
        <v>0.12810417897889501</v>
      </c>
      <c r="E1615">
        <v>8.4041963996242294E-2</v>
      </c>
      <c r="F1615">
        <v>0.178070136116012</v>
      </c>
    </row>
    <row r="1616" spans="1:6" x14ac:dyDescent="0.2">
      <c r="A1616" t="s">
        <v>2689</v>
      </c>
      <c r="B1616" t="s">
        <v>2597</v>
      </c>
      <c r="C1616" t="s">
        <v>653</v>
      </c>
      <c r="D1616">
        <v>0.22897576486061</v>
      </c>
      <c r="E1616">
        <v>0.161692641181614</v>
      </c>
      <c r="F1616">
        <v>0.30363217545797699</v>
      </c>
    </row>
    <row r="1617" spans="1:6" x14ac:dyDescent="0.2">
      <c r="A1617" t="s">
        <v>2690</v>
      </c>
      <c r="B1617" t="s">
        <v>2599</v>
      </c>
      <c r="C1617" t="s">
        <v>653</v>
      </c>
      <c r="D1617">
        <v>0.109426792893646</v>
      </c>
      <c r="E1617">
        <v>6.8117601966706104E-2</v>
      </c>
      <c r="F1617">
        <v>0.15781181399949601</v>
      </c>
    </row>
    <row r="1618" spans="1:6" x14ac:dyDescent="0.2">
      <c r="A1618" t="s">
        <v>2690</v>
      </c>
      <c r="B1618" t="s">
        <v>2599</v>
      </c>
      <c r="C1618" t="s">
        <v>653</v>
      </c>
      <c r="D1618">
        <v>0.109426792893646</v>
      </c>
      <c r="E1618">
        <v>6.8117601966706104E-2</v>
      </c>
      <c r="F1618">
        <v>0.15781181399949601</v>
      </c>
    </row>
    <row r="1619" spans="1:6" x14ac:dyDescent="0.2">
      <c r="A1619" t="s">
        <v>2691</v>
      </c>
      <c r="B1619" t="s">
        <v>2601</v>
      </c>
      <c r="C1619" t="s">
        <v>653</v>
      </c>
      <c r="D1619">
        <v>0.137481972912012</v>
      </c>
      <c r="E1619">
        <v>9.2193469943263703E-2</v>
      </c>
      <c r="F1619">
        <v>0.19029522164014701</v>
      </c>
    </row>
    <row r="1620" spans="1:6" x14ac:dyDescent="0.2">
      <c r="A1620" t="s">
        <v>2691</v>
      </c>
      <c r="B1620" t="s">
        <v>2601</v>
      </c>
      <c r="C1620" t="s">
        <v>653</v>
      </c>
      <c r="D1620">
        <v>0.137481972912012</v>
      </c>
      <c r="E1620">
        <v>9.2193469943263703E-2</v>
      </c>
      <c r="F1620">
        <v>0.19029522164014701</v>
      </c>
    </row>
    <row r="1621" spans="1:6" x14ac:dyDescent="0.2">
      <c r="A1621" t="s">
        <v>2692</v>
      </c>
      <c r="B1621" t="s">
        <v>2603</v>
      </c>
      <c r="C1621" t="s">
        <v>653</v>
      </c>
      <c r="D1621">
        <v>0.23727952763370999</v>
      </c>
      <c r="E1621">
        <v>0.168942796030502</v>
      </c>
      <c r="F1621">
        <v>0.31329887403897799</v>
      </c>
    </row>
    <row r="1622" spans="1:6" x14ac:dyDescent="0.2">
      <c r="A1622" t="s">
        <v>2692</v>
      </c>
      <c r="B1622" t="s">
        <v>2603</v>
      </c>
      <c r="C1622" t="s">
        <v>653</v>
      </c>
      <c r="D1622">
        <v>0.23727952763370999</v>
      </c>
      <c r="E1622">
        <v>0.168942796030502</v>
      </c>
      <c r="F1622">
        <v>0.31329887403897799</v>
      </c>
    </row>
    <row r="1623" spans="1:6" x14ac:dyDescent="0.2">
      <c r="A1623" t="s">
        <v>2693</v>
      </c>
      <c r="B1623" t="s">
        <v>2605</v>
      </c>
      <c r="C1623" t="s">
        <v>653</v>
      </c>
      <c r="D1623">
        <v>0.13795459846219699</v>
      </c>
      <c r="E1623">
        <v>9.1217411160529102E-2</v>
      </c>
      <c r="F1623">
        <v>0.19264140849908901</v>
      </c>
    </row>
    <row r="1624" spans="1:6" x14ac:dyDescent="0.2">
      <c r="A1624" t="s">
        <v>2693</v>
      </c>
      <c r="B1624" t="s">
        <v>2605</v>
      </c>
      <c r="C1624" t="s">
        <v>653</v>
      </c>
      <c r="D1624">
        <v>0.13795459846219699</v>
      </c>
      <c r="E1624">
        <v>9.1217411160529102E-2</v>
      </c>
      <c r="F1624">
        <v>0.19264140849908901</v>
      </c>
    </row>
    <row r="1625" spans="1:6" x14ac:dyDescent="0.2">
      <c r="A1625" t="s">
        <v>2694</v>
      </c>
      <c r="B1625" t="s">
        <v>2607</v>
      </c>
      <c r="C1625" t="s">
        <v>653</v>
      </c>
      <c r="D1625">
        <v>0.16507934217759501</v>
      </c>
      <c r="E1625">
        <v>0.113680650965976</v>
      </c>
      <c r="F1625">
        <v>0.225675095772986</v>
      </c>
    </row>
    <row r="1626" spans="1:6" x14ac:dyDescent="0.2">
      <c r="A1626" t="s">
        <v>2694</v>
      </c>
      <c r="B1626" t="s">
        <v>2607</v>
      </c>
      <c r="C1626" t="s">
        <v>653</v>
      </c>
      <c r="D1626">
        <v>0.16507934217759501</v>
      </c>
      <c r="E1626">
        <v>0.113680650965976</v>
      </c>
      <c r="F1626">
        <v>0.225675095772986</v>
      </c>
    </row>
    <row r="1627" spans="1:6" x14ac:dyDescent="0.2">
      <c r="A1627" t="s">
        <v>2695</v>
      </c>
      <c r="B1627" t="s">
        <v>2609</v>
      </c>
      <c r="C1627" t="s">
        <v>653</v>
      </c>
      <c r="D1627">
        <v>0.26159814066557702</v>
      </c>
      <c r="E1627">
        <v>0.18935334255594599</v>
      </c>
      <c r="F1627">
        <v>0.340562393377912</v>
      </c>
    </row>
    <row r="1628" spans="1:6" x14ac:dyDescent="0.2">
      <c r="A1628" t="s">
        <v>2695</v>
      </c>
      <c r="B1628" t="s">
        <v>2609</v>
      </c>
      <c r="C1628" t="s">
        <v>653</v>
      </c>
      <c r="D1628">
        <v>0.26159814066557702</v>
      </c>
      <c r="E1628">
        <v>0.18935334255594599</v>
      </c>
      <c r="F1628">
        <v>0.340562393377912</v>
      </c>
    </row>
    <row r="1629" spans="1:6" x14ac:dyDescent="0.2">
      <c r="A1629" t="s">
        <v>2696</v>
      </c>
      <c r="B1629" t="s">
        <v>2611</v>
      </c>
      <c r="C1629" t="s">
        <v>653</v>
      </c>
      <c r="D1629">
        <v>0.18964300546632601</v>
      </c>
      <c r="E1629">
        <v>0.13183672200763299</v>
      </c>
      <c r="F1629">
        <v>0.25610874024448799</v>
      </c>
    </row>
    <row r="1630" spans="1:6" x14ac:dyDescent="0.2">
      <c r="A1630" t="s">
        <v>2696</v>
      </c>
      <c r="B1630" t="s">
        <v>2611</v>
      </c>
      <c r="C1630" t="s">
        <v>653</v>
      </c>
      <c r="D1630">
        <v>0.18964300546632601</v>
      </c>
      <c r="E1630">
        <v>0.13183672200763299</v>
      </c>
      <c r="F1630">
        <v>0.25610874024448799</v>
      </c>
    </row>
    <row r="1631" spans="1:6" x14ac:dyDescent="0.2">
      <c r="A1631" t="s">
        <v>2697</v>
      </c>
      <c r="B1631" t="s">
        <v>2613</v>
      </c>
      <c r="C1631" t="s">
        <v>653</v>
      </c>
      <c r="D1631">
        <v>0.215076306628736</v>
      </c>
      <c r="E1631">
        <v>0.15261780470137101</v>
      </c>
      <c r="F1631">
        <v>0.28549904757533601</v>
      </c>
    </row>
    <row r="1632" spans="1:6" x14ac:dyDescent="0.2">
      <c r="A1632" t="s">
        <v>2697</v>
      </c>
      <c r="B1632" t="s">
        <v>2613</v>
      </c>
      <c r="C1632" t="s">
        <v>653</v>
      </c>
      <c r="D1632">
        <v>0.215076306628736</v>
      </c>
      <c r="E1632">
        <v>0.15261780470137101</v>
      </c>
      <c r="F1632">
        <v>0.28549904757533601</v>
      </c>
    </row>
    <row r="1633" spans="1:6" x14ac:dyDescent="0.2">
      <c r="A1633" t="s">
        <v>2698</v>
      </c>
      <c r="B1633" t="s">
        <v>2615</v>
      </c>
      <c r="C1633" t="s">
        <v>653</v>
      </c>
      <c r="D1633">
        <v>0.30557357073797597</v>
      </c>
      <c r="E1633">
        <v>0.223103812527645</v>
      </c>
      <c r="F1633">
        <v>0.395754518169602</v>
      </c>
    </row>
    <row r="1634" spans="1:6" x14ac:dyDescent="0.2">
      <c r="A1634" t="s">
        <v>2698</v>
      </c>
      <c r="B1634" t="s">
        <v>2615</v>
      </c>
      <c r="C1634" t="s">
        <v>653</v>
      </c>
      <c r="D1634">
        <v>0.30557357073797597</v>
      </c>
      <c r="E1634">
        <v>0.223103812527645</v>
      </c>
      <c r="F1634">
        <v>0.395754518169602</v>
      </c>
    </row>
    <row r="1635" spans="1:6" x14ac:dyDescent="0.2">
      <c r="A1635" t="s">
        <v>2699</v>
      </c>
      <c r="B1635" t="s">
        <v>2617</v>
      </c>
      <c r="C1635" t="s">
        <v>653</v>
      </c>
      <c r="D1635">
        <v>0.24366106412591301</v>
      </c>
      <c r="E1635">
        <v>0.176324700407062</v>
      </c>
      <c r="F1635">
        <v>0.318702397073586</v>
      </c>
    </row>
    <row r="1636" spans="1:6" x14ac:dyDescent="0.2">
      <c r="A1636" t="s">
        <v>2699</v>
      </c>
      <c r="B1636" t="s">
        <v>2617</v>
      </c>
      <c r="C1636" t="s">
        <v>653</v>
      </c>
      <c r="D1636">
        <v>0.24366106412591301</v>
      </c>
      <c r="E1636">
        <v>0.176324700407062</v>
      </c>
      <c r="F1636">
        <v>0.318702397073586</v>
      </c>
    </row>
    <row r="1637" spans="1:6" x14ac:dyDescent="0.2">
      <c r="A1637" t="s">
        <v>2700</v>
      </c>
      <c r="B1637" t="s">
        <v>2619</v>
      </c>
      <c r="C1637" t="s">
        <v>653</v>
      </c>
      <c r="D1637">
        <v>0.26732210608507501</v>
      </c>
      <c r="E1637">
        <v>0.194333531099455</v>
      </c>
      <c r="F1637">
        <v>0.34922583284553799</v>
      </c>
    </row>
    <row r="1638" spans="1:6" x14ac:dyDescent="0.2">
      <c r="A1638" t="s">
        <v>2700</v>
      </c>
      <c r="B1638" t="s">
        <v>2619</v>
      </c>
      <c r="C1638" t="s">
        <v>653</v>
      </c>
      <c r="D1638">
        <v>0.26732210608507501</v>
      </c>
      <c r="E1638">
        <v>0.194333531099455</v>
      </c>
      <c r="F1638">
        <v>0.34922583284553799</v>
      </c>
    </row>
    <row r="1639" spans="1:6" x14ac:dyDescent="0.2">
      <c r="A1639" t="s">
        <v>2701</v>
      </c>
      <c r="B1639" t="s">
        <v>2621</v>
      </c>
      <c r="C1639" t="s">
        <v>653</v>
      </c>
      <c r="D1639">
        <v>0.35149758919801199</v>
      </c>
      <c r="E1639">
        <v>0.25829193951708201</v>
      </c>
      <c r="F1639">
        <v>0.45527744210608201</v>
      </c>
    </row>
    <row r="1640" spans="1:6" x14ac:dyDescent="0.2">
      <c r="A1640" t="s">
        <v>2701</v>
      </c>
      <c r="B1640" t="s">
        <v>2621</v>
      </c>
      <c r="C1640" t="s">
        <v>653</v>
      </c>
      <c r="D1640">
        <v>0.35149758919801199</v>
      </c>
      <c r="E1640">
        <v>0.25829193951708201</v>
      </c>
      <c r="F1640">
        <v>0.45527744210608201</v>
      </c>
    </row>
    <row r="1641" spans="1:6" x14ac:dyDescent="0.2">
      <c r="A1641" t="s">
        <v>2702</v>
      </c>
      <c r="B1641" t="s">
        <v>2623</v>
      </c>
      <c r="C1641" t="s">
        <v>653</v>
      </c>
      <c r="D1641">
        <v>0.27988910145600499</v>
      </c>
      <c r="E1641">
        <v>0.206107452513074</v>
      </c>
      <c r="F1641">
        <v>0.369398696031361</v>
      </c>
    </row>
    <row r="1642" spans="1:6" x14ac:dyDescent="0.2">
      <c r="A1642" t="s">
        <v>2702</v>
      </c>
      <c r="B1642" t="s">
        <v>2623</v>
      </c>
      <c r="C1642" t="s">
        <v>653</v>
      </c>
      <c r="D1642">
        <v>0.27988910145600499</v>
      </c>
      <c r="E1642">
        <v>0.206107452513074</v>
      </c>
      <c r="F1642">
        <v>0.369398696031361</v>
      </c>
    </row>
    <row r="1643" spans="1:6" x14ac:dyDescent="0.2">
      <c r="A1643" t="s">
        <v>2703</v>
      </c>
      <c r="B1643" t="s">
        <v>2625</v>
      </c>
      <c r="C1643" t="s">
        <v>653</v>
      </c>
      <c r="D1643">
        <v>0.30237079963526597</v>
      </c>
      <c r="E1643">
        <v>0.22193505298723201</v>
      </c>
      <c r="F1643">
        <v>0.39514015484222997</v>
      </c>
    </row>
    <row r="1644" spans="1:6" x14ac:dyDescent="0.2">
      <c r="A1644" t="s">
        <v>2703</v>
      </c>
      <c r="B1644" t="s">
        <v>2625</v>
      </c>
      <c r="C1644" t="s">
        <v>653</v>
      </c>
      <c r="D1644">
        <v>0.30237079963526597</v>
      </c>
      <c r="E1644">
        <v>0.22193505298723201</v>
      </c>
      <c r="F1644">
        <v>0.39514015484222997</v>
      </c>
    </row>
    <row r="1645" spans="1:6" x14ac:dyDescent="0.2">
      <c r="A1645" t="s">
        <v>2704</v>
      </c>
      <c r="B1645" t="s">
        <v>2627</v>
      </c>
      <c r="C1645" t="s">
        <v>653</v>
      </c>
      <c r="D1645">
        <v>0.38232698643035101</v>
      </c>
      <c r="E1645">
        <v>0.28210886120820899</v>
      </c>
      <c r="F1645">
        <v>0.49462478510011998</v>
      </c>
    </row>
    <row r="1646" spans="1:6" x14ac:dyDescent="0.2">
      <c r="A1646" t="s">
        <v>2704</v>
      </c>
      <c r="B1646" t="s">
        <v>2627</v>
      </c>
      <c r="C1646" t="s">
        <v>653</v>
      </c>
      <c r="D1646">
        <v>0.38232698643035101</v>
      </c>
      <c r="E1646">
        <v>0.28210886120820899</v>
      </c>
      <c r="F1646">
        <v>0.49462478510011998</v>
      </c>
    </row>
    <row r="1647" spans="1:6" x14ac:dyDescent="0.2">
      <c r="A1647" t="s">
        <v>2705</v>
      </c>
      <c r="B1647" t="s">
        <v>2629</v>
      </c>
      <c r="C1647" t="s">
        <v>653</v>
      </c>
      <c r="D1647">
        <v>7.0950113734209397E-2</v>
      </c>
      <c r="E1647">
        <v>3.3402817236394003E-2</v>
      </c>
      <c r="F1647">
        <v>0.116938444805247</v>
      </c>
    </row>
    <row r="1648" spans="1:6" x14ac:dyDescent="0.2">
      <c r="A1648" t="s">
        <v>2706</v>
      </c>
      <c r="B1648" t="s">
        <v>2631</v>
      </c>
      <c r="C1648" t="s">
        <v>653</v>
      </c>
      <c r="D1648">
        <v>0.100761875305934</v>
      </c>
      <c r="E1648">
        <v>6.0740628028239901E-2</v>
      </c>
      <c r="F1648">
        <v>0.14900305077601</v>
      </c>
    </row>
    <row r="1649" spans="1:6" x14ac:dyDescent="0.2">
      <c r="A1649" t="s">
        <v>2707</v>
      </c>
      <c r="B1649" t="s">
        <v>2633</v>
      </c>
      <c r="C1649" t="s">
        <v>653</v>
      </c>
      <c r="D1649">
        <v>0.15473785558450601</v>
      </c>
      <c r="E1649">
        <v>0.104661500044936</v>
      </c>
      <c r="F1649">
        <v>0.21097456911391199</v>
      </c>
    </row>
    <row r="1650" spans="1:6" x14ac:dyDescent="0.2">
      <c r="A1650" t="s">
        <v>2708</v>
      </c>
      <c r="B1650" t="s">
        <v>2635</v>
      </c>
      <c r="C1650" t="s">
        <v>653</v>
      </c>
      <c r="D1650">
        <v>0.21112984364049101</v>
      </c>
      <c r="E1650">
        <v>0.148295220306848</v>
      </c>
      <c r="F1650">
        <v>0.28050699784379002</v>
      </c>
    </row>
    <row r="1651" spans="1:6" x14ac:dyDescent="0.2">
      <c r="A1651" t="s">
        <v>2709</v>
      </c>
      <c r="B1651" t="s">
        <v>2637</v>
      </c>
      <c r="C1651" t="s">
        <v>653</v>
      </c>
      <c r="D1651">
        <v>0.248928374202847</v>
      </c>
      <c r="E1651">
        <v>0.17587789470915799</v>
      </c>
      <c r="F1651">
        <v>0.32768477011460001</v>
      </c>
    </row>
    <row r="1652" spans="1:6" x14ac:dyDescent="0.2">
      <c r="A1652" t="s">
        <v>2710</v>
      </c>
      <c r="B1652" t="s">
        <v>2639</v>
      </c>
      <c r="C1652" t="s">
        <v>653</v>
      </c>
      <c r="D1652">
        <v>0.10683962207452</v>
      </c>
      <c r="E1652">
        <v>6.6589324771667305E-2</v>
      </c>
      <c r="F1652">
        <v>0.15570243501491299</v>
      </c>
    </row>
    <row r="1653" spans="1:6" x14ac:dyDescent="0.2">
      <c r="A1653" t="s">
        <v>2711</v>
      </c>
      <c r="B1653" t="s">
        <v>2641</v>
      </c>
      <c r="C1653" t="s">
        <v>653</v>
      </c>
      <c r="D1653">
        <v>0.116448447432206</v>
      </c>
      <c r="E1653">
        <v>7.4250464146367504E-2</v>
      </c>
      <c r="F1653">
        <v>0.168844760935567</v>
      </c>
    </row>
    <row r="1654" spans="1:6" x14ac:dyDescent="0.2">
      <c r="A1654" t="s">
        <v>2711</v>
      </c>
      <c r="B1654" t="s">
        <v>2641</v>
      </c>
      <c r="C1654" t="s">
        <v>653</v>
      </c>
      <c r="D1654">
        <v>0.116448447432206</v>
      </c>
      <c r="E1654">
        <v>7.4250464146367504E-2</v>
      </c>
      <c r="F1654">
        <v>0.168844760935567</v>
      </c>
    </row>
    <row r="1655" spans="1:6" x14ac:dyDescent="0.2">
      <c r="A1655" t="s">
        <v>2712</v>
      </c>
      <c r="B1655" t="s">
        <v>2643</v>
      </c>
      <c r="C1655" t="s">
        <v>653</v>
      </c>
      <c r="D1655">
        <v>0.14474289612401101</v>
      </c>
      <c r="E1655">
        <v>9.7638490644870499E-2</v>
      </c>
      <c r="F1655">
        <v>0.200325254642547</v>
      </c>
    </row>
    <row r="1656" spans="1:6" x14ac:dyDescent="0.2">
      <c r="A1656" t="s">
        <v>2712</v>
      </c>
      <c r="B1656" t="s">
        <v>2643</v>
      </c>
      <c r="C1656" t="s">
        <v>653</v>
      </c>
      <c r="D1656">
        <v>0.14474289612401101</v>
      </c>
      <c r="E1656">
        <v>9.7638490644870499E-2</v>
      </c>
      <c r="F1656">
        <v>0.200325254642547</v>
      </c>
    </row>
    <row r="1657" spans="1:6" x14ac:dyDescent="0.2">
      <c r="A1657" t="s">
        <v>2713</v>
      </c>
      <c r="B1657" t="s">
        <v>2645</v>
      </c>
      <c r="C1657" t="s">
        <v>653</v>
      </c>
      <c r="D1657">
        <v>0.196010168827008</v>
      </c>
      <c r="E1657">
        <v>0.13730379534550699</v>
      </c>
      <c r="F1657">
        <v>0.26361965175409902</v>
      </c>
    </row>
    <row r="1658" spans="1:6" x14ac:dyDescent="0.2">
      <c r="A1658" t="s">
        <v>2713</v>
      </c>
      <c r="B1658" t="s">
        <v>2645</v>
      </c>
      <c r="C1658" t="s">
        <v>653</v>
      </c>
      <c r="D1658">
        <v>0.196010168827008</v>
      </c>
      <c r="E1658">
        <v>0.13730379534550699</v>
      </c>
      <c r="F1658">
        <v>0.26361965175409902</v>
      </c>
    </row>
    <row r="1659" spans="1:6" x14ac:dyDescent="0.2">
      <c r="A1659" t="s">
        <v>2714</v>
      </c>
      <c r="B1659" t="s">
        <v>2647</v>
      </c>
      <c r="C1659" t="s">
        <v>653</v>
      </c>
      <c r="D1659">
        <v>0.24958788798432999</v>
      </c>
      <c r="E1659">
        <v>0.17813894687147899</v>
      </c>
      <c r="F1659">
        <v>0.32595451480308002</v>
      </c>
    </row>
    <row r="1660" spans="1:6" x14ac:dyDescent="0.2">
      <c r="A1660" t="s">
        <v>2714</v>
      </c>
      <c r="B1660" t="s">
        <v>2647</v>
      </c>
      <c r="C1660" t="s">
        <v>653</v>
      </c>
      <c r="D1660">
        <v>0.24958788798432999</v>
      </c>
      <c r="E1660">
        <v>0.17813894687147899</v>
      </c>
      <c r="F1660">
        <v>0.32595451480308002</v>
      </c>
    </row>
    <row r="1661" spans="1:6" x14ac:dyDescent="0.2">
      <c r="A1661" t="s">
        <v>2715</v>
      </c>
      <c r="B1661" t="s">
        <v>2649</v>
      </c>
      <c r="C1661" t="s">
        <v>653</v>
      </c>
      <c r="D1661">
        <v>0.285521051528702</v>
      </c>
      <c r="E1661">
        <v>0.20994826986026899</v>
      </c>
      <c r="F1661">
        <v>0.37472521878596099</v>
      </c>
    </row>
    <row r="1662" spans="1:6" x14ac:dyDescent="0.2">
      <c r="A1662" t="s">
        <v>2715</v>
      </c>
      <c r="B1662" t="s">
        <v>2649</v>
      </c>
      <c r="C1662" t="s">
        <v>653</v>
      </c>
      <c r="D1662">
        <v>0.285521051528702</v>
      </c>
      <c r="E1662">
        <v>0.20994826986026899</v>
      </c>
      <c r="F1662">
        <v>0.37472521878596099</v>
      </c>
    </row>
    <row r="1663" spans="1:6" x14ac:dyDescent="0.2">
      <c r="A1663" t="s">
        <v>2716</v>
      </c>
      <c r="B1663" t="s">
        <v>2590</v>
      </c>
      <c r="C1663" t="s">
        <v>2591</v>
      </c>
      <c r="D1663">
        <v>6.0814388803672001E-2</v>
      </c>
      <c r="E1663">
        <v>2.3912576027214399E-2</v>
      </c>
      <c r="F1663">
        <v>0.10686210505664299</v>
      </c>
    </row>
    <row r="1664" spans="1:6" x14ac:dyDescent="0.2">
      <c r="A1664" t="s">
        <v>2717</v>
      </c>
      <c r="B1664" t="s">
        <v>703</v>
      </c>
      <c r="D1664">
        <v>0</v>
      </c>
      <c r="E1664">
        <v>0</v>
      </c>
      <c r="F1664">
        <v>0</v>
      </c>
    </row>
    <row r="1665" spans="1:6" x14ac:dyDescent="0.2">
      <c r="A1665" t="s">
        <v>2718</v>
      </c>
      <c r="B1665" t="s">
        <v>2593</v>
      </c>
      <c r="C1665" t="s">
        <v>653</v>
      </c>
      <c r="D1665">
        <v>9.9739118360256396E-2</v>
      </c>
      <c r="E1665">
        <v>6.0189492234025199E-2</v>
      </c>
      <c r="F1665">
        <v>0.146840123216636</v>
      </c>
    </row>
    <row r="1666" spans="1:6" x14ac:dyDescent="0.2">
      <c r="A1666" t="s">
        <v>2719</v>
      </c>
      <c r="B1666" t="s">
        <v>2595</v>
      </c>
      <c r="C1666" t="s">
        <v>653</v>
      </c>
      <c r="D1666">
        <v>0.12810417897889501</v>
      </c>
      <c r="E1666">
        <v>8.4041963996242294E-2</v>
      </c>
      <c r="F1666">
        <v>0.178070136116012</v>
      </c>
    </row>
    <row r="1667" spans="1:6" x14ac:dyDescent="0.2">
      <c r="A1667" t="s">
        <v>2720</v>
      </c>
      <c r="B1667" t="s">
        <v>2597</v>
      </c>
      <c r="C1667" t="s">
        <v>653</v>
      </c>
      <c r="D1667">
        <v>0.22897576486061</v>
      </c>
      <c r="E1667">
        <v>0.161692641181614</v>
      </c>
      <c r="F1667">
        <v>0.30363217545797699</v>
      </c>
    </row>
    <row r="1668" spans="1:6" x14ac:dyDescent="0.2">
      <c r="A1668" t="s">
        <v>2721</v>
      </c>
      <c r="B1668" t="s">
        <v>2599</v>
      </c>
      <c r="C1668" t="s">
        <v>653</v>
      </c>
      <c r="D1668">
        <v>0.109426792893646</v>
      </c>
      <c r="E1668">
        <v>6.8117601966706104E-2</v>
      </c>
      <c r="F1668">
        <v>0.15781181399949601</v>
      </c>
    </row>
    <row r="1669" spans="1:6" x14ac:dyDescent="0.2">
      <c r="A1669" t="s">
        <v>2721</v>
      </c>
      <c r="B1669" t="s">
        <v>2599</v>
      </c>
      <c r="C1669" t="s">
        <v>653</v>
      </c>
      <c r="D1669">
        <v>0.109426792893646</v>
      </c>
      <c r="E1669">
        <v>6.8117601966706104E-2</v>
      </c>
      <c r="F1669">
        <v>0.15781181399949601</v>
      </c>
    </row>
    <row r="1670" spans="1:6" x14ac:dyDescent="0.2">
      <c r="A1670" t="s">
        <v>2722</v>
      </c>
      <c r="B1670" t="s">
        <v>2601</v>
      </c>
      <c r="C1670" t="s">
        <v>653</v>
      </c>
      <c r="D1670">
        <v>0.137481972912012</v>
      </c>
      <c r="E1670">
        <v>9.2193469943263703E-2</v>
      </c>
      <c r="F1670">
        <v>0.19029522164014701</v>
      </c>
    </row>
    <row r="1671" spans="1:6" x14ac:dyDescent="0.2">
      <c r="A1671" t="s">
        <v>2722</v>
      </c>
      <c r="B1671" t="s">
        <v>2601</v>
      </c>
      <c r="C1671" t="s">
        <v>653</v>
      </c>
      <c r="D1671">
        <v>0.137481972912012</v>
      </c>
      <c r="E1671">
        <v>9.2193469943263703E-2</v>
      </c>
      <c r="F1671">
        <v>0.19029522164014701</v>
      </c>
    </row>
    <row r="1672" spans="1:6" x14ac:dyDescent="0.2">
      <c r="A1672" t="s">
        <v>2723</v>
      </c>
      <c r="B1672" t="s">
        <v>2603</v>
      </c>
      <c r="C1672" t="s">
        <v>653</v>
      </c>
      <c r="D1672">
        <v>0.23727952763370999</v>
      </c>
      <c r="E1672">
        <v>0.168942796030502</v>
      </c>
      <c r="F1672">
        <v>0.31329887403897799</v>
      </c>
    </row>
    <row r="1673" spans="1:6" x14ac:dyDescent="0.2">
      <c r="A1673" t="s">
        <v>2723</v>
      </c>
      <c r="B1673" t="s">
        <v>2603</v>
      </c>
      <c r="C1673" t="s">
        <v>653</v>
      </c>
      <c r="D1673">
        <v>0.23727952763370999</v>
      </c>
      <c r="E1673">
        <v>0.168942796030502</v>
      </c>
      <c r="F1673">
        <v>0.31329887403897799</v>
      </c>
    </row>
    <row r="1674" spans="1:6" x14ac:dyDescent="0.2">
      <c r="A1674" t="s">
        <v>2724</v>
      </c>
      <c r="B1674" t="s">
        <v>2605</v>
      </c>
      <c r="C1674" t="s">
        <v>653</v>
      </c>
      <c r="D1674">
        <v>0.13795459846219699</v>
      </c>
      <c r="E1674">
        <v>9.1217411160529102E-2</v>
      </c>
      <c r="F1674">
        <v>0.19264140849908901</v>
      </c>
    </row>
    <row r="1675" spans="1:6" x14ac:dyDescent="0.2">
      <c r="A1675" t="s">
        <v>2724</v>
      </c>
      <c r="B1675" t="s">
        <v>2605</v>
      </c>
      <c r="C1675" t="s">
        <v>653</v>
      </c>
      <c r="D1675">
        <v>0.13795459846219699</v>
      </c>
      <c r="E1675">
        <v>9.1217411160529102E-2</v>
      </c>
      <c r="F1675">
        <v>0.19264140849908901</v>
      </c>
    </row>
    <row r="1676" spans="1:6" x14ac:dyDescent="0.2">
      <c r="A1676" t="s">
        <v>2725</v>
      </c>
      <c r="B1676" t="s">
        <v>2607</v>
      </c>
      <c r="C1676" t="s">
        <v>653</v>
      </c>
      <c r="D1676">
        <v>0.16507934217759501</v>
      </c>
      <c r="E1676">
        <v>0.113680650965976</v>
      </c>
      <c r="F1676">
        <v>0.225675095772986</v>
      </c>
    </row>
    <row r="1677" spans="1:6" x14ac:dyDescent="0.2">
      <c r="A1677" t="s">
        <v>2725</v>
      </c>
      <c r="B1677" t="s">
        <v>2607</v>
      </c>
      <c r="C1677" t="s">
        <v>653</v>
      </c>
      <c r="D1677">
        <v>0.16507934217759501</v>
      </c>
      <c r="E1677">
        <v>0.113680650965976</v>
      </c>
      <c r="F1677">
        <v>0.225675095772986</v>
      </c>
    </row>
    <row r="1678" spans="1:6" x14ac:dyDescent="0.2">
      <c r="A1678" t="s">
        <v>2726</v>
      </c>
      <c r="B1678" t="s">
        <v>2609</v>
      </c>
      <c r="C1678" t="s">
        <v>653</v>
      </c>
      <c r="D1678">
        <v>0.26159814066557702</v>
      </c>
      <c r="E1678">
        <v>0.18935334255594599</v>
      </c>
      <c r="F1678">
        <v>0.340562393377912</v>
      </c>
    </row>
    <row r="1679" spans="1:6" x14ac:dyDescent="0.2">
      <c r="A1679" t="s">
        <v>2726</v>
      </c>
      <c r="B1679" t="s">
        <v>2609</v>
      </c>
      <c r="C1679" t="s">
        <v>653</v>
      </c>
      <c r="D1679">
        <v>0.26159814066557702</v>
      </c>
      <c r="E1679">
        <v>0.18935334255594599</v>
      </c>
      <c r="F1679">
        <v>0.340562393377912</v>
      </c>
    </row>
    <row r="1680" spans="1:6" x14ac:dyDescent="0.2">
      <c r="A1680" t="s">
        <v>2727</v>
      </c>
      <c r="B1680" t="s">
        <v>2611</v>
      </c>
      <c r="C1680" t="s">
        <v>653</v>
      </c>
      <c r="D1680">
        <v>0.18964300546632601</v>
      </c>
      <c r="E1680">
        <v>0.13183672200763299</v>
      </c>
      <c r="F1680">
        <v>0.25610874024448799</v>
      </c>
    </row>
    <row r="1681" spans="1:6" x14ac:dyDescent="0.2">
      <c r="A1681" t="s">
        <v>2727</v>
      </c>
      <c r="B1681" t="s">
        <v>2611</v>
      </c>
      <c r="C1681" t="s">
        <v>653</v>
      </c>
      <c r="D1681">
        <v>0.18964300546632601</v>
      </c>
      <c r="E1681">
        <v>0.13183672200763299</v>
      </c>
      <c r="F1681">
        <v>0.25610874024448799</v>
      </c>
    </row>
    <row r="1682" spans="1:6" x14ac:dyDescent="0.2">
      <c r="A1682" t="s">
        <v>2728</v>
      </c>
      <c r="B1682" t="s">
        <v>2613</v>
      </c>
      <c r="C1682" t="s">
        <v>653</v>
      </c>
      <c r="D1682">
        <v>0.215076306628736</v>
      </c>
      <c r="E1682">
        <v>0.15261780470137101</v>
      </c>
      <c r="F1682">
        <v>0.28549904757533601</v>
      </c>
    </row>
    <row r="1683" spans="1:6" x14ac:dyDescent="0.2">
      <c r="A1683" t="s">
        <v>2728</v>
      </c>
      <c r="B1683" t="s">
        <v>2613</v>
      </c>
      <c r="C1683" t="s">
        <v>653</v>
      </c>
      <c r="D1683">
        <v>0.215076306628736</v>
      </c>
      <c r="E1683">
        <v>0.15261780470137101</v>
      </c>
      <c r="F1683">
        <v>0.28549904757533601</v>
      </c>
    </row>
    <row r="1684" spans="1:6" x14ac:dyDescent="0.2">
      <c r="A1684" t="s">
        <v>2729</v>
      </c>
      <c r="B1684" t="s">
        <v>2615</v>
      </c>
      <c r="C1684" t="s">
        <v>653</v>
      </c>
      <c r="D1684">
        <v>0.30557357073797597</v>
      </c>
      <c r="E1684">
        <v>0.223103812527645</v>
      </c>
      <c r="F1684">
        <v>0.395754518169602</v>
      </c>
    </row>
    <row r="1685" spans="1:6" x14ac:dyDescent="0.2">
      <c r="A1685" t="s">
        <v>2729</v>
      </c>
      <c r="B1685" t="s">
        <v>2615</v>
      </c>
      <c r="C1685" t="s">
        <v>653</v>
      </c>
      <c r="D1685">
        <v>0.30557357073797597</v>
      </c>
      <c r="E1685">
        <v>0.223103812527645</v>
      </c>
      <c r="F1685">
        <v>0.395754518169602</v>
      </c>
    </row>
    <row r="1686" spans="1:6" x14ac:dyDescent="0.2">
      <c r="A1686" t="s">
        <v>2730</v>
      </c>
      <c r="B1686" t="s">
        <v>2617</v>
      </c>
      <c r="C1686" t="s">
        <v>653</v>
      </c>
      <c r="D1686">
        <v>0.24366106412591301</v>
      </c>
      <c r="E1686">
        <v>0.176324700407062</v>
      </c>
      <c r="F1686">
        <v>0.318702397073586</v>
      </c>
    </row>
    <row r="1687" spans="1:6" x14ac:dyDescent="0.2">
      <c r="A1687" t="s">
        <v>2730</v>
      </c>
      <c r="B1687" t="s">
        <v>2617</v>
      </c>
      <c r="C1687" t="s">
        <v>653</v>
      </c>
      <c r="D1687">
        <v>0.24366106412591301</v>
      </c>
      <c r="E1687">
        <v>0.176324700407062</v>
      </c>
      <c r="F1687">
        <v>0.318702397073586</v>
      </c>
    </row>
    <row r="1688" spans="1:6" x14ac:dyDescent="0.2">
      <c r="A1688" t="s">
        <v>2731</v>
      </c>
      <c r="B1688" t="s">
        <v>2619</v>
      </c>
      <c r="C1688" t="s">
        <v>653</v>
      </c>
      <c r="D1688">
        <v>0.26732210608507501</v>
      </c>
      <c r="E1688">
        <v>0.194333531099455</v>
      </c>
      <c r="F1688">
        <v>0.34922583284553799</v>
      </c>
    </row>
    <row r="1689" spans="1:6" x14ac:dyDescent="0.2">
      <c r="A1689" t="s">
        <v>2731</v>
      </c>
      <c r="B1689" t="s">
        <v>2619</v>
      </c>
      <c r="C1689" t="s">
        <v>653</v>
      </c>
      <c r="D1689">
        <v>0.26732210608507501</v>
      </c>
      <c r="E1689">
        <v>0.194333531099455</v>
      </c>
      <c r="F1689">
        <v>0.34922583284553799</v>
      </c>
    </row>
    <row r="1690" spans="1:6" x14ac:dyDescent="0.2">
      <c r="A1690" t="s">
        <v>2732</v>
      </c>
      <c r="B1690" t="s">
        <v>2621</v>
      </c>
      <c r="C1690" t="s">
        <v>653</v>
      </c>
      <c r="D1690">
        <v>0.35149758919801199</v>
      </c>
      <c r="E1690">
        <v>0.25829193951708201</v>
      </c>
      <c r="F1690">
        <v>0.45527744210608201</v>
      </c>
    </row>
    <row r="1691" spans="1:6" x14ac:dyDescent="0.2">
      <c r="A1691" t="s">
        <v>2732</v>
      </c>
      <c r="B1691" t="s">
        <v>2621</v>
      </c>
      <c r="C1691" t="s">
        <v>653</v>
      </c>
      <c r="D1691">
        <v>0.35149758919801199</v>
      </c>
      <c r="E1691">
        <v>0.25829193951708201</v>
      </c>
      <c r="F1691">
        <v>0.45527744210608201</v>
      </c>
    </row>
    <row r="1692" spans="1:6" x14ac:dyDescent="0.2">
      <c r="A1692" t="s">
        <v>2733</v>
      </c>
      <c r="B1692" t="s">
        <v>2623</v>
      </c>
      <c r="C1692" t="s">
        <v>653</v>
      </c>
      <c r="D1692">
        <v>0.27988910145600499</v>
      </c>
      <c r="E1692">
        <v>0.206107452513074</v>
      </c>
      <c r="F1692">
        <v>0.369398696031361</v>
      </c>
    </row>
    <row r="1693" spans="1:6" x14ac:dyDescent="0.2">
      <c r="A1693" t="s">
        <v>2733</v>
      </c>
      <c r="B1693" t="s">
        <v>2623</v>
      </c>
      <c r="C1693" t="s">
        <v>653</v>
      </c>
      <c r="D1693">
        <v>0.27988910145600499</v>
      </c>
      <c r="E1693">
        <v>0.206107452513074</v>
      </c>
      <c r="F1693">
        <v>0.369398696031361</v>
      </c>
    </row>
    <row r="1694" spans="1:6" x14ac:dyDescent="0.2">
      <c r="A1694" t="s">
        <v>2734</v>
      </c>
      <c r="B1694" t="s">
        <v>2625</v>
      </c>
      <c r="C1694" t="s">
        <v>653</v>
      </c>
      <c r="D1694">
        <v>0.30237079963526597</v>
      </c>
      <c r="E1694">
        <v>0.22193505298723201</v>
      </c>
      <c r="F1694">
        <v>0.39514015484222997</v>
      </c>
    </row>
    <row r="1695" spans="1:6" x14ac:dyDescent="0.2">
      <c r="A1695" t="s">
        <v>2734</v>
      </c>
      <c r="B1695" t="s">
        <v>2625</v>
      </c>
      <c r="C1695" t="s">
        <v>653</v>
      </c>
      <c r="D1695">
        <v>0.30237079963526597</v>
      </c>
      <c r="E1695">
        <v>0.22193505298723201</v>
      </c>
      <c r="F1695">
        <v>0.39514015484222997</v>
      </c>
    </row>
    <row r="1696" spans="1:6" x14ac:dyDescent="0.2">
      <c r="A1696" t="s">
        <v>2735</v>
      </c>
      <c r="B1696" t="s">
        <v>2627</v>
      </c>
      <c r="C1696" t="s">
        <v>653</v>
      </c>
      <c r="D1696">
        <v>0.38232698643035101</v>
      </c>
      <c r="E1696">
        <v>0.28210886120820899</v>
      </c>
      <c r="F1696">
        <v>0.49462478510011998</v>
      </c>
    </row>
    <row r="1697" spans="1:6" x14ac:dyDescent="0.2">
      <c r="A1697" t="s">
        <v>2735</v>
      </c>
      <c r="B1697" t="s">
        <v>2627</v>
      </c>
      <c r="C1697" t="s">
        <v>653</v>
      </c>
      <c r="D1697">
        <v>0.38232698643035101</v>
      </c>
      <c r="E1697">
        <v>0.28210886120820899</v>
      </c>
      <c r="F1697">
        <v>0.49462478510011998</v>
      </c>
    </row>
    <row r="1698" spans="1:6" x14ac:dyDescent="0.2">
      <c r="A1698" t="s">
        <v>2736</v>
      </c>
      <c r="B1698" t="s">
        <v>2629</v>
      </c>
      <c r="C1698" t="s">
        <v>653</v>
      </c>
      <c r="D1698">
        <v>7.0950113734209397E-2</v>
      </c>
      <c r="E1698">
        <v>3.3402817236394003E-2</v>
      </c>
      <c r="F1698">
        <v>0.116938444805247</v>
      </c>
    </row>
    <row r="1699" spans="1:6" x14ac:dyDescent="0.2">
      <c r="A1699" t="s">
        <v>2737</v>
      </c>
      <c r="B1699" t="s">
        <v>2631</v>
      </c>
      <c r="C1699" t="s">
        <v>653</v>
      </c>
      <c r="D1699">
        <v>0.100761875305934</v>
      </c>
      <c r="E1699">
        <v>6.0740628028239901E-2</v>
      </c>
      <c r="F1699">
        <v>0.14900305077601</v>
      </c>
    </row>
    <row r="1700" spans="1:6" x14ac:dyDescent="0.2">
      <c r="A1700" t="s">
        <v>2738</v>
      </c>
      <c r="B1700" t="s">
        <v>2633</v>
      </c>
      <c r="C1700" t="s">
        <v>653</v>
      </c>
      <c r="D1700">
        <v>0.15473785558450601</v>
      </c>
      <c r="E1700">
        <v>0.104661500044936</v>
      </c>
      <c r="F1700">
        <v>0.21097456911391199</v>
      </c>
    </row>
    <row r="1701" spans="1:6" x14ac:dyDescent="0.2">
      <c r="A1701" t="s">
        <v>2739</v>
      </c>
      <c r="B1701" t="s">
        <v>2635</v>
      </c>
      <c r="C1701" t="s">
        <v>653</v>
      </c>
      <c r="D1701">
        <v>0.21112984364049101</v>
      </c>
      <c r="E1701">
        <v>0.148295220306848</v>
      </c>
      <c r="F1701">
        <v>0.28050699784379002</v>
      </c>
    </row>
    <row r="1702" spans="1:6" x14ac:dyDescent="0.2">
      <c r="A1702" t="s">
        <v>2740</v>
      </c>
      <c r="B1702" t="s">
        <v>2637</v>
      </c>
      <c r="C1702" t="s">
        <v>653</v>
      </c>
      <c r="D1702">
        <v>0.248928374202847</v>
      </c>
      <c r="E1702">
        <v>0.17587789470915799</v>
      </c>
      <c r="F1702">
        <v>0.32768477011460001</v>
      </c>
    </row>
    <row r="1703" spans="1:6" x14ac:dyDescent="0.2">
      <c r="A1703" t="s">
        <v>2741</v>
      </c>
      <c r="B1703" t="s">
        <v>2639</v>
      </c>
      <c r="C1703" t="s">
        <v>653</v>
      </c>
      <c r="D1703">
        <v>0.10683962207452</v>
      </c>
      <c r="E1703">
        <v>6.6589324771667305E-2</v>
      </c>
      <c r="F1703">
        <v>0.15570243501491299</v>
      </c>
    </row>
    <row r="1704" spans="1:6" x14ac:dyDescent="0.2">
      <c r="A1704" t="s">
        <v>2742</v>
      </c>
      <c r="B1704" t="s">
        <v>2641</v>
      </c>
      <c r="C1704" t="s">
        <v>653</v>
      </c>
      <c r="D1704">
        <v>0.116448447432206</v>
      </c>
      <c r="E1704">
        <v>7.4250464146367504E-2</v>
      </c>
      <c r="F1704">
        <v>0.168844760935567</v>
      </c>
    </row>
    <row r="1705" spans="1:6" x14ac:dyDescent="0.2">
      <c r="A1705" t="s">
        <v>2742</v>
      </c>
      <c r="B1705" t="s">
        <v>2641</v>
      </c>
      <c r="C1705" t="s">
        <v>653</v>
      </c>
      <c r="D1705">
        <v>0.116448447432206</v>
      </c>
      <c r="E1705">
        <v>7.4250464146367504E-2</v>
      </c>
      <c r="F1705">
        <v>0.168844760935567</v>
      </c>
    </row>
    <row r="1706" spans="1:6" x14ac:dyDescent="0.2">
      <c r="A1706" t="s">
        <v>2743</v>
      </c>
      <c r="B1706" t="s">
        <v>2643</v>
      </c>
      <c r="C1706" t="s">
        <v>653</v>
      </c>
      <c r="D1706">
        <v>0.14474289612401101</v>
      </c>
      <c r="E1706">
        <v>9.7638490644870499E-2</v>
      </c>
      <c r="F1706">
        <v>0.200325254642547</v>
      </c>
    </row>
    <row r="1707" spans="1:6" x14ac:dyDescent="0.2">
      <c r="A1707" t="s">
        <v>2743</v>
      </c>
      <c r="B1707" t="s">
        <v>2643</v>
      </c>
      <c r="C1707" t="s">
        <v>653</v>
      </c>
      <c r="D1707">
        <v>0.14474289612401101</v>
      </c>
      <c r="E1707">
        <v>9.7638490644870499E-2</v>
      </c>
      <c r="F1707">
        <v>0.200325254642547</v>
      </c>
    </row>
    <row r="1708" spans="1:6" x14ac:dyDescent="0.2">
      <c r="A1708" t="s">
        <v>2744</v>
      </c>
      <c r="B1708" t="s">
        <v>2645</v>
      </c>
      <c r="C1708" t="s">
        <v>653</v>
      </c>
      <c r="D1708">
        <v>0.196010168827008</v>
      </c>
      <c r="E1708">
        <v>0.13730379534550699</v>
      </c>
      <c r="F1708">
        <v>0.26361965175409902</v>
      </c>
    </row>
    <row r="1709" spans="1:6" x14ac:dyDescent="0.2">
      <c r="A1709" t="s">
        <v>2744</v>
      </c>
      <c r="B1709" t="s">
        <v>2645</v>
      </c>
      <c r="C1709" t="s">
        <v>653</v>
      </c>
      <c r="D1709">
        <v>0.196010168827008</v>
      </c>
      <c r="E1709">
        <v>0.13730379534550699</v>
      </c>
      <c r="F1709">
        <v>0.26361965175409902</v>
      </c>
    </row>
    <row r="1710" spans="1:6" x14ac:dyDescent="0.2">
      <c r="A1710" t="s">
        <v>2745</v>
      </c>
      <c r="B1710" t="s">
        <v>2647</v>
      </c>
      <c r="C1710" t="s">
        <v>653</v>
      </c>
      <c r="D1710">
        <v>0.24958788798432999</v>
      </c>
      <c r="E1710">
        <v>0.17813894687147899</v>
      </c>
      <c r="F1710">
        <v>0.32595451480308002</v>
      </c>
    </row>
    <row r="1711" spans="1:6" x14ac:dyDescent="0.2">
      <c r="A1711" t="s">
        <v>2745</v>
      </c>
      <c r="B1711" t="s">
        <v>2647</v>
      </c>
      <c r="C1711" t="s">
        <v>653</v>
      </c>
      <c r="D1711">
        <v>0.24958788798432999</v>
      </c>
      <c r="E1711">
        <v>0.17813894687147899</v>
      </c>
      <c r="F1711">
        <v>0.32595451480308002</v>
      </c>
    </row>
    <row r="1712" spans="1:6" x14ac:dyDescent="0.2">
      <c r="A1712" t="s">
        <v>2746</v>
      </c>
      <c r="B1712" t="s">
        <v>2649</v>
      </c>
      <c r="C1712" t="s">
        <v>653</v>
      </c>
      <c r="D1712">
        <v>0.285521051528702</v>
      </c>
      <c r="E1712">
        <v>0.20994826986026899</v>
      </c>
      <c r="F1712">
        <v>0.37472521878596099</v>
      </c>
    </row>
    <row r="1713" spans="1:6" x14ac:dyDescent="0.2">
      <c r="A1713" t="s">
        <v>2746</v>
      </c>
      <c r="B1713" t="s">
        <v>2649</v>
      </c>
      <c r="C1713" t="s">
        <v>653</v>
      </c>
      <c r="D1713">
        <v>0.285521051528702</v>
      </c>
      <c r="E1713">
        <v>0.20994826986026899</v>
      </c>
      <c r="F1713">
        <v>0.37472521878596099</v>
      </c>
    </row>
    <row r="1714" spans="1:6" x14ac:dyDescent="0.2">
      <c r="A1714" t="s">
        <v>2747</v>
      </c>
      <c r="B1714" t="s">
        <v>711</v>
      </c>
      <c r="C1714" t="s">
        <v>712</v>
      </c>
      <c r="D1714">
        <v>1.10162523999999E-2</v>
      </c>
      <c r="E1714">
        <v>5.2397625E-3</v>
      </c>
      <c r="F1714">
        <v>2.06195424999999E-2</v>
      </c>
    </row>
    <row r="1715" spans="1:6" x14ac:dyDescent="0.2">
      <c r="A1715" t="s">
        <v>2748</v>
      </c>
      <c r="B1715" t="s">
        <v>921</v>
      </c>
      <c r="C1715" t="s">
        <v>922</v>
      </c>
      <c r="D1715">
        <v>6.6991753799999998E-2</v>
      </c>
      <c r="E1715">
        <v>4.4417720000000001E-2</v>
      </c>
      <c r="F1715">
        <v>9.5900522499999905E-2</v>
      </c>
    </row>
    <row r="1716" spans="1:6" x14ac:dyDescent="0.2">
      <c r="A1716" t="s">
        <v>2749</v>
      </c>
      <c r="B1716" t="s">
        <v>2750</v>
      </c>
      <c r="C1716" t="s">
        <v>653</v>
      </c>
      <c r="D1716">
        <v>0.11453832471488801</v>
      </c>
      <c r="E1716">
        <v>7.5532963632199607E-2</v>
      </c>
      <c r="F1716">
        <v>0.16446567367732601</v>
      </c>
    </row>
    <row r="1717" spans="1:6" x14ac:dyDescent="0.2">
      <c r="A1717" t="s">
        <v>2751</v>
      </c>
      <c r="B1717" t="s">
        <v>1916</v>
      </c>
      <c r="C1717" t="s">
        <v>1917</v>
      </c>
      <c r="D1717">
        <v>6.9140862800000105E-2</v>
      </c>
      <c r="E1717">
        <v>4.5942015000000003E-2</v>
      </c>
      <c r="F1717">
        <v>9.8852454999999895E-2</v>
      </c>
    </row>
    <row r="1718" spans="1:6" x14ac:dyDescent="0.2">
      <c r="A1718" t="s">
        <v>2752</v>
      </c>
      <c r="B1718" t="s">
        <v>1919</v>
      </c>
      <c r="C1718" t="s">
        <v>1920</v>
      </c>
      <c r="D1718">
        <v>0.376894274299999</v>
      </c>
      <c r="E1718">
        <v>0.25230419249999902</v>
      </c>
      <c r="F1718">
        <v>0.50846592999999995</v>
      </c>
    </row>
    <row r="1719" spans="1:6" x14ac:dyDescent="0.2">
      <c r="A1719" t="s">
        <v>2753</v>
      </c>
      <c r="B1719" t="s">
        <v>1922</v>
      </c>
      <c r="C1719" t="s">
        <v>1923</v>
      </c>
      <c r="D1719">
        <v>0.44857371099999999</v>
      </c>
      <c r="E1719">
        <v>0.30386179999999902</v>
      </c>
      <c r="F1719">
        <v>0.5945717425</v>
      </c>
    </row>
    <row r="1720" spans="1:6" x14ac:dyDescent="0.2">
      <c r="A1720" t="s">
        <v>2754</v>
      </c>
      <c r="B1720" t="s">
        <v>1042</v>
      </c>
      <c r="C1720" t="s">
        <v>1043</v>
      </c>
      <c r="D1720">
        <v>1.0793008600000001E-2</v>
      </c>
      <c r="E1720">
        <v>5.1901200000000003E-3</v>
      </c>
      <c r="F1720">
        <v>2.02353999999999E-2</v>
      </c>
    </row>
    <row r="1721" spans="1:6" x14ac:dyDescent="0.2">
      <c r="A1721" t="s">
        <v>2755</v>
      </c>
      <c r="B1721" t="s">
        <v>1045</v>
      </c>
      <c r="C1721" t="s">
        <v>1046</v>
      </c>
      <c r="D1721">
        <v>4.25405801999999E-2</v>
      </c>
      <c r="E1721">
        <v>2.5978245000000001E-2</v>
      </c>
      <c r="F1721">
        <v>6.4453929999999895E-2</v>
      </c>
    </row>
    <row r="1722" spans="1:6" x14ac:dyDescent="0.2">
      <c r="A1722" t="s">
        <v>2756</v>
      </c>
      <c r="B1722" t="s">
        <v>2087</v>
      </c>
      <c r="C1722" t="s">
        <v>2088</v>
      </c>
      <c r="D1722">
        <v>0.100020868199999</v>
      </c>
      <c r="E1722">
        <v>6.6049517500000002E-2</v>
      </c>
      <c r="F1722">
        <v>0.14174874749999999</v>
      </c>
    </row>
    <row r="1723" spans="1:6" x14ac:dyDescent="0.2">
      <c r="A1723" t="s">
        <v>2757</v>
      </c>
      <c r="B1723" t="s">
        <v>2090</v>
      </c>
      <c r="C1723" t="s">
        <v>2091</v>
      </c>
      <c r="D1723">
        <v>0.1600574337</v>
      </c>
      <c r="E1723">
        <v>0.107062184999999</v>
      </c>
      <c r="F1723">
        <v>0.226226345</v>
      </c>
    </row>
    <row r="1724" spans="1:6" x14ac:dyDescent="0.2">
      <c r="A1724" t="s">
        <v>2758</v>
      </c>
      <c r="B1724" t="s">
        <v>2093</v>
      </c>
      <c r="C1724" t="s">
        <v>2094</v>
      </c>
      <c r="D1724">
        <v>0.20030707170000001</v>
      </c>
      <c r="E1724">
        <v>0.13325701249999999</v>
      </c>
      <c r="F1724">
        <v>0.28252101499999999</v>
      </c>
    </row>
    <row r="1725" spans="1:6" x14ac:dyDescent="0.2">
      <c r="A1725" t="s">
        <v>2759</v>
      </c>
      <c r="B1725" t="s">
        <v>2590</v>
      </c>
      <c r="C1725" t="s">
        <v>2591</v>
      </c>
      <c r="D1725">
        <v>6.0814388803672001E-2</v>
      </c>
      <c r="E1725">
        <v>2.3912576027214399E-2</v>
      </c>
      <c r="F1725">
        <v>0.10686210505664299</v>
      </c>
    </row>
    <row r="1726" spans="1:6" x14ac:dyDescent="0.2">
      <c r="A1726" t="s">
        <v>2760</v>
      </c>
      <c r="B1726" t="s">
        <v>703</v>
      </c>
      <c r="D1726">
        <v>0</v>
      </c>
      <c r="E1726">
        <v>0</v>
      </c>
      <c r="F1726">
        <v>0</v>
      </c>
    </row>
    <row r="1727" spans="1:6" x14ac:dyDescent="0.2">
      <c r="A1727" t="s">
        <v>2761</v>
      </c>
      <c r="B1727" t="s">
        <v>2762</v>
      </c>
      <c r="C1727" t="s">
        <v>653</v>
      </c>
      <c r="D1727">
        <v>7.0950113734209397E-2</v>
      </c>
      <c r="E1727">
        <v>3.3402817236394003E-2</v>
      </c>
      <c r="F1727">
        <v>0.116938444805247</v>
      </c>
    </row>
    <row r="1728" spans="1:6" x14ac:dyDescent="0.2">
      <c r="A1728" t="s">
        <v>2763</v>
      </c>
      <c r="B1728" t="s">
        <v>2764</v>
      </c>
      <c r="C1728" t="s">
        <v>653</v>
      </c>
      <c r="D1728">
        <v>0.100761875305934</v>
      </c>
      <c r="E1728">
        <v>6.0740628028239901E-2</v>
      </c>
      <c r="F1728">
        <v>0.14900305077601</v>
      </c>
    </row>
    <row r="1729" spans="1:6" x14ac:dyDescent="0.2">
      <c r="A1729" t="s">
        <v>2765</v>
      </c>
      <c r="B1729" t="s">
        <v>2766</v>
      </c>
      <c r="C1729" t="s">
        <v>653</v>
      </c>
      <c r="D1729">
        <v>0.15473785558450601</v>
      </c>
      <c r="E1729">
        <v>0.104661500044936</v>
      </c>
      <c r="F1729">
        <v>0.21097456911391199</v>
      </c>
    </row>
    <row r="1730" spans="1:6" x14ac:dyDescent="0.2">
      <c r="A1730" t="s">
        <v>2767</v>
      </c>
      <c r="B1730" t="s">
        <v>2768</v>
      </c>
      <c r="C1730" t="s">
        <v>653</v>
      </c>
      <c r="D1730">
        <v>0.21112984364049101</v>
      </c>
      <c r="E1730">
        <v>0.148295220306848</v>
      </c>
      <c r="F1730">
        <v>0.28050699784379002</v>
      </c>
    </row>
    <row r="1731" spans="1:6" x14ac:dyDescent="0.2">
      <c r="A1731" t="s">
        <v>2769</v>
      </c>
      <c r="B1731" t="s">
        <v>2770</v>
      </c>
      <c r="C1731" t="s">
        <v>653</v>
      </c>
      <c r="D1731">
        <v>0.248928374202847</v>
      </c>
      <c r="E1731">
        <v>0.17587789470915799</v>
      </c>
      <c r="F1731">
        <v>0.32768477011460001</v>
      </c>
    </row>
    <row r="1732" spans="1:6" x14ac:dyDescent="0.2">
      <c r="A1732" t="s">
        <v>2771</v>
      </c>
      <c r="B1732" t="s">
        <v>2772</v>
      </c>
      <c r="C1732" t="s">
        <v>653</v>
      </c>
      <c r="D1732">
        <v>0.125743864647378</v>
      </c>
      <c r="E1732">
        <v>8.1342641280675101E-2</v>
      </c>
      <c r="F1732">
        <v>0.175579859586703</v>
      </c>
    </row>
    <row r="1733" spans="1:6" x14ac:dyDescent="0.2">
      <c r="A1733" t="s">
        <v>2773</v>
      </c>
      <c r="B1733" t="s">
        <v>2774</v>
      </c>
      <c r="C1733" t="s">
        <v>653</v>
      </c>
      <c r="D1733">
        <v>0.41476568303046601</v>
      </c>
      <c r="E1733">
        <v>0.294005444303511</v>
      </c>
      <c r="F1733">
        <v>0.54679835259665999</v>
      </c>
    </row>
    <row r="1734" spans="1:6" x14ac:dyDescent="0.2">
      <c r="A1734" t="s">
        <v>2775</v>
      </c>
      <c r="B1734" t="s">
        <v>2776</v>
      </c>
      <c r="C1734" t="s">
        <v>653</v>
      </c>
      <c r="D1734">
        <v>0.48208851600751101</v>
      </c>
      <c r="E1734">
        <v>0.34228484496434503</v>
      </c>
      <c r="F1734">
        <v>0.62014052774671802</v>
      </c>
    </row>
    <row r="1735" spans="1:6" x14ac:dyDescent="0.2">
      <c r="A1735" t="s">
        <v>2777</v>
      </c>
      <c r="B1735" t="s">
        <v>2778</v>
      </c>
      <c r="C1735" t="s">
        <v>653</v>
      </c>
      <c r="D1735">
        <v>0.13514669111157501</v>
      </c>
      <c r="E1735">
        <v>8.9834577719016998E-2</v>
      </c>
      <c r="F1735">
        <v>0.187670105173524</v>
      </c>
    </row>
    <row r="1736" spans="1:6" x14ac:dyDescent="0.2">
      <c r="A1736" t="s">
        <v>2779</v>
      </c>
      <c r="B1736" t="s">
        <v>2780</v>
      </c>
      <c r="C1736" t="s">
        <v>653</v>
      </c>
      <c r="D1736">
        <v>0.16282205802647601</v>
      </c>
      <c r="E1736">
        <v>0.112291526109514</v>
      </c>
      <c r="F1736">
        <v>0.22041048882904199</v>
      </c>
    </row>
    <row r="1737" spans="1:6" x14ac:dyDescent="0.2">
      <c r="A1737" t="s">
        <v>2781</v>
      </c>
      <c r="B1737" t="s">
        <v>2782</v>
      </c>
      <c r="C1737" t="s">
        <v>653</v>
      </c>
      <c r="D1737">
        <v>0.21296085644089099</v>
      </c>
      <c r="E1737">
        <v>0.15045270785847201</v>
      </c>
      <c r="F1737">
        <v>0.28219805175707302</v>
      </c>
    </row>
    <row r="1738" spans="1:6" x14ac:dyDescent="0.2">
      <c r="A1738" t="s">
        <v>2783</v>
      </c>
      <c r="B1738" t="s">
        <v>2784</v>
      </c>
      <c r="C1738" t="s">
        <v>653</v>
      </c>
      <c r="D1738">
        <v>0.26535696887874799</v>
      </c>
      <c r="E1738">
        <v>0.19160927360680699</v>
      </c>
      <c r="F1738">
        <v>0.34586471560270499</v>
      </c>
    </row>
    <row r="1739" spans="1:6" x14ac:dyDescent="0.2">
      <c r="A1739" t="s">
        <v>2785</v>
      </c>
      <c r="B1739" t="s">
        <v>2786</v>
      </c>
      <c r="C1739" t="s">
        <v>653</v>
      </c>
      <c r="D1739">
        <v>0.30050646937271303</v>
      </c>
      <c r="E1739">
        <v>0.22165603255080099</v>
      </c>
      <c r="F1739">
        <v>0.39209750812474198</v>
      </c>
    </row>
    <row r="1740" spans="1:6" x14ac:dyDescent="0.2">
      <c r="A1740" t="s">
        <v>2787</v>
      </c>
      <c r="B1740" t="s">
        <v>2788</v>
      </c>
      <c r="C1740" t="s">
        <v>653</v>
      </c>
      <c r="D1740">
        <v>0.42112385325075902</v>
      </c>
      <c r="E1740">
        <v>0.302972983275833</v>
      </c>
      <c r="F1740">
        <v>0.54954006522686105</v>
      </c>
    </row>
    <row r="1741" spans="1:6" x14ac:dyDescent="0.2">
      <c r="A1741" t="s">
        <v>2789</v>
      </c>
      <c r="B1741" t="s">
        <v>2790</v>
      </c>
      <c r="C1741" t="s">
        <v>653</v>
      </c>
      <c r="D1741">
        <v>0.43947230201662102</v>
      </c>
      <c r="E1741">
        <v>0.32266813779368803</v>
      </c>
      <c r="F1741">
        <v>0.56859106673714499</v>
      </c>
    </row>
    <row r="1742" spans="1:6" x14ac:dyDescent="0.2">
      <c r="A1742" t="s">
        <v>2791</v>
      </c>
      <c r="B1742" t="s">
        <v>2792</v>
      </c>
      <c r="C1742" t="s">
        <v>653</v>
      </c>
      <c r="D1742">
        <v>0.47245210538570998</v>
      </c>
      <c r="E1742">
        <v>0.34963101913566602</v>
      </c>
      <c r="F1742">
        <v>0.60807578318700894</v>
      </c>
    </row>
    <row r="1743" spans="1:6" x14ac:dyDescent="0.2">
      <c r="A1743" t="s">
        <v>2793</v>
      </c>
      <c r="B1743" t="s">
        <v>2794</v>
      </c>
      <c r="C1743" t="s">
        <v>653</v>
      </c>
      <c r="D1743">
        <v>0.50681897300493695</v>
      </c>
      <c r="E1743">
        <v>0.37714625708919602</v>
      </c>
      <c r="F1743">
        <v>0.64218766932920701</v>
      </c>
    </row>
    <row r="1744" spans="1:6" x14ac:dyDescent="0.2">
      <c r="A1744" t="s">
        <v>2795</v>
      </c>
      <c r="B1744" t="s">
        <v>2796</v>
      </c>
      <c r="C1744" t="s">
        <v>653</v>
      </c>
      <c r="D1744">
        <v>0.52988203420231095</v>
      </c>
      <c r="E1744">
        <v>0.39255707489000602</v>
      </c>
      <c r="F1744">
        <v>0.66582632098849104</v>
      </c>
    </row>
    <row r="1745" spans="1:6" x14ac:dyDescent="0.2">
      <c r="A1745" t="s">
        <v>2797</v>
      </c>
      <c r="B1745" t="s">
        <v>2798</v>
      </c>
      <c r="C1745" t="s">
        <v>653</v>
      </c>
      <c r="D1745">
        <v>0.48774426430348</v>
      </c>
      <c r="E1745">
        <v>0.350297133497594</v>
      </c>
      <c r="F1745">
        <v>0.62432524194818995</v>
      </c>
    </row>
    <row r="1746" spans="1:6" x14ac:dyDescent="0.2">
      <c r="A1746" t="s">
        <v>2799</v>
      </c>
      <c r="B1746" t="s">
        <v>2800</v>
      </c>
      <c r="C1746" t="s">
        <v>653</v>
      </c>
      <c r="D1746">
        <v>0.50394879070614496</v>
      </c>
      <c r="E1746">
        <v>0.368245007009044</v>
      </c>
      <c r="F1746">
        <v>0.64115296859502002</v>
      </c>
    </row>
    <row r="1747" spans="1:6" x14ac:dyDescent="0.2">
      <c r="A1747" t="s">
        <v>2801</v>
      </c>
      <c r="B1747" t="s">
        <v>2802</v>
      </c>
      <c r="C1747" t="s">
        <v>653</v>
      </c>
      <c r="D1747">
        <v>0.53298964252754299</v>
      </c>
      <c r="E1747">
        <v>0.395854586383317</v>
      </c>
      <c r="F1747">
        <v>0.67153651945248005</v>
      </c>
    </row>
    <row r="1748" spans="1:6" x14ac:dyDescent="0.2">
      <c r="A1748" t="s">
        <v>2803</v>
      </c>
      <c r="B1748" t="s">
        <v>2804</v>
      </c>
      <c r="C1748" t="s">
        <v>653</v>
      </c>
      <c r="D1748">
        <v>0.56321822070268301</v>
      </c>
      <c r="E1748">
        <v>0.419374848484309</v>
      </c>
      <c r="F1748">
        <v>0.704481909435274</v>
      </c>
    </row>
    <row r="1749" spans="1:6" x14ac:dyDescent="0.2">
      <c r="A1749" t="s">
        <v>2805</v>
      </c>
      <c r="B1749" t="s">
        <v>2806</v>
      </c>
      <c r="C1749" t="s">
        <v>653</v>
      </c>
      <c r="D1749">
        <v>0.58350426112054399</v>
      </c>
      <c r="E1749">
        <v>0.43588793523146202</v>
      </c>
      <c r="F1749">
        <v>0.72305914096613899</v>
      </c>
    </row>
    <row r="1750" spans="1:6" x14ac:dyDescent="0.2">
      <c r="A1750" t="s">
        <v>2807</v>
      </c>
      <c r="B1750" t="s">
        <v>2808</v>
      </c>
      <c r="C1750" t="s">
        <v>653</v>
      </c>
      <c r="D1750">
        <v>7.9153376421535304E-2</v>
      </c>
      <c r="E1750">
        <v>5.1326978541249998E-2</v>
      </c>
      <c r="F1750">
        <v>0.115374658696329</v>
      </c>
    </row>
    <row r="1751" spans="1:6" x14ac:dyDescent="0.2">
      <c r="A1751" t="s">
        <v>2809</v>
      </c>
      <c r="B1751" t="s">
        <v>2810</v>
      </c>
      <c r="C1751" t="s">
        <v>653</v>
      </c>
      <c r="D1751">
        <v>0.108625642147579</v>
      </c>
      <c r="E1751">
        <v>7.1254040874273603E-2</v>
      </c>
      <c r="F1751">
        <v>0.15874027235271301</v>
      </c>
    </row>
    <row r="1752" spans="1:6" x14ac:dyDescent="0.2">
      <c r="A1752" t="s">
        <v>2811</v>
      </c>
      <c r="B1752" t="s">
        <v>2812</v>
      </c>
      <c r="C1752" t="s">
        <v>653</v>
      </c>
      <c r="D1752">
        <v>0.16201920845315099</v>
      </c>
      <c r="E1752">
        <v>0.109968876456997</v>
      </c>
      <c r="F1752">
        <v>0.22232452732324501</v>
      </c>
    </row>
    <row r="1753" spans="1:6" x14ac:dyDescent="0.2">
      <c r="A1753" t="s">
        <v>2813</v>
      </c>
      <c r="B1753" t="s">
        <v>2814</v>
      </c>
      <c r="C1753" t="s">
        <v>653</v>
      </c>
      <c r="D1753">
        <v>0.217801397870444</v>
      </c>
      <c r="E1753">
        <v>0.149214398154699</v>
      </c>
      <c r="F1753">
        <v>0.298545296727391</v>
      </c>
    </row>
    <row r="1754" spans="1:6" x14ac:dyDescent="0.2">
      <c r="A1754" t="s">
        <v>2815</v>
      </c>
      <c r="B1754" t="s">
        <v>2816</v>
      </c>
      <c r="C1754" t="s">
        <v>653</v>
      </c>
      <c r="D1754">
        <v>0.25522993143954997</v>
      </c>
      <c r="E1754">
        <v>0.17816860891744701</v>
      </c>
      <c r="F1754">
        <v>0.34556846933436097</v>
      </c>
    </row>
    <row r="1755" spans="1:6" x14ac:dyDescent="0.2">
      <c r="A1755" t="s">
        <v>2817</v>
      </c>
      <c r="B1755" t="s">
        <v>2818</v>
      </c>
      <c r="C1755" t="s">
        <v>653</v>
      </c>
      <c r="D1755">
        <v>0.38366445671530203</v>
      </c>
      <c r="E1755">
        <v>0.261703800060963</v>
      </c>
      <c r="F1755">
        <v>0.51705869907908597</v>
      </c>
    </row>
    <row r="1756" spans="1:6" x14ac:dyDescent="0.2">
      <c r="A1756" t="s">
        <v>2819</v>
      </c>
      <c r="B1756" t="s">
        <v>2820</v>
      </c>
      <c r="C1756" t="s">
        <v>653</v>
      </c>
      <c r="D1756">
        <v>0.40320383227560003</v>
      </c>
      <c r="E1756">
        <v>0.28076414740856398</v>
      </c>
      <c r="F1756">
        <v>0.53582165567793505</v>
      </c>
    </row>
    <row r="1757" spans="1:6" x14ac:dyDescent="0.2">
      <c r="A1757" t="s">
        <v>2821</v>
      </c>
      <c r="B1757" t="s">
        <v>2822</v>
      </c>
      <c r="C1757" t="s">
        <v>653</v>
      </c>
      <c r="D1757">
        <v>0.43832350805402398</v>
      </c>
      <c r="E1757">
        <v>0.31067607817616599</v>
      </c>
      <c r="F1757">
        <v>0.57619575059788897</v>
      </c>
    </row>
    <row r="1758" spans="1:6" x14ac:dyDescent="0.2">
      <c r="A1758" t="s">
        <v>2823</v>
      </c>
      <c r="B1758" t="s">
        <v>2824</v>
      </c>
      <c r="C1758" t="s">
        <v>653</v>
      </c>
      <c r="D1758">
        <v>0.47491126588221799</v>
      </c>
      <c r="E1758">
        <v>0.340374735603926</v>
      </c>
      <c r="F1758">
        <v>0.61449153175423199</v>
      </c>
    </row>
    <row r="1759" spans="1:6" x14ac:dyDescent="0.2">
      <c r="A1759" t="s">
        <v>2825</v>
      </c>
      <c r="B1759" t="s">
        <v>2826</v>
      </c>
      <c r="C1759" t="s">
        <v>653</v>
      </c>
      <c r="D1759">
        <v>0.49947054552219899</v>
      </c>
      <c r="E1759">
        <v>0.35784813212019601</v>
      </c>
      <c r="F1759">
        <v>0.64459078435508099</v>
      </c>
    </row>
    <row r="1760" spans="1:6" x14ac:dyDescent="0.2">
      <c r="A1760" t="s">
        <v>2827</v>
      </c>
      <c r="B1760" t="s">
        <v>2828</v>
      </c>
      <c r="C1760" t="s">
        <v>653</v>
      </c>
      <c r="D1760">
        <v>0.45459586438245098</v>
      </c>
      <c r="E1760">
        <v>0.315676849085329</v>
      </c>
      <c r="F1760">
        <v>0.59724363315249096</v>
      </c>
    </row>
    <row r="1761" spans="1:6" x14ac:dyDescent="0.2">
      <c r="A1761" t="s">
        <v>2829</v>
      </c>
      <c r="B1761" t="s">
        <v>2830</v>
      </c>
      <c r="C1761" t="s">
        <v>653</v>
      </c>
      <c r="D1761">
        <v>0.47185217276058899</v>
      </c>
      <c r="E1761">
        <v>0.33208480019868403</v>
      </c>
      <c r="F1761">
        <v>0.61482008326825199</v>
      </c>
    </row>
    <row r="1762" spans="1:6" x14ac:dyDescent="0.2">
      <c r="A1762" t="s">
        <v>2831</v>
      </c>
      <c r="B1762" t="s">
        <v>2832</v>
      </c>
      <c r="C1762" t="s">
        <v>653</v>
      </c>
      <c r="D1762">
        <v>0.50277744230687504</v>
      </c>
      <c r="E1762">
        <v>0.35470361617885798</v>
      </c>
      <c r="F1762">
        <v>0.64558837027273097</v>
      </c>
    </row>
    <row r="1763" spans="1:6" x14ac:dyDescent="0.2">
      <c r="A1763" t="s">
        <v>2833</v>
      </c>
      <c r="B1763" t="s">
        <v>2834</v>
      </c>
      <c r="C1763" t="s">
        <v>653</v>
      </c>
      <c r="D1763">
        <v>0.53496034700377604</v>
      </c>
      <c r="E1763">
        <v>0.38418912263065003</v>
      </c>
      <c r="F1763">
        <v>0.68095963623691902</v>
      </c>
    </row>
    <row r="1764" spans="1:6" x14ac:dyDescent="0.2">
      <c r="A1764" t="s">
        <v>2835</v>
      </c>
      <c r="B1764" t="s">
        <v>2836</v>
      </c>
      <c r="C1764" t="s">
        <v>653</v>
      </c>
      <c r="D1764">
        <v>0.55656229778139299</v>
      </c>
      <c r="E1764">
        <v>0.40064019463450101</v>
      </c>
      <c r="F1764">
        <v>0.70338721431289197</v>
      </c>
    </row>
    <row r="1765" spans="1:6" x14ac:dyDescent="0.2">
      <c r="A1765" t="s">
        <v>2837</v>
      </c>
      <c r="B1765" t="s">
        <v>741</v>
      </c>
      <c r="C1765" t="s">
        <v>742</v>
      </c>
      <c r="D1765">
        <v>7.5640454000000003E-3</v>
      </c>
      <c r="E1765">
        <v>3.3355575E-3</v>
      </c>
      <c r="F1765">
        <v>1.5242127499999999E-2</v>
      </c>
    </row>
    <row r="1766" spans="1:6" x14ac:dyDescent="0.2">
      <c r="A1766" t="s">
        <v>2838</v>
      </c>
      <c r="B1766" t="s">
        <v>2590</v>
      </c>
      <c r="C1766" t="s">
        <v>2591</v>
      </c>
      <c r="D1766">
        <v>6.0814388803672001E-2</v>
      </c>
      <c r="E1766">
        <v>2.3912576027214399E-2</v>
      </c>
      <c r="F1766">
        <v>0.10686210505664299</v>
      </c>
    </row>
    <row r="1767" spans="1:6" x14ac:dyDescent="0.2">
      <c r="A1767" t="s">
        <v>2839</v>
      </c>
      <c r="B1767" t="s">
        <v>2840</v>
      </c>
      <c r="C1767" t="s">
        <v>653</v>
      </c>
      <c r="D1767">
        <v>6.7917298337733703E-2</v>
      </c>
      <c r="E1767">
        <v>3.05267616982316E-2</v>
      </c>
      <c r="F1767">
        <v>0.113552811164277</v>
      </c>
    </row>
    <row r="1768" spans="1:6" x14ac:dyDescent="0.2">
      <c r="A1768" t="s">
        <v>2841</v>
      </c>
      <c r="B1768" t="s">
        <v>703</v>
      </c>
      <c r="D1768">
        <v>0</v>
      </c>
      <c r="E1768">
        <v>0</v>
      </c>
      <c r="F1768">
        <v>0</v>
      </c>
    </row>
    <row r="1769" spans="1:6" x14ac:dyDescent="0.2">
      <c r="A1769" t="s">
        <v>2842</v>
      </c>
      <c r="B1769" t="s">
        <v>741</v>
      </c>
      <c r="C1769" t="s">
        <v>742</v>
      </c>
      <c r="D1769">
        <v>7.5640454000000003E-3</v>
      </c>
      <c r="E1769">
        <v>3.3355575E-3</v>
      </c>
      <c r="F1769">
        <v>1.5242127499999999E-2</v>
      </c>
    </row>
    <row r="1770" spans="1:6" x14ac:dyDescent="0.2">
      <c r="A1770" t="s">
        <v>2843</v>
      </c>
      <c r="B1770" t="s">
        <v>1042</v>
      </c>
      <c r="C1770" t="s">
        <v>1043</v>
      </c>
      <c r="D1770">
        <v>1.0793008600000001E-2</v>
      </c>
      <c r="E1770">
        <v>5.1901200000000003E-3</v>
      </c>
      <c r="F1770">
        <v>2.02353999999999E-2</v>
      </c>
    </row>
    <row r="1771" spans="1:6" x14ac:dyDescent="0.2">
      <c r="A1771" t="s">
        <v>2844</v>
      </c>
      <c r="B1771" t="s">
        <v>1045</v>
      </c>
      <c r="C1771" t="s">
        <v>1046</v>
      </c>
      <c r="D1771">
        <v>4.25405801999999E-2</v>
      </c>
      <c r="E1771">
        <v>2.5978245000000001E-2</v>
      </c>
      <c r="F1771">
        <v>6.4453929999999895E-2</v>
      </c>
    </row>
    <row r="1772" spans="1:6" x14ac:dyDescent="0.2">
      <c r="A1772" t="s">
        <v>2845</v>
      </c>
      <c r="B1772" t="s">
        <v>2846</v>
      </c>
      <c r="C1772" t="s">
        <v>653</v>
      </c>
      <c r="D1772">
        <v>4.97600531082001E-2</v>
      </c>
      <c r="E1772">
        <v>2.9763149201209399E-2</v>
      </c>
      <c r="F1772">
        <v>7.7971349952487695E-2</v>
      </c>
    </row>
    <row r="1773" spans="1:6" x14ac:dyDescent="0.2">
      <c r="A1773" t="s">
        <v>2845</v>
      </c>
      <c r="B1773" t="s">
        <v>2846</v>
      </c>
      <c r="C1773" t="s">
        <v>653</v>
      </c>
      <c r="D1773">
        <v>4.97600531082001E-2</v>
      </c>
      <c r="E1773">
        <v>2.9763149201209399E-2</v>
      </c>
      <c r="F1773">
        <v>7.7971349952487695E-2</v>
      </c>
    </row>
    <row r="1774" spans="1:6" x14ac:dyDescent="0.2">
      <c r="A1774" t="s">
        <v>2847</v>
      </c>
      <c r="B1774" t="s">
        <v>2848</v>
      </c>
      <c r="C1774" t="s">
        <v>653</v>
      </c>
      <c r="D1774">
        <v>1.82634356713182E-2</v>
      </c>
      <c r="E1774">
        <v>8.6685597660369901E-3</v>
      </c>
      <c r="F1774">
        <v>3.4400840619610101E-2</v>
      </c>
    </row>
    <row r="1775" spans="1:6" x14ac:dyDescent="0.2">
      <c r="A1775" t="s">
        <v>2847</v>
      </c>
      <c r="B1775" t="s">
        <v>2848</v>
      </c>
      <c r="C1775" t="s">
        <v>653</v>
      </c>
      <c r="D1775">
        <v>1.82634356713182E-2</v>
      </c>
      <c r="E1775">
        <v>8.6685597660369901E-3</v>
      </c>
      <c r="F1775">
        <v>3.4400840619610101E-2</v>
      </c>
    </row>
    <row r="1776" spans="1:6" x14ac:dyDescent="0.2">
      <c r="A1776" t="s">
        <v>2849</v>
      </c>
      <c r="B1776" t="s">
        <v>703</v>
      </c>
      <c r="D1776">
        <v>0</v>
      </c>
      <c r="E1776">
        <v>0</v>
      </c>
      <c r="F1776">
        <v>0</v>
      </c>
    </row>
    <row r="1777" spans="1:6" x14ac:dyDescent="0.2">
      <c r="A1777" t="s">
        <v>2850</v>
      </c>
      <c r="B1777" t="s">
        <v>1916</v>
      </c>
      <c r="C1777" t="s">
        <v>1917</v>
      </c>
      <c r="D1777">
        <v>6.9140862800000105E-2</v>
      </c>
      <c r="E1777">
        <v>4.5942015000000003E-2</v>
      </c>
      <c r="F1777">
        <v>9.8852454999999895E-2</v>
      </c>
    </row>
    <row r="1778" spans="1:6" x14ac:dyDescent="0.2">
      <c r="A1778" t="s">
        <v>2851</v>
      </c>
      <c r="B1778" t="s">
        <v>1919</v>
      </c>
      <c r="C1778" t="s">
        <v>1920</v>
      </c>
      <c r="D1778">
        <v>0.376894274299999</v>
      </c>
      <c r="E1778">
        <v>0.25230419249999902</v>
      </c>
      <c r="F1778">
        <v>0.50846592999999995</v>
      </c>
    </row>
    <row r="1779" spans="1:6" x14ac:dyDescent="0.2">
      <c r="A1779" t="s">
        <v>2852</v>
      </c>
      <c r="B1779" t="s">
        <v>1922</v>
      </c>
      <c r="C1779" t="s">
        <v>1923</v>
      </c>
      <c r="D1779">
        <v>0.44857371099999999</v>
      </c>
      <c r="E1779">
        <v>0.30386179999999902</v>
      </c>
      <c r="F1779">
        <v>0.5945717425</v>
      </c>
    </row>
    <row r="1780" spans="1:6" x14ac:dyDescent="0.2">
      <c r="A1780" t="s">
        <v>2853</v>
      </c>
      <c r="B1780" t="s">
        <v>1042</v>
      </c>
      <c r="C1780" t="s">
        <v>1043</v>
      </c>
      <c r="D1780">
        <v>1.0793008600000001E-2</v>
      </c>
      <c r="E1780">
        <v>5.1901200000000003E-3</v>
      </c>
      <c r="F1780">
        <v>2.02353999999999E-2</v>
      </c>
    </row>
    <row r="1781" spans="1:6" x14ac:dyDescent="0.2">
      <c r="A1781" t="s">
        <v>2854</v>
      </c>
      <c r="B1781" t="s">
        <v>1045</v>
      </c>
      <c r="C1781" t="s">
        <v>1046</v>
      </c>
      <c r="D1781">
        <v>4.25405801999999E-2</v>
      </c>
      <c r="E1781">
        <v>2.5978245000000001E-2</v>
      </c>
      <c r="F1781">
        <v>6.4453929999999895E-2</v>
      </c>
    </row>
    <row r="1782" spans="1:6" x14ac:dyDescent="0.2">
      <c r="A1782" t="s">
        <v>2855</v>
      </c>
      <c r="B1782" t="s">
        <v>2087</v>
      </c>
      <c r="C1782" t="s">
        <v>2088</v>
      </c>
      <c r="D1782">
        <v>0.100020868199999</v>
      </c>
      <c r="E1782">
        <v>6.6049517500000002E-2</v>
      </c>
      <c r="F1782">
        <v>0.14174874749999999</v>
      </c>
    </row>
    <row r="1783" spans="1:6" x14ac:dyDescent="0.2">
      <c r="A1783" t="s">
        <v>2856</v>
      </c>
      <c r="B1783" t="s">
        <v>2090</v>
      </c>
      <c r="C1783" t="s">
        <v>2091</v>
      </c>
      <c r="D1783">
        <v>0.1600574337</v>
      </c>
      <c r="E1783">
        <v>0.107062184999999</v>
      </c>
      <c r="F1783">
        <v>0.226226345</v>
      </c>
    </row>
    <row r="1784" spans="1:6" x14ac:dyDescent="0.2">
      <c r="A1784" t="s">
        <v>2857</v>
      </c>
      <c r="B1784" t="s">
        <v>2093</v>
      </c>
      <c r="C1784" t="s">
        <v>2094</v>
      </c>
      <c r="D1784">
        <v>0.20030707170000001</v>
      </c>
      <c r="E1784">
        <v>0.13325701249999999</v>
      </c>
      <c r="F1784">
        <v>0.28252101499999999</v>
      </c>
    </row>
    <row r="1785" spans="1:6" x14ac:dyDescent="0.2">
      <c r="A1785" t="s">
        <v>2858</v>
      </c>
      <c r="B1785" t="s">
        <v>927</v>
      </c>
      <c r="C1785" t="s">
        <v>928</v>
      </c>
      <c r="D1785">
        <v>0.54166777129999999</v>
      </c>
      <c r="E1785">
        <v>0.37403827749999902</v>
      </c>
      <c r="F1785">
        <v>0.70224279499999998</v>
      </c>
    </row>
    <row r="1786" spans="1:6" x14ac:dyDescent="0.2">
      <c r="A1786" t="s">
        <v>2859</v>
      </c>
      <c r="B1786" t="s">
        <v>2590</v>
      </c>
      <c r="C1786" t="s">
        <v>2591</v>
      </c>
      <c r="D1786">
        <v>6.0814388803672001E-2</v>
      </c>
      <c r="E1786">
        <v>2.3912576027214399E-2</v>
      </c>
      <c r="F1786">
        <v>0.10686210505664299</v>
      </c>
    </row>
    <row r="1787" spans="1:6" x14ac:dyDescent="0.2">
      <c r="A1787" t="s">
        <v>2860</v>
      </c>
      <c r="B1787" t="s">
        <v>703</v>
      </c>
      <c r="D1787">
        <v>0</v>
      </c>
      <c r="E1787">
        <v>0</v>
      </c>
      <c r="F1787">
        <v>0</v>
      </c>
    </row>
    <row r="1788" spans="1:6" x14ac:dyDescent="0.2">
      <c r="A1788" t="s">
        <v>2861</v>
      </c>
      <c r="B1788" t="s">
        <v>2762</v>
      </c>
      <c r="C1788" t="s">
        <v>653</v>
      </c>
      <c r="D1788">
        <v>7.0950113734209397E-2</v>
      </c>
      <c r="E1788">
        <v>3.3402817236394003E-2</v>
      </c>
      <c r="F1788">
        <v>0.116938444805247</v>
      </c>
    </row>
    <row r="1789" spans="1:6" x14ac:dyDescent="0.2">
      <c r="A1789" t="s">
        <v>2862</v>
      </c>
      <c r="B1789" t="s">
        <v>2764</v>
      </c>
      <c r="C1789" t="s">
        <v>653</v>
      </c>
      <c r="D1789">
        <v>0.100761875305934</v>
      </c>
      <c r="E1789">
        <v>6.0740628028239901E-2</v>
      </c>
      <c r="F1789">
        <v>0.14900305077601</v>
      </c>
    </row>
    <row r="1790" spans="1:6" x14ac:dyDescent="0.2">
      <c r="A1790" t="s">
        <v>2863</v>
      </c>
      <c r="B1790" t="s">
        <v>2766</v>
      </c>
      <c r="C1790" t="s">
        <v>653</v>
      </c>
      <c r="D1790">
        <v>0.15473785558450601</v>
      </c>
      <c r="E1790">
        <v>0.104661500044936</v>
      </c>
      <c r="F1790">
        <v>0.21097456911391199</v>
      </c>
    </row>
    <row r="1791" spans="1:6" x14ac:dyDescent="0.2">
      <c r="A1791" t="s">
        <v>2864</v>
      </c>
      <c r="B1791" t="s">
        <v>2768</v>
      </c>
      <c r="C1791" t="s">
        <v>653</v>
      </c>
      <c r="D1791">
        <v>0.21112984364049101</v>
      </c>
      <c r="E1791">
        <v>0.148295220306848</v>
      </c>
      <c r="F1791">
        <v>0.28050699784379002</v>
      </c>
    </row>
    <row r="1792" spans="1:6" x14ac:dyDescent="0.2">
      <c r="A1792" t="s">
        <v>2865</v>
      </c>
      <c r="B1792" t="s">
        <v>2770</v>
      </c>
      <c r="C1792" t="s">
        <v>653</v>
      </c>
      <c r="D1792">
        <v>0.248928374202847</v>
      </c>
      <c r="E1792">
        <v>0.17587789470915799</v>
      </c>
      <c r="F1792">
        <v>0.32768477011460001</v>
      </c>
    </row>
    <row r="1793" spans="1:6" x14ac:dyDescent="0.2">
      <c r="A1793" t="s">
        <v>2866</v>
      </c>
      <c r="B1793" t="s">
        <v>2772</v>
      </c>
      <c r="C1793" t="s">
        <v>653</v>
      </c>
      <c r="D1793">
        <v>0.125743864647378</v>
      </c>
      <c r="E1793">
        <v>8.1342641280675101E-2</v>
      </c>
      <c r="F1793">
        <v>0.175579859586703</v>
      </c>
    </row>
    <row r="1794" spans="1:6" x14ac:dyDescent="0.2">
      <c r="A1794" t="s">
        <v>2867</v>
      </c>
      <c r="B1794" t="s">
        <v>2774</v>
      </c>
      <c r="C1794" t="s">
        <v>653</v>
      </c>
      <c r="D1794">
        <v>0.41476568303046601</v>
      </c>
      <c r="E1794">
        <v>0.294005444303511</v>
      </c>
      <c r="F1794">
        <v>0.54679835259665999</v>
      </c>
    </row>
    <row r="1795" spans="1:6" x14ac:dyDescent="0.2">
      <c r="A1795" t="s">
        <v>2868</v>
      </c>
      <c r="B1795" t="s">
        <v>2776</v>
      </c>
      <c r="C1795" t="s">
        <v>653</v>
      </c>
      <c r="D1795">
        <v>0.48208851600751101</v>
      </c>
      <c r="E1795">
        <v>0.34228484496434503</v>
      </c>
      <c r="F1795">
        <v>0.62014052774671802</v>
      </c>
    </row>
    <row r="1796" spans="1:6" x14ac:dyDescent="0.2">
      <c r="A1796" t="s">
        <v>2869</v>
      </c>
      <c r="B1796" t="s">
        <v>2778</v>
      </c>
      <c r="C1796" t="s">
        <v>653</v>
      </c>
      <c r="D1796">
        <v>0.13514669111157501</v>
      </c>
      <c r="E1796">
        <v>8.9834577719016998E-2</v>
      </c>
      <c r="F1796">
        <v>0.187670105173524</v>
      </c>
    </row>
    <row r="1797" spans="1:6" x14ac:dyDescent="0.2">
      <c r="A1797" t="s">
        <v>2870</v>
      </c>
      <c r="B1797" t="s">
        <v>2780</v>
      </c>
      <c r="C1797" t="s">
        <v>653</v>
      </c>
      <c r="D1797">
        <v>0.16282205802647601</v>
      </c>
      <c r="E1797">
        <v>0.112291526109514</v>
      </c>
      <c r="F1797">
        <v>0.22041048882904199</v>
      </c>
    </row>
    <row r="1798" spans="1:6" x14ac:dyDescent="0.2">
      <c r="A1798" t="s">
        <v>2871</v>
      </c>
      <c r="B1798" t="s">
        <v>2782</v>
      </c>
      <c r="C1798" t="s">
        <v>653</v>
      </c>
      <c r="D1798">
        <v>0.21296085644089099</v>
      </c>
      <c r="E1798">
        <v>0.15045270785847201</v>
      </c>
      <c r="F1798">
        <v>0.28219805175707302</v>
      </c>
    </row>
    <row r="1799" spans="1:6" x14ac:dyDescent="0.2">
      <c r="A1799" t="s">
        <v>2872</v>
      </c>
      <c r="B1799" t="s">
        <v>2784</v>
      </c>
      <c r="C1799" t="s">
        <v>653</v>
      </c>
      <c r="D1799">
        <v>0.26535696887874799</v>
      </c>
      <c r="E1799">
        <v>0.19160927360680699</v>
      </c>
      <c r="F1799">
        <v>0.34586471560270499</v>
      </c>
    </row>
    <row r="1800" spans="1:6" x14ac:dyDescent="0.2">
      <c r="A1800" t="s">
        <v>2873</v>
      </c>
      <c r="B1800" t="s">
        <v>2786</v>
      </c>
      <c r="C1800" t="s">
        <v>653</v>
      </c>
      <c r="D1800">
        <v>0.30050646937271303</v>
      </c>
      <c r="E1800">
        <v>0.22165603255080099</v>
      </c>
      <c r="F1800">
        <v>0.39209750812474198</v>
      </c>
    </row>
    <row r="1801" spans="1:6" x14ac:dyDescent="0.2">
      <c r="A1801" t="s">
        <v>2874</v>
      </c>
      <c r="B1801" t="s">
        <v>2788</v>
      </c>
      <c r="C1801" t="s">
        <v>653</v>
      </c>
      <c r="D1801">
        <v>0.42112385325075902</v>
      </c>
      <c r="E1801">
        <v>0.302972983275833</v>
      </c>
      <c r="F1801">
        <v>0.54954006522686105</v>
      </c>
    </row>
    <row r="1802" spans="1:6" x14ac:dyDescent="0.2">
      <c r="A1802" t="s">
        <v>2875</v>
      </c>
      <c r="B1802" t="s">
        <v>2790</v>
      </c>
      <c r="C1802" t="s">
        <v>653</v>
      </c>
      <c r="D1802">
        <v>0.43947230201662102</v>
      </c>
      <c r="E1802">
        <v>0.32266813779368803</v>
      </c>
      <c r="F1802">
        <v>0.56859106673714499</v>
      </c>
    </row>
    <row r="1803" spans="1:6" x14ac:dyDescent="0.2">
      <c r="A1803" t="s">
        <v>2876</v>
      </c>
      <c r="B1803" t="s">
        <v>2792</v>
      </c>
      <c r="C1803" t="s">
        <v>653</v>
      </c>
      <c r="D1803">
        <v>0.47245210538570998</v>
      </c>
      <c r="E1803">
        <v>0.34963101913566602</v>
      </c>
      <c r="F1803">
        <v>0.60807578318700894</v>
      </c>
    </row>
    <row r="1804" spans="1:6" x14ac:dyDescent="0.2">
      <c r="A1804" t="s">
        <v>2877</v>
      </c>
      <c r="B1804" t="s">
        <v>2794</v>
      </c>
      <c r="C1804" t="s">
        <v>653</v>
      </c>
      <c r="D1804">
        <v>0.50681897300493695</v>
      </c>
      <c r="E1804">
        <v>0.37714625708919602</v>
      </c>
      <c r="F1804">
        <v>0.64218766932920701</v>
      </c>
    </row>
    <row r="1805" spans="1:6" x14ac:dyDescent="0.2">
      <c r="A1805" t="s">
        <v>2878</v>
      </c>
      <c r="B1805" t="s">
        <v>2796</v>
      </c>
      <c r="C1805" t="s">
        <v>653</v>
      </c>
      <c r="D1805">
        <v>0.52988203420231095</v>
      </c>
      <c r="E1805">
        <v>0.39255707489000602</v>
      </c>
      <c r="F1805">
        <v>0.66582632098849104</v>
      </c>
    </row>
    <row r="1806" spans="1:6" x14ac:dyDescent="0.2">
      <c r="A1806" t="s">
        <v>2879</v>
      </c>
      <c r="B1806" t="s">
        <v>2798</v>
      </c>
      <c r="C1806" t="s">
        <v>653</v>
      </c>
      <c r="D1806">
        <v>0.48774426430348</v>
      </c>
      <c r="E1806">
        <v>0.350297133497594</v>
      </c>
      <c r="F1806">
        <v>0.62432524194818995</v>
      </c>
    </row>
    <row r="1807" spans="1:6" x14ac:dyDescent="0.2">
      <c r="A1807" t="s">
        <v>2880</v>
      </c>
      <c r="B1807" t="s">
        <v>2800</v>
      </c>
      <c r="C1807" t="s">
        <v>653</v>
      </c>
      <c r="D1807">
        <v>0.50394879070614496</v>
      </c>
      <c r="E1807">
        <v>0.368245007009044</v>
      </c>
      <c r="F1807">
        <v>0.64115296859502002</v>
      </c>
    </row>
    <row r="1808" spans="1:6" x14ac:dyDescent="0.2">
      <c r="A1808" t="s">
        <v>2881</v>
      </c>
      <c r="B1808" t="s">
        <v>2802</v>
      </c>
      <c r="C1808" t="s">
        <v>653</v>
      </c>
      <c r="D1808">
        <v>0.53298964252754299</v>
      </c>
      <c r="E1808">
        <v>0.395854586383317</v>
      </c>
      <c r="F1808">
        <v>0.67153651945248005</v>
      </c>
    </row>
    <row r="1809" spans="1:6" x14ac:dyDescent="0.2">
      <c r="A1809" t="s">
        <v>2882</v>
      </c>
      <c r="B1809" t="s">
        <v>2804</v>
      </c>
      <c r="C1809" t="s">
        <v>653</v>
      </c>
      <c r="D1809">
        <v>0.56321822070268301</v>
      </c>
      <c r="E1809">
        <v>0.419374848484309</v>
      </c>
      <c r="F1809">
        <v>0.704481909435274</v>
      </c>
    </row>
    <row r="1810" spans="1:6" x14ac:dyDescent="0.2">
      <c r="A1810" t="s">
        <v>2883</v>
      </c>
      <c r="B1810" t="s">
        <v>2806</v>
      </c>
      <c r="C1810" t="s">
        <v>653</v>
      </c>
      <c r="D1810">
        <v>0.58350426112054399</v>
      </c>
      <c r="E1810">
        <v>0.43588793523146202</v>
      </c>
      <c r="F1810">
        <v>0.72305914096613899</v>
      </c>
    </row>
    <row r="1811" spans="1:6" x14ac:dyDescent="0.2">
      <c r="A1811" t="s">
        <v>2884</v>
      </c>
      <c r="B1811" t="s">
        <v>2808</v>
      </c>
      <c r="C1811" t="s">
        <v>653</v>
      </c>
      <c r="D1811">
        <v>7.9153376421535304E-2</v>
      </c>
      <c r="E1811">
        <v>5.1326978541249998E-2</v>
      </c>
      <c r="F1811">
        <v>0.115374658696329</v>
      </c>
    </row>
    <row r="1812" spans="1:6" x14ac:dyDescent="0.2">
      <c r="A1812" t="s">
        <v>2885</v>
      </c>
      <c r="B1812" t="s">
        <v>2810</v>
      </c>
      <c r="C1812" t="s">
        <v>653</v>
      </c>
      <c r="D1812">
        <v>0.108625642147579</v>
      </c>
      <c r="E1812">
        <v>7.1254040874273603E-2</v>
      </c>
      <c r="F1812">
        <v>0.15874027235271301</v>
      </c>
    </row>
    <row r="1813" spans="1:6" x14ac:dyDescent="0.2">
      <c r="A1813" t="s">
        <v>2886</v>
      </c>
      <c r="B1813" t="s">
        <v>2812</v>
      </c>
      <c r="C1813" t="s">
        <v>653</v>
      </c>
      <c r="D1813">
        <v>0.16201920845315099</v>
      </c>
      <c r="E1813">
        <v>0.109968876456997</v>
      </c>
      <c r="F1813">
        <v>0.22232452732324501</v>
      </c>
    </row>
    <row r="1814" spans="1:6" x14ac:dyDescent="0.2">
      <c r="A1814" t="s">
        <v>2887</v>
      </c>
      <c r="B1814" t="s">
        <v>2814</v>
      </c>
      <c r="C1814" t="s">
        <v>653</v>
      </c>
      <c r="D1814">
        <v>0.217801397870444</v>
      </c>
      <c r="E1814">
        <v>0.149214398154699</v>
      </c>
      <c r="F1814">
        <v>0.298545296727391</v>
      </c>
    </row>
    <row r="1815" spans="1:6" x14ac:dyDescent="0.2">
      <c r="A1815" t="s">
        <v>2888</v>
      </c>
      <c r="B1815" t="s">
        <v>2816</v>
      </c>
      <c r="C1815" t="s">
        <v>653</v>
      </c>
      <c r="D1815">
        <v>0.25522993143954997</v>
      </c>
      <c r="E1815">
        <v>0.17816860891744701</v>
      </c>
      <c r="F1815">
        <v>0.34556846933436097</v>
      </c>
    </row>
    <row r="1816" spans="1:6" x14ac:dyDescent="0.2">
      <c r="A1816" t="s">
        <v>2889</v>
      </c>
      <c r="B1816" t="s">
        <v>2818</v>
      </c>
      <c r="C1816" t="s">
        <v>653</v>
      </c>
      <c r="D1816">
        <v>0.38366445671530203</v>
      </c>
      <c r="E1816">
        <v>0.261703800060963</v>
      </c>
      <c r="F1816">
        <v>0.51705869907908597</v>
      </c>
    </row>
    <row r="1817" spans="1:6" x14ac:dyDescent="0.2">
      <c r="A1817" t="s">
        <v>2890</v>
      </c>
      <c r="B1817" t="s">
        <v>2820</v>
      </c>
      <c r="C1817" t="s">
        <v>653</v>
      </c>
      <c r="D1817">
        <v>0.40320383227560003</v>
      </c>
      <c r="E1817">
        <v>0.28076414740856398</v>
      </c>
      <c r="F1817">
        <v>0.53582165567793505</v>
      </c>
    </row>
    <row r="1818" spans="1:6" x14ac:dyDescent="0.2">
      <c r="A1818" t="s">
        <v>2891</v>
      </c>
      <c r="B1818" t="s">
        <v>2822</v>
      </c>
      <c r="C1818" t="s">
        <v>653</v>
      </c>
      <c r="D1818">
        <v>0.43832350805402398</v>
      </c>
      <c r="E1818">
        <v>0.31067607817616599</v>
      </c>
      <c r="F1818">
        <v>0.57619575059788897</v>
      </c>
    </row>
    <row r="1819" spans="1:6" x14ac:dyDescent="0.2">
      <c r="A1819" t="s">
        <v>2892</v>
      </c>
      <c r="B1819" t="s">
        <v>2824</v>
      </c>
      <c r="C1819" t="s">
        <v>653</v>
      </c>
      <c r="D1819">
        <v>0.47491126588221799</v>
      </c>
      <c r="E1819">
        <v>0.340374735603926</v>
      </c>
      <c r="F1819">
        <v>0.61449153175423199</v>
      </c>
    </row>
    <row r="1820" spans="1:6" x14ac:dyDescent="0.2">
      <c r="A1820" t="s">
        <v>2893</v>
      </c>
      <c r="B1820" t="s">
        <v>2826</v>
      </c>
      <c r="C1820" t="s">
        <v>653</v>
      </c>
      <c r="D1820">
        <v>0.49947054552219899</v>
      </c>
      <c r="E1820">
        <v>0.35784813212019601</v>
      </c>
      <c r="F1820">
        <v>0.64459078435508099</v>
      </c>
    </row>
    <row r="1821" spans="1:6" x14ac:dyDescent="0.2">
      <c r="A1821" t="s">
        <v>2894</v>
      </c>
      <c r="B1821" t="s">
        <v>2828</v>
      </c>
      <c r="C1821" t="s">
        <v>653</v>
      </c>
      <c r="D1821">
        <v>0.45459586438245098</v>
      </c>
      <c r="E1821">
        <v>0.315676849085329</v>
      </c>
      <c r="F1821">
        <v>0.59724363315249096</v>
      </c>
    </row>
    <row r="1822" spans="1:6" x14ac:dyDescent="0.2">
      <c r="A1822" t="s">
        <v>2895</v>
      </c>
      <c r="B1822" t="s">
        <v>2830</v>
      </c>
      <c r="C1822" t="s">
        <v>653</v>
      </c>
      <c r="D1822">
        <v>0.47185217276058899</v>
      </c>
      <c r="E1822">
        <v>0.33208480019868403</v>
      </c>
      <c r="F1822">
        <v>0.61482008326825199</v>
      </c>
    </row>
    <row r="1823" spans="1:6" x14ac:dyDescent="0.2">
      <c r="A1823" t="s">
        <v>2896</v>
      </c>
      <c r="B1823" t="s">
        <v>2832</v>
      </c>
      <c r="C1823" t="s">
        <v>653</v>
      </c>
      <c r="D1823">
        <v>0.50277744230687504</v>
      </c>
      <c r="E1823">
        <v>0.35470361617885798</v>
      </c>
      <c r="F1823">
        <v>0.64558837027273097</v>
      </c>
    </row>
    <row r="1824" spans="1:6" x14ac:dyDescent="0.2">
      <c r="A1824" t="s">
        <v>2897</v>
      </c>
      <c r="B1824" t="s">
        <v>2834</v>
      </c>
      <c r="C1824" t="s">
        <v>653</v>
      </c>
      <c r="D1824">
        <v>0.53496034700377604</v>
      </c>
      <c r="E1824">
        <v>0.38418912263065003</v>
      </c>
      <c r="F1824">
        <v>0.68095963623691902</v>
      </c>
    </row>
    <row r="1825" spans="1:6" x14ac:dyDescent="0.2">
      <c r="A1825" t="s">
        <v>2898</v>
      </c>
      <c r="B1825" t="s">
        <v>2836</v>
      </c>
      <c r="C1825" t="s">
        <v>653</v>
      </c>
      <c r="D1825">
        <v>0.55656229778139299</v>
      </c>
      <c r="E1825">
        <v>0.40064019463450101</v>
      </c>
      <c r="F1825">
        <v>0.70338721431289197</v>
      </c>
    </row>
    <row r="1826" spans="1:6" x14ac:dyDescent="0.2">
      <c r="A1826" t="s">
        <v>2899</v>
      </c>
      <c r="B1826" t="s">
        <v>2900</v>
      </c>
      <c r="C1826" t="s">
        <v>653</v>
      </c>
      <c r="D1826">
        <v>0.56952761943291397</v>
      </c>
      <c r="E1826">
        <v>0.40481774570145401</v>
      </c>
      <c r="F1826">
        <v>0.71948046567383594</v>
      </c>
    </row>
    <row r="1827" spans="1:6" x14ac:dyDescent="0.2">
      <c r="A1827" t="s">
        <v>2901</v>
      </c>
      <c r="B1827" t="s">
        <v>711</v>
      </c>
      <c r="C1827" t="s">
        <v>712</v>
      </c>
      <c r="D1827">
        <v>1.10162523999999E-2</v>
      </c>
      <c r="E1827">
        <v>5.2397625E-3</v>
      </c>
      <c r="F1827">
        <v>2.06195424999999E-2</v>
      </c>
    </row>
    <row r="1828" spans="1:6" x14ac:dyDescent="0.2">
      <c r="A1828" t="s">
        <v>2902</v>
      </c>
      <c r="B1828" t="s">
        <v>921</v>
      </c>
      <c r="C1828" t="s">
        <v>922</v>
      </c>
      <c r="D1828">
        <v>6.6991753799999998E-2</v>
      </c>
      <c r="E1828">
        <v>4.4417720000000001E-2</v>
      </c>
      <c r="F1828">
        <v>9.5900522499999905E-2</v>
      </c>
    </row>
    <row r="1829" spans="1:6" x14ac:dyDescent="0.2">
      <c r="A1829" t="s">
        <v>2903</v>
      </c>
      <c r="B1829" t="s">
        <v>960</v>
      </c>
      <c r="C1829" t="s">
        <v>961</v>
      </c>
      <c r="D1829">
        <v>0.18808746869999901</v>
      </c>
      <c r="E1829">
        <v>0.124700385</v>
      </c>
      <c r="F1829">
        <v>0.26659237499999999</v>
      </c>
    </row>
    <row r="1830" spans="1:6" x14ac:dyDescent="0.2">
      <c r="A1830" t="s">
        <v>2904</v>
      </c>
      <c r="B1830" t="s">
        <v>2905</v>
      </c>
      <c r="C1830" t="s">
        <v>653</v>
      </c>
      <c r="D1830">
        <v>7.6420403449357993E-2</v>
      </c>
      <c r="E1830">
        <v>5.0789830225759898E-2</v>
      </c>
      <c r="F1830">
        <v>0.112019876826275</v>
      </c>
    </row>
    <row r="1831" spans="1:6" x14ac:dyDescent="0.2">
      <c r="A1831" t="s">
        <v>2906</v>
      </c>
      <c r="B1831" t="s">
        <v>2907</v>
      </c>
      <c r="C1831" t="s">
        <v>653</v>
      </c>
      <c r="D1831">
        <v>0.12359825553546799</v>
      </c>
      <c r="E1831">
        <v>8.2865541708580903E-2</v>
      </c>
      <c r="F1831">
        <v>0.17521277067425201</v>
      </c>
    </row>
    <row r="1832" spans="1:6" x14ac:dyDescent="0.2">
      <c r="A1832" t="s">
        <v>2908</v>
      </c>
      <c r="B1832" t="s">
        <v>2909</v>
      </c>
      <c r="C1832" t="s">
        <v>653</v>
      </c>
      <c r="D1832">
        <v>0.19630645835761201</v>
      </c>
      <c r="E1832">
        <v>0.13164408603983199</v>
      </c>
      <c r="F1832">
        <v>0.27520579188402</v>
      </c>
    </row>
    <row r="1833" spans="1:6" x14ac:dyDescent="0.2">
      <c r="A1833" t="s">
        <v>2910</v>
      </c>
      <c r="B1833" t="s">
        <v>2911</v>
      </c>
      <c r="C1833" t="s">
        <v>653</v>
      </c>
      <c r="D1833">
        <v>0.23716855537082099</v>
      </c>
      <c r="E1833">
        <v>0.163109777984387</v>
      </c>
      <c r="F1833">
        <v>0.32438909182597903</v>
      </c>
    </row>
    <row r="1834" spans="1:6" x14ac:dyDescent="0.2">
      <c r="A1834" t="s">
        <v>2912</v>
      </c>
      <c r="B1834" t="s">
        <v>921</v>
      </c>
      <c r="C1834" t="s">
        <v>922</v>
      </c>
      <c r="D1834">
        <v>6.6991753799999998E-2</v>
      </c>
      <c r="E1834">
        <v>4.4417720000000001E-2</v>
      </c>
      <c r="F1834">
        <v>9.5900522499999905E-2</v>
      </c>
    </row>
    <row r="1835" spans="1:6" x14ac:dyDescent="0.2">
      <c r="A1835" t="s">
        <v>2913</v>
      </c>
      <c r="B1835" t="s">
        <v>960</v>
      </c>
      <c r="C1835" t="s">
        <v>961</v>
      </c>
      <c r="D1835">
        <v>0.18808746869999901</v>
      </c>
      <c r="E1835">
        <v>0.124700385</v>
      </c>
      <c r="F1835">
        <v>0.26659237499999999</v>
      </c>
    </row>
    <row r="1836" spans="1:6" x14ac:dyDescent="0.2">
      <c r="A1836" t="s">
        <v>2914</v>
      </c>
      <c r="B1836" t="s">
        <v>2905</v>
      </c>
      <c r="C1836" t="s">
        <v>653</v>
      </c>
      <c r="D1836">
        <v>7.6420403449357993E-2</v>
      </c>
      <c r="E1836">
        <v>5.0789830225759898E-2</v>
      </c>
      <c r="F1836">
        <v>0.112019876826275</v>
      </c>
    </row>
    <row r="1837" spans="1:6" x14ac:dyDescent="0.2">
      <c r="A1837" t="s">
        <v>2915</v>
      </c>
      <c r="B1837" t="s">
        <v>2907</v>
      </c>
      <c r="C1837" t="s">
        <v>653</v>
      </c>
      <c r="D1837">
        <v>0.12359825553546799</v>
      </c>
      <c r="E1837">
        <v>8.2865541708580903E-2</v>
      </c>
      <c r="F1837">
        <v>0.17521277067425201</v>
      </c>
    </row>
    <row r="1838" spans="1:6" x14ac:dyDescent="0.2">
      <c r="A1838" t="s">
        <v>2916</v>
      </c>
      <c r="B1838" t="s">
        <v>2909</v>
      </c>
      <c r="C1838" t="s">
        <v>653</v>
      </c>
      <c r="D1838">
        <v>0.19630645835761201</v>
      </c>
      <c r="E1838">
        <v>0.13164408603983199</v>
      </c>
      <c r="F1838">
        <v>0.27520579188402</v>
      </c>
    </row>
    <row r="1839" spans="1:6" x14ac:dyDescent="0.2">
      <c r="A1839" t="s">
        <v>2917</v>
      </c>
      <c r="B1839" t="s">
        <v>2911</v>
      </c>
      <c r="C1839" t="s">
        <v>653</v>
      </c>
      <c r="D1839">
        <v>0.23716855537082099</v>
      </c>
      <c r="E1839">
        <v>0.163109777984387</v>
      </c>
      <c r="F1839">
        <v>0.32438909182597903</v>
      </c>
    </row>
    <row r="1840" spans="1:6" x14ac:dyDescent="0.2">
      <c r="A1840" t="s">
        <v>2918</v>
      </c>
      <c r="B1840" t="s">
        <v>1434</v>
      </c>
      <c r="C1840" t="s">
        <v>1435</v>
      </c>
      <c r="D1840">
        <v>0.13913545869999999</v>
      </c>
      <c r="E1840">
        <v>9.4181122500000006E-2</v>
      </c>
      <c r="F1840">
        <v>0.19754553749999901</v>
      </c>
    </row>
    <row r="1841" spans="1:6" x14ac:dyDescent="0.2">
      <c r="A1841" t="s">
        <v>2919</v>
      </c>
      <c r="B1841" t="s">
        <v>1437</v>
      </c>
      <c r="C1841" t="s">
        <v>1438</v>
      </c>
      <c r="D1841">
        <v>1.7338896900000001E-2</v>
      </c>
      <c r="E1841">
        <v>8.8922649999999999E-3</v>
      </c>
      <c r="F1841">
        <v>3.0323860000000001E-2</v>
      </c>
    </row>
    <row r="1842" spans="1:6" x14ac:dyDescent="0.2">
      <c r="A1842" t="s">
        <v>2920</v>
      </c>
      <c r="B1842" t="s">
        <v>1437</v>
      </c>
      <c r="C1842" t="s">
        <v>1438</v>
      </c>
      <c r="D1842">
        <v>1.7338896900000001E-2</v>
      </c>
      <c r="E1842">
        <v>8.8922649999999999E-3</v>
      </c>
      <c r="F1842">
        <v>3.0323860000000001E-2</v>
      </c>
    </row>
    <row r="1843" spans="1:6" x14ac:dyDescent="0.2">
      <c r="A1843" t="s">
        <v>2921</v>
      </c>
      <c r="B1843" t="s">
        <v>741</v>
      </c>
      <c r="C1843" t="s">
        <v>742</v>
      </c>
      <c r="D1843">
        <v>7.5640454000000003E-3</v>
      </c>
      <c r="E1843">
        <v>3.3355575E-3</v>
      </c>
      <c r="F1843">
        <v>1.5242127499999999E-2</v>
      </c>
    </row>
    <row r="1844" spans="1:6" x14ac:dyDescent="0.2">
      <c r="A1844" t="s">
        <v>2922</v>
      </c>
      <c r="B1844" t="s">
        <v>912</v>
      </c>
      <c r="C1844" t="s">
        <v>913</v>
      </c>
      <c r="D1844">
        <v>1.1009249599999899E-2</v>
      </c>
      <c r="E1844">
        <v>5.3773199999999997E-3</v>
      </c>
      <c r="F1844">
        <v>2.08201875E-2</v>
      </c>
    </row>
    <row r="1845" spans="1:6" x14ac:dyDescent="0.2">
      <c r="A1845" t="s">
        <v>2923</v>
      </c>
      <c r="B1845" t="s">
        <v>912</v>
      </c>
      <c r="C1845" t="s">
        <v>913</v>
      </c>
      <c r="D1845">
        <v>1.1009249599999899E-2</v>
      </c>
      <c r="E1845">
        <v>5.3773199999999997E-3</v>
      </c>
      <c r="F1845">
        <v>2.08201875E-2</v>
      </c>
    </row>
    <row r="1846" spans="1:6" x14ac:dyDescent="0.2">
      <c r="A1846" t="s">
        <v>2924</v>
      </c>
      <c r="B1846" t="s">
        <v>711</v>
      </c>
      <c r="C1846" t="s">
        <v>712</v>
      </c>
      <c r="D1846">
        <v>1.10162523999999E-2</v>
      </c>
      <c r="E1846">
        <v>5.2397625E-3</v>
      </c>
      <c r="F1846">
        <v>2.06195424999999E-2</v>
      </c>
    </row>
    <row r="1847" spans="1:6" x14ac:dyDescent="0.2">
      <c r="A1847" t="s">
        <v>2925</v>
      </c>
      <c r="B1847" t="s">
        <v>711</v>
      </c>
      <c r="C1847" t="s">
        <v>712</v>
      </c>
      <c r="D1847">
        <v>1.10162523999999E-2</v>
      </c>
      <c r="E1847">
        <v>5.2397625E-3</v>
      </c>
      <c r="F1847">
        <v>2.06195424999999E-2</v>
      </c>
    </row>
    <row r="1848" spans="1:6" x14ac:dyDescent="0.2">
      <c r="A1848" t="s">
        <v>2926</v>
      </c>
      <c r="B1848" t="s">
        <v>703</v>
      </c>
      <c r="D1848">
        <v>0</v>
      </c>
      <c r="E1848">
        <v>0</v>
      </c>
      <c r="F1848">
        <v>0</v>
      </c>
    </row>
    <row r="1849" spans="1:6" x14ac:dyDescent="0.2">
      <c r="A1849" t="s">
        <v>2927</v>
      </c>
      <c r="B1849" t="s">
        <v>703</v>
      </c>
      <c r="D1849">
        <v>0</v>
      </c>
      <c r="E1849">
        <v>0</v>
      </c>
      <c r="F1849">
        <v>0</v>
      </c>
    </row>
    <row r="1850" spans="1:6" x14ac:dyDescent="0.2">
      <c r="A1850" t="s">
        <v>2928</v>
      </c>
      <c r="B1850" t="s">
        <v>2929</v>
      </c>
      <c r="C1850" t="s">
        <v>653</v>
      </c>
      <c r="D1850">
        <v>1.8484901415344899E-2</v>
      </c>
      <c r="E1850">
        <v>8.5920995887802509E-3</v>
      </c>
      <c r="F1850">
        <v>3.4904851056760597E-2</v>
      </c>
    </row>
    <row r="1851" spans="1:6" x14ac:dyDescent="0.2">
      <c r="A1851" t="s">
        <v>2930</v>
      </c>
      <c r="B1851" t="s">
        <v>2931</v>
      </c>
      <c r="C1851" t="s">
        <v>653</v>
      </c>
      <c r="D1851">
        <v>1.8477910314486E-2</v>
      </c>
      <c r="E1851">
        <v>8.6849664162132502E-3</v>
      </c>
      <c r="F1851">
        <v>3.5658509762799898E-2</v>
      </c>
    </row>
    <row r="1852" spans="1:6" x14ac:dyDescent="0.2">
      <c r="A1852" t="s">
        <v>2932</v>
      </c>
      <c r="B1852" t="s">
        <v>2933</v>
      </c>
      <c r="C1852" t="s">
        <v>653</v>
      </c>
      <c r="D1852">
        <v>4.6039753902256897E-2</v>
      </c>
      <c r="E1852">
        <v>2.2759026390854399E-2</v>
      </c>
      <c r="F1852">
        <v>8.3293454922348797E-2</v>
      </c>
    </row>
    <row r="1853" spans="1:6" x14ac:dyDescent="0.2">
      <c r="A1853" t="s">
        <v>2934</v>
      </c>
      <c r="B1853" t="s">
        <v>2935</v>
      </c>
      <c r="C1853" t="s">
        <v>653</v>
      </c>
      <c r="D1853">
        <v>3.54606599248787E-2</v>
      </c>
      <c r="E1853">
        <v>1.75680772933118E-2</v>
      </c>
      <c r="F1853">
        <v>6.4497959383915907E-2</v>
      </c>
    </row>
    <row r="1854" spans="1:6" x14ac:dyDescent="0.2">
      <c r="A1854" t="s">
        <v>2936</v>
      </c>
      <c r="B1854" t="s">
        <v>2937</v>
      </c>
      <c r="C1854" t="s">
        <v>653</v>
      </c>
      <c r="D1854">
        <v>2.8136733250891902E-2</v>
      </c>
      <c r="E1854">
        <v>1.4323834519690999E-2</v>
      </c>
      <c r="F1854">
        <v>4.9774762082948398E-2</v>
      </c>
    </row>
    <row r="1855" spans="1:6" x14ac:dyDescent="0.2">
      <c r="A1855" t="s">
        <v>2938</v>
      </c>
      <c r="B1855" t="s">
        <v>2937</v>
      </c>
      <c r="C1855" t="s">
        <v>653</v>
      </c>
      <c r="D1855">
        <v>2.8136733250891902E-2</v>
      </c>
      <c r="E1855">
        <v>1.4323834519690999E-2</v>
      </c>
      <c r="F1855">
        <v>4.9774762082948398E-2</v>
      </c>
    </row>
    <row r="1856" spans="1:6" x14ac:dyDescent="0.2">
      <c r="A1856" t="s">
        <v>2939</v>
      </c>
      <c r="B1856" t="s">
        <v>2940</v>
      </c>
      <c r="C1856" t="s">
        <v>653</v>
      </c>
      <c r="D1856">
        <v>2.9263345666900399E-2</v>
      </c>
      <c r="E1856">
        <v>1.39886332861212E-2</v>
      </c>
      <c r="F1856">
        <v>5.5303879522825498E-2</v>
      </c>
    </row>
    <row r="1857" spans="1:6" x14ac:dyDescent="0.2">
      <c r="A1857" t="s">
        <v>2941</v>
      </c>
      <c r="B1857" t="s">
        <v>2940</v>
      </c>
      <c r="C1857" t="s">
        <v>653</v>
      </c>
      <c r="D1857">
        <v>2.9263345666900399E-2</v>
      </c>
      <c r="E1857">
        <v>1.39886332861212E-2</v>
      </c>
      <c r="F1857">
        <v>5.5303879522825498E-2</v>
      </c>
    </row>
    <row r="1858" spans="1:6" x14ac:dyDescent="0.2">
      <c r="A1858" t="s">
        <v>2942</v>
      </c>
      <c r="B1858" t="s">
        <v>2943</v>
      </c>
      <c r="C1858" t="s">
        <v>653</v>
      </c>
      <c r="D1858">
        <v>2.8143833473810401E-2</v>
      </c>
      <c r="E1858">
        <v>1.4246256245695E-2</v>
      </c>
      <c r="F1858">
        <v>4.98313722598238E-2</v>
      </c>
    </row>
    <row r="1859" spans="1:6" x14ac:dyDescent="0.2">
      <c r="A1859" t="s">
        <v>2944</v>
      </c>
      <c r="B1859" t="s">
        <v>2943</v>
      </c>
      <c r="C1859" t="s">
        <v>653</v>
      </c>
      <c r="D1859">
        <v>2.8143833473810401E-2</v>
      </c>
      <c r="E1859">
        <v>1.4246256245695E-2</v>
      </c>
      <c r="F1859">
        <v>4.98313722598238E-2</v>
      </c>
    </row>
    <row r="1860" spans="1:6" x14ac:dyDescent="0.2">
      <c r="A1860" t="s">
        <v>2945</v>
      </c>
      <c r="B1860" t="s">
        <v>2946</v>
      </c>
      <c r="C1860" t="s">
        <v>653</v>
      </c>
      <c r="D1860">
        <v>3.8807808346663301E-2</v>
      </c>
      <c r="E1860">
        <v>1.95138918799658E-2</v>
      </c>
      <c r="F1860">
        <v>6.9503077377988401E-2</v>
      </c>
    </row>
    <row r="1861" spans="1:6" x14ac:dyDescent="0.2">
      <c r="A1861" t="s">
        <v>2947</v>
      </c>
      <c r="B1861" t="s">
        <v>2946</v>
      </c>
      <c r="C1861" t="s">
        <v>653</v>
      </c>
      <c r="D1861">
        <v>3.8807808346663301E-2</v>
      </c>
      <c r="E1861">
        <v>1.95138918799658E-2</v>
      </c>
      <c r="F1861">
        <v>6.9503077377988401E-2</v>
      </c>
    </row>
    <row r="1862" spans="1:6" x14ac:dyDescent="0.2">
      <c r="A1862" t="s">
        <v>2948</v>
      </c>
      <c r="B1862" t="s">
        <v>2949</v>
      </c>
      <c r="C1862" t="s">
        <v>653</v>
      </c>
      <c r="D1862">
        <v>2.4756133674714301E-2</v>
      </c>
      <c r="E1862">
        <v>1.20451643158809E-2</v>
      </c>
      <c r="F1862">
        <v>4.4875825411751398E-2</v>
      </c>
    </row>
    <row r="1863" spans="1:6" x14ac:dyDescent="0.2">
      <c r="A1863" t="s">
        <v>2950</v>
      </c>
      <c r="B1863" t="s">
        <v>2951</v>
      </c>
      <c r="C1863" t="s">
        <v>653</v>
      </c>
      <c r="D1863">
        <v>2.1888704112334699E-2</v>
      </c>
      <c r="E1863">
        <v>1.05938880502749E-2</v>
      </c>
      <c r="F1863">
        <v>4.0695593612373897E-2</v>
      </c>
    </row>
    <row r="1864" spans="1:6" x14ac:dyDescent="0.2">
      <c r="A1864" t="s">
        <v>2952</v>
      </c>
      <c r="B1864" t="s">
        <v>2951</v>
      </c>
      <c r="C1864" t="s">
        <v>653</v>
      </c>
      <c r="D1864">
        <v>2.1888704112334699E-2</v>
      </c>
      <c r="E1864">
        <v>1.05938880502749E-2</v>
      </c>
      <c r="F1864">
        <v>4.0695593612373897E-2</v>
      </c>
    </row>
    <row r="1865" spans="1:6" x14ac:dyDescent="0.2">
      <c r="A1865" t="s">
        <v>2953</v>
      </c>
      <c r="B1865" t="s">
        <v>2951</v>
      </c>
      <c r="C1865" t="s">
        <v>653</v>
      </c>
      <c r="D1865">
        <v>2.1888704112334699E-2</v>
      </c>
      <c r="E1865">
        <v>1.05938880502749E-2</v>
      </c>
      <c r="F1865">
        <v>4.0695593612373897E-2</v>
      </c>
    </row>
    <row r="1866" spans="1:6" x14ac:dyDescent="0.2">
      <c r="A1866" t="s">
        <v>2954</v>
      </c>
      <c r="B1866" t="s">
        <v>2955</v>
      </c>
      <c r="C1866" t="s">
        <v>653</v>
      </c>
      <c r="D1866">
        <v>0.148591155457033</v>
      </c>
      <c r="E1866">
        <v>0.101476397143359</v>
      </c>
      <c r="F1866">
        <v>0.205756231303791</v>
      </c>
    </row>
    <row r="1867" spans="1:6" x14ac:dyDescent="0.2">
      <c r="A1867" t="s">
        <v>2956</v>
      </c>
      <c r="B1867" t="s">
        <v>2957</v>
      </c>
      <c r="C1867" t="s">
        <v>653</v>
      </c>
      <c r="D1867">
        <v>0.154005382694268</v>
      </c>
      <c r="E1867">
        <v>0.105188569644943</v>
      </c>
      <c r="F1867">
        <v>0.21368949813923499</v>
      </c>
    </row>
    <row r="1868" spans="1:6" x14ac:dyDescent="0.2">
      <c r="A1868" t="s">
        <v>2958</v>
      </c>
      <c r="B1868" t="s">
        <v>2959</v>
      </c>
      <c r="C1868" t="s">
        <v>653</v>
      </c>
      <c r="D1868">
        <v>0.15792260134146999</v>
      </c>
      <c r="E1868">
        <v>0.108002855634663</v>
      </c>
      <c r="F1868">
        <v>0.21778348370275599</v>
      </c>
    </row>
    <row r="1869" spans="1:6" x14ac:dyDescent="0.2">
      <c r="A1869" t="s">
        <v>2960</v>
      </c>
      <c r="B1869" t="s">
        <v>2959</v>
      </c>
      <c r="C1869" t="s">
        <v>653</v>
      </c>
      <c r="D1869">
        <v>0.15792260134146999</v>
      </c>
      <c r="E1869">
        <v>0.108002855634663</v>
      </c>
      <c r="F1869">
        <v>0.21778348370275599</v>
      </c>
    </row>
    <row r="1870" spans="1:6" x14ac:dyDescent="0.2">
      <c r="A1870" t="s">
        <v>2961</v>
      </c>
      <c r="B1870" t="s">
        <v>2962</v>
      </c>
      <c r="C1870" t="s">
        <v>653</v>
      </c>
      <c r="D1870">
        <v>0.163273136555387</v>
      </c>
      <c r="E1870">
        <v>0.111748871548128</v>
      </c>
      <c r="F1870">
        <v>0.22499965297971999</v>
      </c>
    </row>
    <row r="1871" spans="1:6" x14ac:dyDescent="0.2">
      <c r="A1871" t="s">
        <v>2963</v>
      </c>
      <c r="B1871" t="s">
        <v>2964</v>
      </c>
      <c r="C1871" t="s">
        <v>653</v>
      </c>
      <c r="D1871">
        <v>0.17243355709298</v>
      </c>
      <c r="E1871">
        <v>0.117962521540225</v>
      </c>
      <c r="F1871">
        <v>0.23890134002306801</v>
      </c>
    </row>
    <row r="1872" spans="1:6" x14ac:dyDescent="0.2">
      <c r="A1872" t="s">
        <v>2965</v>
      </c>
      <c r="B1872" t="s">
        <v>945</v>
      </c>
      <c r="C1872" t="s">
        <v>946</v>
      </c>
      <c r="D1872">
        <v>1.9316720799999899E-2</v>
      </c>
      <c r="E1872">
        <v>1.06353925E-2</v>
      </c>
      <c r="F1872">
        <v>3.2722879999999899E-2</v>
      </c>
    </row>
    <row r="1873" spans="1:6" x14ac:dyDescent="0.2">
      <c r="A1873" t="s">
        <v>2966</v>
      </c>
      <c r="B1873" t="s">
        <v>1045</v>
      </c>
      <c r="C1873" t="s">
        <v>1046</v>
      </c>
      <c r="D1873">
        <v>4.25405801999999E-2</v>
      </c>
      <c r="E1873">
        <v>2.5978245000000001E-2</v>
      </c>
      <c r="F1873">
        <v>6.4453929999999895E-2</v>
      </c>
    </row>
    <row r="1874" spans="1:6" x14ac:dyDescent="0.2">
      <c r="A1874" t="s">
        <v>2967</v>
      </c>
      <c r="B1874" t="s">
        <v>912</v>
      </c>
      <c r="C1874" t="s">
        <v>913</v>
      </c>
      <c r="D1874">
        <v>1.1009249599999899E-2</v>
      </c>
      <c r="E1874">
        <v>5.3773199999999997E-3</v>
      </c>
      <c r="F1874">
        <v>2.08201875E-2</v>
      </c>
    </row>
    <row r="1875" spans="1:6" x14ac:dyDescent="0.2">
      <c r="A1875" t="s">
        <v>2968</v>
      </c>
      <c r="B1875" t="s">
        <v>711</v>
      </c>
      <c r="C1875" t="s">
        <v>712</v>
      </c>
      <c r="D1875">
        <v>1.10162523999999E-2</v>
      </c>
      <c r="E1875">
        <v>5.2397625E-3</v>
      </c>
      <c r="F1875">
        <v>2.06195424999999E-2</v>
      </c>
    </row>
    <row r="1876" spans="1:6" x14ac:dyDescent="0.2">
      <c r="A1876" t="s">
        <v>2969</v>
      </c>
      <c r="B1876" t="s">
        <v>703</v>
      </c>
      <c r="D1876">
        <v>0</v>
      </c>
      <c r="E1876">
        <v>0</v>
      </c>
      <c r="F1876">
        <v>0</v>
      </c>
    </row>
    <row r="1877" spans="1:6" x14ac:dyDescent="0.2">
      <c r="A1877" t="s">
        <v>2970</v>
      </c>
      <c r="B1877" t="s">
        <v>2971</v>
      </c>
      <c r="C1877" t="s">
        <v>653</v>
      </c>
      <c r="D1877">
        <v>3.7209848480169602E-2</v>
      </c>
      <c r="E1877">
        <v>2.04662158557175E-2</v>
      </c>
      <c r="F1877">
        <v>6.1606793495774803E-2</v>
      </c>
    </row>
    <row r="1878" spans="1:6" x14ac:dyDescent="0.2">
      <c r="A1878" t="s">
        <v>2972</v>
      </c>
      <c r="B1878" t="s">
        <v>2973</v>
      </c>
      <c r="C1878" t="s">
        <v>653</v>
      </c>
      <c r="D1878">
        <v>3.00917884439292E-2</v>
      </c>
      <c r="E1878">
        <v>1.5857545321644899E-2</v>
      </c>
      <c r="F1878">
        <v>5.2720368476310099E-2</v>
      </c>
    </row>
    <row r="1879" spans="1:6" x14ac:dyDescent="0.2">
      <c r="A1879" t="s">
        <v>2974</v>
      </c>
      <c r="B1879" t="s">
        <v>2975</v>
      </c>
      <c r="C1879" t="s">
        <v>653</v>
      </c>
      <c r="D1879">
        <v>5.3050500765363003E-2</v>
      </c>
      <c r="E1879">
        <v>3.1823912786524897E-2</v>
      </c>
      <c r="F1879">
        <v>8.2531572722242597E-2</v>
      </c>
    </row>
    <row r="1880" spans="1:6" x14ac:dyDescent="0.2">
      <c r="A1880" t="s">
        <v>2976</v>
      </c>
      <c r="B1880" t="s">
        <v>2977</v>
      </c>
      <c r="C1880" t="s">
        <v>653</v>
      </c>
      <c r="D1880">
        <v>4.52857361547667E-2</v>
      </c>
      <c r="E1880">
        <v>2.58497182551546E-2</v>
      </c>
      <c r="F1880">
        <v>7.3149785701498202E-2</v>
      </c>
    </row>
    <row r="1881" spans="1:6" x14ac:dyDescent="0.2">
      <c r="A1881" t="s">
        <v>2978</v>
      </c>
      <c r="B1881" t="s">
        <v>2979</v>
      </c>
      <c r="C1881" t="s">
        <v>653</v>
      </c>
      <c r="D1881">
        <v>6.7870201931875401E-2</v>
      </c>
      <c r="E1881">
        <v>4.1050799938620902E-2</v>
      </c>
      <c r="F1881">
        <v>0.102433429219145</v>
      </c>
    </row>
    <row r="1882" spans="1:6" x14ac:dyDescent="0.2">
      <c r="A1882" t="s">
        <v>2980</v>
      </c>
      <c r="B1882" t="s">
        <v>2981</v>
      </c>
      <c r="C1882" t="s">
        <v>653</v>
      </c>
      <c r="D1882">
        <v>6.0988329580381799E-2</v>
      </c>
      <c r="E1882">
        <v>3.6900445555910003E-2</v>
      </c>
      <c r="F1882">
        <v>9.3060970575609303E-2</v>
      </c>
    </row>
    <row r="1883" spans="1:6" x14ac:dyDescent="0.2">
      <c r="A1883" t="s">
        <v>2982</v>
      </c>
      <c r="B1883" t="s">
        <v>2983</v>
      </c>
      <c r="C1883" t="s">
        <v>653</v>
      </c>
      <c r="D1883">
        <v>5.5751152724285602E-2</v>
      </c>
      <c r="E1883">
        <v>3.0759416515388199E-2</v>
      </c>
      <c r="F1883">
        <v>9.2204692608138697E-2</v>
      </c>
    </row>
    <row r="1884" spans="1:6" x14ac:dyDescent="0.2">
      <c r="A1884" t="s">
        <v>2984</v>
      </c>
      <c r="B1884" t="s">
        <v>2983</v>
      </c>
      <c r="C1884" t="s">
        <v>653</v>
      </c>
      <c r="D1884">
        <v>5.5751152724285602E-2</v>
      </c>
      <c r="E1884">
        <v>3.0759416515388199E-2</v>
      </c>
      <c r="F1884">
        <v>9.2204692608138697E-2</v>
      </c>
    </row>
    <row r="1885" spans="1:6" x14ac:dyDescent="0.2">
      <c r="A1885" t="s">
        <v>2985</v>
      </c>
      <c r="B1885" t="s">
        <v>2986</v>
      </c>
      <c r="C1885" t="s">
        <v>653</v>
      </c>
      <c r="D1885">
        <v>7.8078377739130705E-2</v>
      </c>
      <c r="E1885">
        <v>4.6134944790339E-2</v>
      </c>
      <c r="F1885">
        <v>0.12007477021843201</v>
      </c>
    </row>
    <row r="1886" spans="1:6" x14ac:dyDescent="0.2">
      <c r="A1886" t="s">
        <v>2987</v>
      </c>
      <c r="B1886" t="s">
        <v>2988</v>
      </c>
      <c r="C1886" t="s">
        <v>653</v>
      </c>
      <c r="D1886">
        <v>8.5795476160622303E-2</v>
      </c>
      <c r="E1886">
        <v>5.1550332344108399E-2</v>
      </c>
      <c r="F1886">
        <v>0.130846501232806</v>
      </c>
    </row>
    <row r="1887" spans="1:6" x14ac:dyDescent="0.2">
      <c r="A1887" t="s">
        <v>2989</v>
      </c>
      <c r="B1887" t="s">
        <v>2990</v>
      </c>
      <c r="C1887" t="s">
        <v>653</v>
      </c>
      <c r="D1887">
        <v>9.5787625310660401E-2</v>
      </c>
      <c r="E1887">
        <v>5.7077332496966303E-2</v>
      </c>
      <c r="F1887">
        <v>0.14762313690199699</v>
      </c>
    </row>
    <row r="1888" spans="1:6" x14ac:dyDescent="0.2">
      <c r="A1888" t="s">
        <v>2991</v>
      </c>
      <c r="B1888" t="s">
        <v>945</v>
      </c>
      <c r="C1888" t="s">
        <v>946</v>
      </c>
      <c r="D1888">
        <v>1.9316720799999899E-2</v>
      </c>
      <c r="E1888">
        <v>1.06353925E-2</v>
      </c>
      <c r="F1888">
        <v>3.2722879999999899E-2</v>
      </c>
    </row>
    <row r="1889" spans="1:6" x14ac:dyDescent="0.2">
      <c r="A1889" t="s">
        <v>2992</v>
      </c>
      <c r="B1889" t="s">
        <v>912</v>
      </c>
      <c r="C1889" t="s">
        <v>913</v>
      </c>
      <c r="D1889">
        <v>1.1009249599999899E-2</v>
      </c>
      <c r="E1889">
        <v>5.3773199999999997E-3</v>
      </c>
      <c r="F1889">
        <v>2.08201875E-2</v>
      </c>
    </row>
    <row r="1890" spans="1:6" x14ac:dyDescent="0.2">
      <c r="A1890" t="s">
        <v>2993</v>
      </c>
      <c r="B1890" t="s">
        <v>747</v>
      </c>
      <c r="C1890" t="s">
        <v>748</v>
      </c>
      <c r="D1890">
        <v>0.114339967</v>
      </c>
      <c r="E1890">
        <v>7.7947084999999999E-2</v>
      </c>
      <c r="F1890">
        <v>0.15867681249999999</v>
      </c>
    </row>
    <row r="1891" spans="1:6" x14ac:dyDescent="0.2">
      <c r="A1891" t="s">
        <v>2994</v>
      </c>
      <c r="B1891" t="s">
        <v>703</v>
      </c>
      <c r="D1891">
        <v>0</v>
      </c>
      <c r="E1891">
        <v>0</v>
      </c>
      <c r="F1891">
        <v>0</v>
      </c>
    </row>
    <row r="1892" spans="1:6" x14ac:dyDescent="0.2">
      <c r="A1892" t="s">
        <v>2995</v>
      </c>
      <c r="B1892" t="s">
        <v>2973</v>
      </c>
      <c r="C1892" t="s">
        <v>653</v>
      </c>
      <c r="D1892">
        <v>3.00917884439292E-2</v>
      </c>
      <c r="E1892">
        <v>1.5857545321644899E-2</v>
      </c>
      <c r="F1892">
        <v>5.2720368476310099E-2</v>
      </c>
    </row>
    <row r="1893" spans="1:6" x14ac:dyDescent="0.2">
      <c r="A1893" t="s">
        <v>2996</v>
      </c>
      <c r="B1893" t="s">
        <v>2973</v>
      </c>
      <c r="C1893" t="s">
        <v>653</v>
      </c>
      <c r="D1893">
        <v>3.00917884439292E-2</v>
      </c>
      <c r="E1893">
        <v>1.5857545321644899E-2</v>
      </c>
      <c r="F1893">
        <v>5.2720368476310099E-2</v>
      </c>
    </row>
    <row r="1894" spans="1:6" x14ac:dyDescent="0.2">
      <c r="A1894" t="s">
        <v>2997</v>
      </c>
      <c r="B1894" t="s">
        <v>2998</v>
      </c>
      <c r="C1894" t="s">
        <v>653</v>
      </c>
      <c r="D1894">
        <v>0.140897072060752</v>
      </c>
      <c r="E1894">
        <v>9.62937995895735E-2</v>
      </c>
      <c r="F1894">
        <v>0.19796282558963799</v>
      </c>
    </row>
    <row r="1895" spans="1:6" x14ac:dyDescent="0.2">
      <c r="A1895" t="s">
        <v>2999</v>
      </c>
      <c r="B1895" t="s">
        <v>3000</v>
      </c>
      <c r="C1895" t="s">
        <v>653</v>
      </c>
      <c r="D1895">
        <v>0.124057408275088</v>
      </c>
      <c r="E1895">
        <v>8.4962164337967105E-2</v>
      </c>
      <c r="F1895">
        <v>0.17117638774601501</v>
      </c>
    </row>
    <row r="1896" spans="1:6" x14ac:dyDescent="0.2">
      <c r="A1896" t="s">
        <v>3001</v>
      </c>
      <c r="B1896" t="s">
        <v>912</v>
      </c>
      <c r="C1896" t="s">
        <v>913</v>
      </c>
      <c r="D1896">
        <v>1.1009249599999899E-2</v>
      </c>
      <c r="E1896">
        <v>5.3773199999999997E-3</v>
      </c>
      <c r="F1896">
        <v>2.08201875E-2</v>
      </c>
    </row>
    <row r="1897" spans="1:6" x14ac:dyDescent="0.2">
      <c r="A1897" t="s">
        <v>3002</v>
      </c>
      <c r="B1897" t="s">
        <v>747</v>
      </c>
      <c r="C1897" t="s">
        <v>748</v>
      </c>
      <c r="D1897">
        <v>0.114339967</v>
      </c>
      <c r="E1897">
        <v>7.7947084999999999E-2</v>
      </c>
      <c r="F1897">
        <v>0.15867681249999999</v>
      </c>
    </row>
    <row r="1898" spans="1:6" x14ac:dyDescent="0.2">
      <c r="A1898" t="s">
        <v>3003</v>
      </c>
      <c r="B1898" t="s">
        <v>711</v>
      </c>
      <c r="C1898" t="s">
        <v>712</v>
      </c>
      <c r="D1898">
        <v>1.10162523999999E-2</v>
      </c>
      <c r="E1898">
        <v>5.2397625E-3</v>
      </c>
      <c r="F1898">
        <v>2.06195424999999E-2</v>
      </c>
    </row>
    <row r="1899" spans="1:6" x14ac:dyDescent="0.2">
      <c r="A1899" t="s">
        <v>3004</v>
      </c>
      <c r="B1899" t="s">
        <v>703</v>
      </c>
      <c r="D1899">
        <v>0</v>
      </c>
      <c r="E1899">
        <v>0</v>
      </c>
      <c r="F1899">
        <v>0</v>
      </c>
    </row>
    <row r="1900" spans="1:6" x14ac:dyDescent="0.2">
      <c r="A1900" t="s">
        <v>3005</v>
      </c>
      <c r="B1900" t="s">
        <v>3006</v>
      </c>
      <c r="C1900" t="s">
        <v>653</v>
      </c>
      <c r="D1900">
        <v>0.124064295017261</v>
      </c>
      <c r="E1900">
        <v>8.4691257950713597E-2</v>
      </c>
      <c r="F1900">
        <v>0.172262598155771</v>
      </c>
    </row>
    <row r="1901" spans="1:6" x14ac:dyDescent="0.2">
      <c r="A1901" t="s">
        <v>3007</v>
      </c>
      <c r="B1901" t="s">
        <v>2951</v>
      </c>
      <c r="C1901" t="s">
        <v>653</v>
      </c>
      <c r="D1901">
        <v>2.1888704112334699E-2</v>
      </c>
      <c r="E1901">
        <v>1.05938880502749E-2</v>
      </c>
      <c r="F1901">
        <v>4.0695593612373897E-2</v>
      </c>
    </row>
    <row r="1902" spans="1:6" x14ac:dyDescent="0.2">
      <c r="A1902" t="s">
        <v>3008</v>
      </c>
      <c r="B1902" t="s">
        <v>3009</v>
      </c>
      <c r="C1902" t="s">
        <v>653</v>
      </c>
      <c r="D1902">
        <v>0.20595999608454599</v>
      </c>
      <c r="E1902">
        <v>0.142701020508159</v>
      </c>
      <c r="F1902">
        <v>0.28313895708152897</v>
      </c>
    </row>
    <row r="1903" spans="1:6" x14ac:dyDescent="0.2">
      <c r="A1903" t="s">
        <v>3010</v>
      </c>
      <c r="B1903" t="s">
        <v>3000</v>
      </c>
      <c r="C1903" t="s">
        <v>653</v>
      </c>
      <c r="D1903">
        <v>0.124057408275088</v>
      </c>
      <c r="E1903">
        <v>8.4962164337967105E-2</v>
      </c>
      <c r="F1903">
        <v>0.17117638774601501</v>
      </c>
    </row>
    <row r="1904" spans="1:6" x14ac:dyDescent="0.2">
      <c r="A1904" t="s">
        <v>3011</v>
      </c>
      <c r="B1904" t="s">
        <v>912</v>
      </c>
      <c r="C1904" t="s">
        <v>913</v>
      </c>
      <c r="D1904">
        <v>1.1009249599999899E-2</v>
      </c>
      <c r="E1904">
        <v>5.3773199999999997E-3</v>
      </c>
      <c r="F1904">
        <v>2.08201875E-2</v>
      </c>
    </row>
    <row r="1905" spans="1:6" x14ac:dyDescent="0.2">
      <c r="A1905" t="s">
        <v>3012</v>
      </c>
      <c r="B1905" t="s">
        <v>747</v>
      </c>
      <c r="C1905" t="s">
        <v>748</v>
      </c>
      <c r="D1905">
        <v>0.114339967</v>
      </c>
      <c r="E1905">
        <v>7.7947084999999999E-2</v>
      </c>
      <c r="F1905">
        <v>0.15867681249999999</v>
      </c>
    </row>
    <row r="1906" spans="1:6" x14ac:dyDescent="0.2">
      <c r="A1906" t="s">
        <v>3013</v>
      </c>
      <c r="B1906" t="s">
        <v>703</v>
      </c>
      <c r="D1906">
        <v>0</v>
      </c>
      <c r="E1906">
        <v>0</v>
      </c>
      <c r="F1906">
        <v>0</v>
      </c>
    </row>
    <row r="1907" spans="1:6" x14ac:dyDescent="0.2">
      <c r="A1907" t="s">
        <v>3014</v>
      </c>
      <c r="B1907" t="s">
        <v>3000</v>
      </c>
      <c r="C1907" t="s">
        <v>653</v>
      </c>
      <c r="D1907">
        <v>0.124057408275088</v>
      </c>
      <c r="E1907">
        <v>8.4962164337967105E-2</v>
      </c>
      <c r="F1907">
        <v>0.17117638774601501</v>
      </c>
    </row>
    <row r="1908" spans="1:6" x14ac:dyDescent="0.2">
      <c r="A1908" t="s">
        <v>3015</v>
      </c>
      <c r="B1908" t="s">
        <v>769</v>
      </c>
    </row>
    <row r="1909" spans="1:6" x14ac:dyDescent="0.2">
      <c r="A1909" t="s">
        <v>3016</v>
      </c>
      <c r="B1909" t="s">
        <v>791</v>
      </c>
      <c r="C1909" t="s">
        <v>792</v>
      </c>
      <c r="D1909">
        <v>9.5578865999999991E-3</v>
      </c>
      <c r="E1909">
        <v>4.1924800000000002E-3</v>
      </c>
      <c r="F1909">
        <v>1.8805200000000001E-2</v>
      </c>
    </row>
    <row r="1910" spans="1:6" x14ac:dyDescent="0.2">
      <c r="A1910" t="s">
        <v>3017</v>
      </c>
      <c r="B1910" t="s">
        <v>794</v>
      </c>
      <c r="C1910" t="s">
        <v>795</v>
      </c>
      <c r="D1910">
        <v>2.65751711999999E-2</v>
      </c>
      <c r="E1910">
        <v>1.52951175E-2</v>
      </c>
      <c r="F1910">
        <v>4.22289125E-2</v>
      </c>
    </row>
    <row r="1911" spans="1:6" x14ac:dyDescent="0.2">
      <c r="A1911" t="s">
        <v>3018</v>
      </c>
      <c r="B1911" t="s">
        <v>1050</v>
      </c>
      <c r="C1911" t="s">
        <v>1051</v>
      </c>
      <c r="D1911">
        <v>0.15839743489999999</v>
      </c>
      <c r="E1911">
        <v>0.1047161475</v>
      </c>
      <c r="F1911">
        <v>0.226632689999999</v>
      </c>
    </row>
    <row r="1912" spans="1:6" x14ac:dyDescent="0.2">
      <c r="A1912" t="s">
        <v>3019</v>
      </c>
      <c r="B1912" t="s">
        <v>1053</v>
      </c>
      <c r="C1912" t="s">
        <v>1054</v>
      </c>
      <c r="D1912">
        <v>0.2039397084</v>
      </c>
      <c r="E1912">
        <v>0.13448814749999999</v>
      </c>
      <c r="F1912">
        <v>0.28766184750000001</v>
      </c>
    </row>
    <row r="1913" spans="1:6" x14ac:dyDescent="0.2">
      <c r="A1913" t="s">
        <v>3020</v>
      </c>
      <c r="B1913" t="s">
        <v>1056</v>
      </c>
      <c r="C1913" t="s">
        <v>1057</v>
      </c>
      <c r="D1913">
        <v>0.21483467019999899</v>
      </c>
      <c r="E1913">
        <v>0.14405489499999999</v>
      </c>
      <c r="F1913">
        <v>0.30661874249999999</v>
      </c>
    </row>
    <row r="1914" spans="1:6" x14ac:dyDescent="0.2">
      <c r="A1914" t="s">
        <v>3021</v>
      </c>
      <c r="B1914" t="s">
        <v>797</v>
      </c>
      <c r="C1914" t="s">
        <v>798</v>
      </c>
      <c r="D1914">
        <v>2.1431429099999899E-2</v>
      </c>
      <c r="E1914">
        <v>1.1755784999999999E-2</v>
      </c>
      <c r="F1914">
        <v>3.6158027499999898E-2</v>
      </c>
    </row>
    <row r="1915" spans="1:6" x14ac:dyDescent="0.2">
      <c r="A1915" t="s">
        <v>3022</v>
      </c>
      <c r="B1915" t="s">
        <v>800</v>
      </c>
      <c r="C1915" t="s">
        <v>801</v>
      </c>
      <c r="D1915">
        <v>7.3963035999999899E-2</v>
      </c>
      <c r="E1915">
        <v>4.8560812499999897E-2</v>
      </c>
      <c r="F1915">
        <v>0.1065795325</v>
      </c>
    </row>
    <row r="1916" spans="1:6" x14ac:dyDescent="0.2">
      <c r="A1916" t="s">
        <v>3023</v>
      </c>
      <c r="B1916" t="s">
        <v>1061</v>
      </c>
      <c r="C1916" t="s">
        <v>1062</v>
      </c>
      <c r="D1916">
        <v>0.26086708250000001</v>
      </c>
      <c r="E1916">
        <v>0.17492123749999999</v>
      </c>
      <c r="F1916">
        <v>0.3600558425</v>
      </c>
    </row>
    <row r="1917" spans="1:6" x14ac:dyDescent="0.2">
      <c r="A1917" t="s">
        <v>3024</v>
      </c>
      <c r="B1917" t="s">
        <v>1064</v>
      </c>
      <c r="C1917" t="s">
        <v>1065</v>
      </c>
      <c r="D1917">
        <v>0.27732069809999998</v>
      </c>
      <c r="E1917">
        <v>0.18206008500000001</v>
      </c>
      <c r="F1917">
        <v>0.38717259249999902</v>
      </c>
    </row>
    <row r="1918" spans="1:6" x14ac:dyDescent="0.2">
      <c r="A1918" t="s">
        <v>3025</v>
      </c>
      <c r="B1918" t="s">
        <v>1067</v>
      </c>
      <c r="C1918" t="s">
        <v>1068</v>
      </c>
      <c r="D1918">
        <v>0.31580135729999997</v>
      </c>
      <c r="E1918">
        <v>0.2122617</v>
      </c>
      <c r="F1918">
        <v>0.43527153749999897</v>
      </c>
    </row>
    <row r="1919" spans="1:6" x14ac:dyDescent="0.2">
      <c r="A1919" t="s">
        <v>3026</v>
      </c>
      <c r="B1919" t="s">
        <v>1083</v>
      </c>
      <c r="C1919" t="s">
        <v>1084</v>
      </c>
      <c r="D1919">
        <v>9.2486303049999996E-2</v>
      </c>
      <c r="E1919">
        <v>6.3713094999999997E-2</v>
      </c>
      <c r="F1919">
        <v>0.12911613750000001</v>
      </c>
    </row>
    <row r="1920" spans="1:6" x14ac:dyDescent="0.2">
      <c r="A1920" t="s">
        <v>3027</v>
      </c>
      <c r="B1920" t="s">
        <v>1086</v>
      </c>
      <c r="C1920" t="s">
        <v>1084</v>
      </c>
      <c r="D1920">
        <v>0.16741505925</v>
      </c>
      <c r="E1920">
        <v>0.11486844874999901</v>
      </c>
      <c r="F1920">
        <v>0.23069741124999901</v>
      </c>
    </row>
    <row r="1921" spans="1:6" x14ac:dyDescent="0.2">
      <c r="A1921" t="s">
        <v>3028</v>
      </c>
      <c r="B1921" t="s">
        <v>719</v>
      </c>
      <c r="C1921" t="s">
        <v>720</v>
      </c>
      <c r="D1921">
        <v>5.7864971999999903E-3</v>
      </c>
      <c r="E1921">
        <v>2.29985E-3</v>
      </c>
      <c r="F1921">
        <v>1.2109072499999899E-2</v>
      </c>
    </row>
    <row r="1922" spans="1:6" x14ac:dyDescent="0.2">
      <c r="A1922" t="s">
        <v>3029</v>
      </c>
      <c r="B1922" t="s">
        <v>705</v>
      </c>
      <c r="C1922" t="s">
        <v>706</v>
      </c>
      <c r="D1922">
        <v>5.0594945799999902E-2</v>
      </c>
      <c r="E1922">
        <v>3.2378222499999998E-2</v>
      </c>
      <c r="F1922">
        <v>7.4050449999999907E-2</v>
      </c>
    </row>
    <row r="1923" spans="1:6" x14ac:dyDescent="0.2">
      <c r="A1923" t="s">
        <v>3030</v>
      </c>
      <c r="B1923" t="s">
        <v>912</v>
      </c>
      <c r="C1923" t="s">
        <v>913</v>
      </c>
      <c r="D1923">
        <v>1.1009249599999899E-2</v>
      </c>
      <c r="E1923">
        <v>5.3773199999999997E-3</v>
      </c>
      <c r="F1923">
        <v>2.08201875E-2</v>
      </c>
    </row>
    <row r="1924" spans="1:6" x14ac:dyDescent="0.2">
      <c r="A1924" t="s">
        <v>3031</v>
      </c>
      <c r="B1924" t="s">
        <v>747</v>
      </c>
      <c r="C1924" t="s">
        <v>748</v>
      </c>
      <c r="D1924">
        <v>0.114339967</v>
      </c>
      <c r="E1924">
        <v>7.7947084999999999E-2</v>
      </c>
      <c r="F1924">
        <v>0.15867681249999999</v>
      </c>
    </row>
    <row r="1925" spans="1:6" x14ac:dyDescent="0.2">
      <c r="A1925" t="s">
        <v>3032</v>
      </c>
      <c r="B1925" t="s">
        <v>750</v>
      </c>
      <c r="C1925" t="s">
        <v>751</v>
      </c>
      <c r="D1925">
        <v>0.32424655079999898</v>
      </c>
      <c r="E1925">
        <v>0.21972131750000001</v>
      </c>
      <c r="F1925">
        <v>0.44180473999999997</v>
      </c>
    </row>
    <row r="1926" spans="1:6" x14ac:dyDescent="0.2">
      <c r="A1926" t="s">
        <v>3033</v>
      </c>
      <c r="B1926" t="s">
        <v>3034</v>
      </c>
      <c r="C1926" t="s">
        <v>3035</v>
      </c>
      <c r="D1926">
        <v>6.7261807100000001E-2</v>
      </c>
      <c r="E1926">
        <v>4.2893342500000001E-2</v>
      </c>
      <c r="F1926">
        <v>9.7440437499999893E-2</v>
      </c>
    </row>
    <row r="1927" spans="1:6" x14ac:dyDescent="0.2">
      <c r="A1927" t="s">
        <v>3036</v>
      </c>
      <c r="B1927" t="s">
        <v>703</v>
      </c>
      <c r="D1927">
        <v>0</v>
      </c>
      <c r="E1927">
        <v>0</v>
      </c>
      <c r="F1927">
        <v>0</v>
      </c>
    </row>
    <row r="1928" spans="1:6" x14ac:dyDescent="0.2">
      <c r="A1928" t="s">
        <v>3037</v>
      </c>
      <c r="B1928" t="s">
        <v>741</v>
      </c>
      <c r="C1928" t="s">
        <v>742</v>
      </c>
      <c r="D1928">
        <v>7.5640454000000003E-3</v>
      </c>
      <c r="E1928">
        <v>3.3355575E-3</v>
      </c>
      <c r="F1928">
        <v>1.5242127499999999E-2</v>
      </c>
    </row>
    <row r="1929" spans="1:6" x14ac:dyDescent="0.2">
      <c r="A1929" t="s">
        <v>3038</v>
      </c>
      <c r="B1929" t="s">
        <v>744</v>
      </c>
      <c r="C1929" t="s">
        <v>745</v>
      </c>
      <c r="D1929">
        <v>5.14515299999999E-3</v>
      </c>
      <c r="E1929">
        <v>2.0020575E-3</v>
      </c>
      <c r="F1929">
        <v>1.10252224999999E-2</v>
      </c>
    </row>
    <row r="1930" spans="1:6" x14ac:dyDescent="0.2">
      <c r="A1930" t="s">
        <v>3039</v>
      </c>
      <c r="B1930" t="s">
        <v>769</v>
      </c>
    </row>
    <row r="1931" spans="1:6" x14ac:dyDescent="0.2">
      <c r="A1931" t="s">
        <v>3040</v>
      </c>
      <c r="B1931" t="s">
        <v>912</v>
      </c>
      <c r="C1931" t="s">
        <v>913</v>
      </c>
      <c r="D1931">
        <v>1.1009249599999899E-2</v>
      </c>
      <c r="E1931">
        <v>5.3773199999999997E-3</v>
      </c>
      <c r="F1931">
        <v>2.08201875E-2</v>
      </c>
    </row>
    <row r="1932" spans="1:6" x14ac:dyDescent="0.2">
      <c r="A1932" t="s">
        <v>3041</v>
      </c>
      <c r="B1932" t="s">
        <v>703</v>
      </c>
      <c r="D1932">
        <v>0</v>
      </c>
      <c r="E1932">
        <v>0</v>
      </c>
      <c r="F1932">
        <v>0</v>
      </c>
    </row>
    <row r="1933" spans="1:6" x14ac:dyDescent="0.2">
      <c r="A1933" t="s">
        <v>3042</v>
      </c>
      <c r="B1933" t="s">
        <v>1839</v>
      </c>
      <c r="C1933" t="s">
        <v>653</v>
      </c>
      <c r="D1933">
        <v>1.46575536844582E-2</v>
      </c>
      <c r="E1933">
        <v>6.70196239348E-3</v>
      </c>
      <c r="F1933">
        <v>2.8588441675068701E-2</v>
      </c>
    </row>
    <row r="1934" spans="1:6" x14ac:dyDescent="0.2">
      <c r="A1934" t="s">
        <v>3043</v>
      </c>
      <c r="B1934" t="s">
        <v>1841</v>
      </c>
      <c r="C1934" t="s">
        <v>653</v>
      </c>
      <c r="D1934">
        <v>6.19509455734975E-2</v>
      </c>
      <c r="E1934">
        <v>3.9713054885106298E-2</v>
      </c>
      <c r="F1934">
        <v>9.2922810686573695E-2</v>
      </c>
    </row>
    <row r="1935" spans="1:6" x14ac:dyDescent="0.2">
      <c r="A1935" t="s">
        <v>3044</v>
      </c>
      <c r="B1935" t="s">
        <v>1843</v>
      </c>
      <c r="C1935" t="s">
        <v>653</v>
      </c>
      <c r="D1935">
        <v>0.158110748547652</v>
      </c>
      <c r="E1935">
        <v>0.108503234804197</v>
      </c>
      <c r="F1935">
        <v>0.21877446999102099</v>
      </c>
    </row>
    <row r="1936" spans="1:6" x14ac:dyDescent="0.2">
      <c r="A1936" t="s">
        <v>3045</v>
      </c>
      <c r="B1936" t="s">
        <v>741</v>
      </c>
      <c r="C1936" t="s">
        <v>742</v>
      </c>
      <c r="D1936">
        <v>7.5640454000000003E-3</v>
      </c>
      <c r="E1936">
        <v>3.3355575E-3</v>
      </c>
      <c r="F1936">
        <v>1.5242127499999999E-2</v>
      </c>
    </row>
    <row r="1937" spans="1:6" x14ac:dyDescent="0.2">
      <c r="A1937" t="s">
        <v>3046</v>
      </c>
      <c r="B1937" t="s">
        <v>3047</v>
      </c>
      <c r="C1937" t="s">
        <v>653</v>
      </c>
      <c r="D1937">
        <v>1.6095390006772702E-2</v>
      </c>
      <c r="E1937">
        <v>7.2350355104499001E-3</v>
      </c>
      <c r="F1937">
        <v>3.0990610864443699E-2</v>
      </c>
    </row>
    <row r="1938" spans="1:6" x14ac:dyDescent="0.2">
      <c r="A1938" t="s">
        <v>3048</v>
      </c>
      <c r="B1938" t="s">
        <v>711</v>
      </c>
      <c r="C1938" t="s">
        <v>712</v>
      </c>
      <c r="D1938">
        <v>1.10162523999999E-2</v>
      </c>
      <c r="E1938">
        <v>5.2397625E-3</v>
      </c>
      <c r="F1938">
        <v>2.06195424999999E-2</v>
      </c>
    </row>
    <row r="1939" spans="1:6" x14ac:dyDescent="0.2">
      <c r="A1939" t="s">
        <v>3049</v>
      </c>
      <c r="B1939" t="s">
        <v>703</v>
      </c>
      <c r="D1939">
        <v>0</v>
      </c>
      <c r="E1939">
        <v>0</v>
      </c>
      <c r="F1939">
        <v>0</v>
      </c>
    </row>
    <row r="1940" spans="1:6" x14ac:dyDescent="0.2">
      <c r="A1940" t="s">
        <v>3050</v>
      </c>
      <c r="B1940" t="s">
        <v>2929</v>
      </c>
      <c r="C1940" t="s">
        <v>653</v>
      </c>
      <c r="D1940">
        <v>1.8484901415344899E-2</v>
      </c>
      <c r="E1940">
        <v>8.5920995887802509E-3</v>
      </c>
      <c r="F1940">
        <v>3.4904851056760597E-2</v>
      </c>
    </row>
    <row r="1941" spans="1:6" x14ac:dyDescent="0.2">
      <c r="A1941" t="s">
        <v>3051</v>
      </c>
      <c r="B1941" t="s">
        <v>744</v>
      </c>
      <c r="C1941" t="s">
        <v>745</v>
      </c>
      <c r="D1941">
        <v>5.14515299999999E-3</v>
      </c>
      <c r="E1941">
        <v>2.0020575E-3</v>
      </c>
      <c r="F1941">
        <v>1.10252224999999E-2</v>
      </c>
    </row>
    <row r="1942" spans="1:6" x14ac:dyDescent="0.2">
      <c r="A1942" t="s">
        <v>3052</v>
      </c>
      <c r="B1942" t="s">
        <v>741</v>
      </c>
      <c r="C1942" t="s">
        <v>742</v>
      </c>
      <c r="D1942">
        <v>7.5640454000000003E-3</v>
      </c>
      <c r="E1942">
        <v>3.3355575E-3</v>
      </c>
      <c r="F1942">
        <v>1.5242127499999999E-2</v>
      </c>
    </row>
    <row r="1943" spans="1:6" x14ac:dyDescent="0.2">
      <c r="A1943" t="s">
        <v>3053</v>
      </c>
      <c r="B1943" t="s">
        <v>744</v>
      </c>
      <c r="C1943" t="s">
        <v>745</v>
      </c>
      <c r="D1943">
        <v>5.14515299999999E-3</v>
      </c>
      <c r="E1943">
        <v>2.0020575E-3</v>
      </c>
      <c r="F1943">
        <v>1.10252224999999E-2</v>
      </c>
    </row>
    <row r="1944" spans="1:6" x14ac:dyDescent="0.2">
      <c r="A1944" t="s">
        <v>3054</v>
      </c>
      <c r="B1944" t="s">
        <v>741</v>
      </c>
      <c r="C1944" t="s">
        <v>742</v>
      </c>
      <c r="D1944">
        <v>7.5640454000000003E-3</v>
      </c>
      <c r="E1944">
        <v>3.3355575E-3</v>
      </c>
      <c r="F1944">
        <v>1.5242127499999999E-2</v>
      </c>
    </row>
    <row r="1945" spans="1:6" x14ac:dyDescent="0.2">
      <c r="A1945" t="s">
        <v>3055</v>
      </c>
      <c r="B1945" t="s">
        <v>744</v>
      </c>
      <c r="C1945" t="s">
        <v>745</v>
      </c>
      <c r="D1945">
        <v>5.14515299999999E-3</v>
      </c>
      <c r="E1945">
        <v>2.0020575E-3</v>
      </c>
      <c r="F1945">
        <v>1.10252224999999E-2</v>
      </c>
    </row>
    <row r="1946" spans="1:6" x14ac:dyDescent="0.2">
      <c r="A1946" t="s">
        <v>3056</v>
      </c>
      <c r="B1946" t="s">
        <v>912</v>
      </c>
      <c r="C1946" t="s">
        <v>913</v>
      </c>
      <c r="D1946">
        <v>1.1009249599999899E-2</v>
      </c>
      <c r="E1946">
        <v>5.3773199999999997E-3</v>
      </c>
      <c r="F1946">
        <v>2.08201875E-2</v>
      </c>
    </row>
    <row r="1947" spans="1:6" x14ac:dyDescent="0.2">
      <c r="A1947" t="s">
        <v>3057</v>
      </c>
      <c r="B1947" t="s">
        <v>747</v>
      </c>
      <c r="C1947" t="s">
        <v>748</v>
      </c>
      <c r="D1947">
        <v>0.114339967</v>
      </c>
      <c r="E1947">
        <v>7.7947084999999999E-2</v>
      </c>
      <c r="F1947">
        <v>0.15867681249999999</v>
      </c>
    </row>
    <row r="1948" spans="1:6" x14ac:dyDescent="0.2">
      <c r="A1948" t="s">
        <v>3058</v>
      </c>
      <c r="B1948" t="s">
        <v>750</v>
      </c>
      <c r="C1948" t="s">
        <v>751</v>
      </c>
      <c r="D1948">
        <v>0.32424655079999898</v>
      </c>
      <c r="E1948">
        <v>0.21972131750000001</v>
      </c>
      <c r="F1948">
        <v>0.44180473999999997</v>
      </c>
    </row>
    <row r="1949" spans="1:6" x14ac:dyDescent="0.2">
      <c r="A1949" t="s">
        <v>3059</v>
      </c>
      <c r="B1949" t="s">
        <v>703</v>
      </c>
      <c r="D1949">
        <v>0</v>
      </c>
      <c r="E1949">
        <v>0</v>
      </c>
      <c r="F1949">
        <v>0</v>
      </c>
    </row>
    <row r="1950" spans="1:6" x14ac:dyDescent="0.2">
      <c r="A1950" t="s">
        <v>3060</v>
      </c>
      <c r="B1950" t="s">
        <v>2931</v>
      </c>
      <c r="C1950" t="s">
        <v>653</v>
      </c>
      <c r="D1950">
        <v>1.8477910314486E-2</v>
      </c>
      <c r="E1950">
        <v>8.6849664162132502E-3</v>
      </c>
      <c r="F1950">
        <v>3.5658509762799898E-2</v>
      </c>
    </row>
    <row r="1951" spans="1:6" x14ac:dyDescent="0.2">
      <c r="A1951" t="s">
        <v>3061</v>
      </c>
      <c r="B1951" t="s">
        <v>3062</v>
      </c>
      <c r="C1951" t="s">
        <v>653</v>
      </c>
      <c r="D1951">
        <v>0.121018737524062</v>
      </c>
      <c r="E1951">
        <v>8.2948070567907595E-2</v>
      </c>
      <c r="F1951">
        <v>0.16758927888595501</v>
      </c>
    </row>
    <row r="1952" spans="1:6" x14ac:dyDescent="0.2">
      <c r="A1952" t="s">
        <v>3063</v>
      </c>
      <c r="B1952" t="s">
        <v>3064</v>
      </c>
      <c r="C1952" t="s">
        <v>653</v>
      </c>
      <c r="D1952">
        <v>0.32939375572951302</v>
      </c>
      <c r="E1952">
        <v>0.22748799728194499</v>
      </c>
      <c r="F1952">
        <v>0.44485361977578403</v>
      </c>
    </row>
    <row r="1953" spans="1:6" x14ac:dyDescent="0.2">
      <c r="A1953" t="s">
        <v>3065</v>
      </c>
      <c r="B1953" t="s">
        <v>3066</v>
      </c>
      <c r="C1953" t="s">
        <v>653</v>
      </c>
      <c r="D1953">
        <v>1.6088380548197001E-2</v>
      </c>
      <c r="E1953">
        <v>7.4083652058179999E-3</v>
      </c>
      <c r="F1953">
        <v>3.1385547213630197E-2</v>
      </c>
    </row>
    <row r="1954" spans="1:6" x14ac:dyDescent="0.2">
      <c r="A1954" t="s">
        <v>3067</v>
      </c>
      <c r="B1954" t="s">
        <v>3068</v>
      </c>
      <c r="C1954" t="s">
        <v>653</v>
      </c>
      <c r="D1954">
        <v>0.11888389942701399</v>
      </c>
      <c r="E1954">
        <v>8.1324135337414699E-2</v>
      </c>
      <c r="F1954">
        <v>0.16391718874191</v>
      </c>
    </row>
    <row r="1955" spans="1:6" x14ac:dyDescent="0.2">
      <c r="A1955" t="s">
        <v>3069</v>
      </c>
      <c r="B1955" t="s">
        <v>3070</v>
      </c>
      <c r="C1955" t="s">
        <v>653</v>
      </c>
      <c r="D1955">
        <v>0.32775907465155302</v>
      </c>
      <c r="E1955">
        <v>0.225424929012251</v>
      </c>
      <c r="F1955">
        <v>0.44367311121178699</v>
      </c>
    </row>
    <row r="1956" spans="1:6" x14ac:dyDescent="0.2">
      <c r="A1956" t="s">
        <v>3071</v>
      </c>
      <c r="B1956" t="s">
        <v>912</v>
      </c>
      <c r="C1956" t="s">
        <v>913</v>
      </c>
      <c r="D1956">
        <v>1.1009249599999899E-2</v>
      </c>
      <c r="E1956">
        <v>5.3773199999999997E-3</v>
      </c>
      <c r="F1956">
        <v>2.08201875E-2</v>
      </c>
    </row>
    <row r="1957" spans="1:6" x14ac:dyDescent="0.2">
      <c r="A1957" t="s">
        <v>3072</v>
      </c>
      <c r="B1957" t="s">
        <v>3073</v>
      </c>
      <c r="C1957" t="s">
        <v>3074</v>
      </c>
      <c r="D1957">
        <v>1.99451498999999E-2</v>
      </c>
      <c r="E1957">
        <v>1.08428025E-2</v>
      </c>
      <c r="F1957">
        <v>3.49533125E-2</v>
      </c>
    </row>
    <row r="1958" spans="1:6" x14ac:dyDescent="0.2">
      <c r="A1958" t="s">
        <v>3075</v>
      </c>
      <c r="B1958" t="s">
        <v>703</v>
      </c>
      <c r="D1958">
        <v>0</v>
      </c>
      <c r="E1958">
        <v>0</v>
      </c>
      <c r="F1958">
        <v>0</v>
      </c>
    </row>
    <row r="1959" spans="1:6" x14ac:dyDescent="0.2">
      <c r="A1959" t="s">
        <v>3076</v>
      </c>
      <c r="B1959" t="s">
        <v>3077</v>
      </c>
      <c r="C1959" t="s">
        <v>653</v>
      </c>
      <c r="D1959">
        <v>3.0712943228095001E-2</v>
      </c>
      <c r="E1959">
        <v>1.6255707151550999E-2</v>
      </c>
      <c r="F1959">
        <v>5.4331522007605403E-2</v>
      </c>
    </row>
    <row r="1960" spans="1:6" x14ac:dyDescent="0.2">
      <c r="A1960" t="s">
        <v>3078</v>
      </c>
      <c r="B1960" t="s">
        <v>2034</v>
      </c>
      <c r="C1960" t="s">
        <v>2035</v>
      </c>
      <c r="D1960">
        <v>0.14543561960000001</v>
      </c>
      <c r="E1960">
        <v>9.9171132499999995E-2</v>
      </c>
      <c r="F1960">
        <v>0.20859185499999899</v>
      </c>
    </row>
    <row r="1961" spans="1:6" x14ac:dyDescent="0.2">
      <c r="A1961" t="s">
        <v>3079</v>
      </c>
      <c r="B1961" t="s">
        <v>912</v>
      </c>
      <c r="C1961" t="s">
        <v>913</v>
      </c>
      <c r="D1961">
        <v>1.1009249599999899E-2</v>
      </c>
      <c r="E1961">
        <v>5.3773199999999997E-3</v>
      </c>
      <c r="F1961">
        <v>2.08201875E-2</v>
      </c>
    </row>
    <row r="1962" spans="1:6" x14ac:dyDescent="0.2">
      <c r="A1962" t="s">
        <v>3080</v>
      </c>
      <c r="B1962" t="s">
        <v>703</v>
      </c>
      <c r="D1962">
        <v>0</v>
      </c>
      <c r="E1962">
        <v>0</v>
      </c>
      <c r="F1962">
        <v>0</v>
      </c>
    </row>
    <row r="1963" spans="1:6" x14ac:dyDescent="0.2">
      <c r="A1963" t="s">
        <v>3081</v>
      </c>
      <c r="B1963" t="s">
        <v>3082</v>
      </c>
      <c r="C1963" t="s">
        <v>653</v>
      </c>
      <c r="D1963">
        <v>0.15481557662672499</v>
      </c>
      <c r="E1963">
        <v>0.10702825905344</v>
      </c>
      <c r="F1963">
        <v>0.21992618237848399</v>
      </c>
    </row>
    <row r="1964" spans="1:6" x14ac:dyDescent="0.2">
      <c r="A1964" t="s">
        <v>3083</v>
      </c>
      <c r="B1964" t="s">
        <v>912</v>
      </c>
      <c r="C1964" t="s">
        <v>913</v>
      </c>
      <c r="D1964">
        <v>1.1009249599999899E-2</v>
      </c>
      <c r="E1964">
        <v>5.3773199999999997E-3</v>
      </c>
      <c r="F1964">
        <v>2.08201875E-2</v>
      </c>
    </row>
    <row r="1965" spans="1:6" x14ac:dyDescent="0.2">
      <c r="A1965" t="s">
        <v>3084</v>
      </c>
      <c r="B1965" t="s">
        <v>703</v>
      </c>
      <c r="D1965">
        <v>0</v>
      </c>
      <c r="E1965">
        <v>0</v>
      </c>
      <c r="F1965">
        <v>0</v>
      </c>
    </row>
    <row r="1966" spans="1:6" x14ac:dyDescent="0.2">
      <c r="A1966" t="s">
        <v>3085</v>
      </c>
      <c r="B1966" t="s">
        <v>747</v>
      </c>
      <c r="C1966" t="s">
        <v>748</v>
      </c>
      <c r="D1966">
        <v>0.114339967</v>
      </c>
      <c r="E1966">
        <v>7.7947084999999999E-2</v>
      </c>
      <c r="F1966">
        <v>0.15867681249999999</v>
      </c>
    </row>
    <row r="1967" spans="1:6" x14ac:dyDescent="0.2">
      <c r="A1967" t="s">
        <v>3086</v>
      </c>
      <c r="B1967" t="s">
        <v>750</v>
      </c>
      <c r="C1967" t="s">
        <v>751</v>
      </c>
      <c r="D1967">
        <v>0.32424655079999898</v>
      </c>
      <c r="E1967">
        <v>0.21972131750000001</v>
      </c>
      <c r="F1967">
        <v>0.44180473999999997</v>
      </c>
    </row>
    <row r="1968" spans="1:6" x14ac:dyDescent="0.2">
      <c r="A1968" t="s">
        <v>3087</v>
      </c>
      <c r="B1968" t="s">
        <v>703</v>
      </c>
      <c r="D1968">
        <v>0</v>
      </c>
      <c r="E1968">
        <v>0</v>
      </c>
      <c r="F1968">
        <v>0</v>
      </c>
    </row>
    <row r="1969" spans="1:6" x14ac:dyDescent="0.2">
      <c r="A1969" t="s">
        <v>3088</v>
      </c>
      <c r="B1969" t="s">
        <v>855</v>
      </c>
      <c r="C1969" t="s">
        <v>856</v>
      </c>
      <c r="D1969">
        <v>3.69639789999999E-3</v>
      </c>
      <c r="E1969">
        <v>1.3124725E-3</v>
      </c>
      <c r="F1969">
        <v>8.1387825000000004E-3</v>
      </c>
    </row>
    <row r="1970" spans="1:6" x14ac:dyDescent="0.2">
      <c r="A1970" t="s">
        <v>3089</v>
      </c>
      <c r="B1970" t="s">
        <v>858</v>
      </c>
      <c r="C1970" t="s">
        <v>859</v>
      </c>
      <c r="D1970">
        <v>5.1541961499999997E-2</v>
      </c>
      <c r="E1970">
        <v>3.3847374999999999E-2</v>
      </c>
      <c r="F1970">
        <v>7.5721812499999999E-2</v>
      </c>
    </row>
    <row r="1971" spans="1:6" x14ac:dyDescent="0.2">
      <c r="A1971" t="s">
        <v>3090</v>
      </c>
      <c r="B1971" t="s">
        <v>861</v>
      </c>
      <c r="C1971" t="s">
        <v>862</v>
      </c>
      <c r="D1971">
        <v>0.14876615300000001</v>
      </c>
      <c r="E1971">
        <v>0.10073293999999899</v>
      </c>
      <c r="F1971">
        <v>0.20911520249999899</v>
      </c>
    </row>
    <row r="1972" spans="1:6" x14ac:dyDescent="0.2">
      <c r="A1972" t="s">
        <v>3091</v>
      </c>
      <c r="B1972" t="s">
        <v>673</v>
      </c>
      <c r="C1972" t="s">
        <v>674</v>
      </c>
      <c r="D1972">
        <v>1.24408307999999E-2</v>
      </c>
      <c r="E1972">
        <v>6.1947475000000002E-3</v>
      </c>
      <c r="F1972">
        <v>2.2708942499999999E-2</v>
      </c>
    </row>
    <row r="1973" spans="1:6" x14ac:dyDescent="0.2">
      <c r="A1973" t="s">
        <v>3092</v>
      </c>
      <c r="B1973" t="s">
        <v>855</v>
      </c>
      <c r="C1973" t="s">
        <v>856</v>
      </c>
      <c r="D1973">
        <v>3.69639789999999E-3</v>
      </c>
      <c r="E1973">
        <v>1.3124725E-3</v>
      </c>
      <c r="F1973">
        <v>8.1387825000000004E-3</v>
      </c>
    </row>
    <row r="1974" spans="1:6" x14ac:dyDescent="0.2">
      <c r="A1974" t="s">
        <v>3093</v>
      </c>
      <c r="B1974" t="s">
        <v>858</v>
      </c>
      <c r="C1974" t="s">
        <v>859</v>
      </c>
      <c r="D1974">
        <v>5.1541961499999997E-2</v>
      </c>
      <c r="E1974">
        <v>3.3847374999999999E-2</v>
      </c>
      <c r="F1974">
        <v>7.5721812499999999E-2</v>
      </c>
    </row>
    <row r="1975" spans="1:6" x14ac:dyDescent="0.2">
      <c r="A1975" t="s">
        <v>3094</v>
      </c>
      <c r="B1975" t="s">
        <v>861</v>
      </c>
      <c r="C1975" t="s">
        <v>862</v>
      </c>
      <c r="D1975">
        <v>0.14876615300000001</v>
      </c>
      <c r="E1975">
        <v>0.10073293999999899</v>
      </c>
      <c r="F1975">
        <v>0.20911520249999899</v>
      </c>
    </row>
    <row r="1976" spans="1:6" x14ac:dyDescent="0.2">
      <c r="A1976" t="s">
        <v>3095</v>
      </c>
      <c r="B1976" t="s">
        <v>3096</v>
      </c>
      <c r="C1976" t="s">
        <v>653</v>
      </c>
      <c r="D1976">
        <v>0.32431936322780602</v>
      </c>
      <c r="E1976">
        <v>0.232650244870996</v>
      </c>
      <c r="F1976">
        <v>0.43595165224712401</v>
      </c>
    </row>
    <row r="1977" spans="1:6" x14ac:dyDescent="0.2">
      <c r="A1977" t="s">
        <v>3097</v>
      </c>
      <c r="B1977" t="s">
        <v>673</v>
      </c>
      <c r="C1977" t="s">
        <v>674</v>
      </c>
      <c r="D1977">
        <v>1.24408307999999E-2</v>
      </c>
      <c r="E1977">
        <v>6.1947475000000002E-3</v>
      </c>
      <c r="F1977">
        <v>2.2708942499999999E-2</v>
      </c>
    </row>
    <row r="1978" spans="1:6" x14ac:dyDescent="0.2">
      <c r="A1978" t="s">
        <v>3098</v>
      </c>
      <c r="B1978" t="s">
        <v>855</v>
      </c>
      <c r="C1978" t="s">
        <v>856</v>
      </c>
      <c r="D1978">
        <v>3.69639789999999E-3</v>
      </c>
      <c r="E1978">
        <v>1.3124725E-3</v>
      </c>
      <c r="F1978">
        <v>8.1387825000000004E-3</v>
      </c>
    </row>
    <row r="1979" spans="1:6" x14ac:dyDescent="0.2">
      <c r="A1979" t="s">
        <v>3099</v>
      </c>
      <c r="B1979" t="s">
        <v>858</v>
      </c>
      <c r="C1979" t="s">
        <v>859</v>
      </c>
      <c r="D1979">
        <v>5.1541961499999997E-2</v>
      </c>
      <c r="E1979">
        <v>3.3847374999999999E-2</v>
      </c>
      <c r="F1979">
        <v>7.5721812499999999E-2</v>
      </c>
    </row>
    <row r="1980" spans="1:6" x14ac:dyDescent="0.2">
      <c r="A1980" t="s">
        <v>3100</v>
      </c>
      <c r="B1980" t="s">
        <v>861</v>
      </c>
      <c r="C1980" t="s">
        <v>862</v>
      </c>
      <c r="D1980">
        <v>0.14876615300000001</v>
      </c>
      <c r="E1980">
        <v>0.10073293999999899</v>
      </c>
      <c r="F1980">
        <v>0.20911520249999899</v>
      </c>
    </row>
    <row r="1981" spans="1:6" x14ac:dyDescent="0.2">
      <c r="A1981" t="s">
        <v>3101</v>
      </c>
      <c r="B1981" t="s">
        <v>3096</v>
      </c>
      <c r="C1981" t="s">
        <v>653</v>
      </c>
      <c r="D1981">
        <v>0.32431936322780602</v>
      </c>
      <c r="E1981">
        <v>0.232650244870996</v>
      </c>
      <c r="F1981">
        <v>0.43595165224712401</v>
      </c>
    </row>
    <row r="1982" spans="1:6" x14ac:dyDescent="0.2">
      <c r="A1982" t="s">
        <v>3102</v>
      </c>
      <c r="B1982" t="s">
        <v>673</v>
      </c>
      <c r="C1982" t="s">
        <v>674</v>
      </c>
      <c r="D1982">
        <v>1.24408307999999E-2</v>
      </c>
      <c r="E1982">
        <v>6.1947475000000002E-3</v>
      </c>
      <c r="F1982">
        <v>2.2708942499999999E-2</v>
      </c>
    </row>
    <row r="1983" spans="1:6" x14ac:dyDescent="0.2">
      <c r="A1983" t="s">
        <v>3103</v>
      </c>
      <c r="B1983" t="s">
        <v>855</v>
      </c>
      <c r="C1983" t="s">
        <v>856</v>
      </c>
      <c r="D1983">
        <v>3.69639789999999E-3</v>
      </c>
      <c r="E1983">
        <v>1.3124725E-3</v>
      </c>
      <c r="F1983">
        <v>8.1387825000000004E-3</v>
      </c>
    </row>
    <row r="1984" spans="1:6" x14ac:dyDescent="0.2">
      <c r="A1984" t="s">
        <v>3104</v>
      </c>
      <c r="B1984" t="s">
        <v>858</v>
      </c>
      <c r="C1984" t="s">
        <v>859</v>
      </c>
      <c r="D1984">
        <v>5.1541961499999997E-2</v>
      </c>
      <c r="E1984">
        <v>3.3847374999999999E-2</v>
      </c>
      <c r="F1984">
        <v>7.5721812499999999E-2</v>
      </c>
    </row>
    <row r="1985" spans="1:6" x14ac:dyDescent="0.2">
      <c r="A1985" t="s">
        <v>3105</v>
      </c>
      <c r="B1985" t="s">
        <v>861</v>
      </c>
      <c r="C1985" t="s">
        <v>862</v>
      </c>
      <c r="D1985">
        <v>0.14876615300000001</v>
      </c>
      <c r="E1985">
        <v>0.10073293999999899</v>
      </c>
      <c r="F1985">
        <v>0.20911520249999899</v>
      </c>
    </row>
    <row r="1986" spans="1:6" x14ac:dyDescent="0.2">
      <c r="A1986" t="s">
        <v>3106</v>
      </c>
      <c r="B1986" t="s">
        <v>3096</v>
      </c>
      <c r="C1986" t="s">
        <v>653</v>
      </c>
      <c r="D1986">
        <v>0.32431936322780602</v>
      </c>
      <c r="E1986">
        <v>0.232650244870996</v>
      </c>
      <c r="F1986">
        <v>0.43595165224712401</v>
      </c>
    </row>
    <row r="1987" spans="1:6" x14ac:dyDescent="0.2">
      <c r="A1987" t="s">
        <v>3107</v>
      </c>
      <c r="B1987" t="s">
        <v>903</v>
      </c>
      <c r="C1987" t="s">
        <v>904</v>
      </c>
      <c r="D1987">
        <v>4.14518940999999E-2</v>
      </c>
      <c r="E1987">
        <v>2.6103222499999999E-2</v>
      </c>
      <c r="F1987">
        <v>6.2339544999999899E-2</v>
      </c>
    </row>
    <row r="1988" spans="1:6" x14ac:dyDescent="0.2">
      <c r="A1988" t="s">
        <v>3108</v>
      </c>
      <c r="B1988" t="s">
        <v>906</v>
      </c>
      <c r="C1988" t="s">
        <v>907</v>
      </c>
      <c r="D1988">
        <v>7.1653432699999894E-2</v>
      </c>
      <c r="E1988">
        <v>4.6600777500000003E-2</v>
      </c>
      <c r="F1988">
        <v>0.10308943</v>
      </c>
    </row>
    <row r="1989" spans="1:6" x14ac:dyDescent="0.2">
      <c r="A1989" t="s">
        <v>3109</v>
      </c>
      <c r="B1989" t="s">
        <v>909</v>
      </c>
      <c r="C1989" t="s">
        <v>910</v>
      </c>
      <c r="D1989">
        <v>0.17906669619999999</v>
      </c>
      <c r="E1989">
        <v>0.1215548</v>
      </c>
      <c r="F1989">
        <v>0.25072915749999902</v>
      </c>
    </row>
    <row r="1990" spans="1:6" x14ac:dyDescent="0.2">
      <c r="A1990" t="s">
        <v>3110</v>
      </c>
      <c r="B1990" t="s">
        <v>916</v>
      </c>
      <c r="C1990" t="s">
        <v>917</v>
      </c>
      <c r="D1990">
        <v>4.9011414699999999E-2</v>
      </c>
      <c r="E1990">
        <v>3.1121342499999899E-2</v>
      </c>
      <c r="F1990">
        <v>7.2092547499999896E-2</v>
      </c>
    </row>
    <row r="1991" spans="1:6" x14ac:dyDescent="0.2">
      <c r="A1991" t="s">
        <v>3111</v>
      </c>
      <c r="B1991" t="s">
        <v>855</v>
      </c>
      <c r="C1991" t="s">
        <v>856</v>
      </c>
      <c r="D1991">
        <v>3.69639789999999E-3</v>
      </c>
      <c r="E1991">
        <v>1.3124725E-3</v>
      </c>
      <c r="F1991">
        <v>8.1387825000000004E-3</v>
      </c>
    </row>
    <row r="1992" spans="1:6" x14ac:dyDescent="0.2">
      <c r="A1992" t="s">
        <v>3112</v>
      </c>
      <c r="B1992" t="s">
        <v>855</v>
      </c>
      <c r="C1992" t="s">
        <v>856</v>
      </c>
      <c r="D1992">
        <v>3.69639789999999E-3</v>
      </c>
      <c r="E1992">
        <v>1.3124725E-3</v>
      </c>
      <c r="F1992">
        <v>8.1387825000000004E-3</v>
      </c>
    </row>
    <row r="1993" spans="1:6" x14ac:dyDescent="0.2">
      <c r="A1993" t="s">
        <v>3113</v>
      </c>
      <c r="B1993" t="s">
        <v>858</v>
      </c>
      <c r="C1993" t="s">
        <v>859</v>
      </c>
      <c r="D1993">
        <v>5.1541961499999997E-2</v>
      </c>
      <c r="E1993">
        <v>3.3847374999999999E-2</v>
      </c>
      <c r="F1993">
        <v>7.5721812499999999E-2</v>
      </c>
    </row>
    <row r="1994" spans="1:6" x14ac:dyDescent="0.2">
      <c r="A1994" t="s">
        <v>3114</v>
      </c>
      <c r="B1994" t="s">
        <v>858</v>
      </c>
      <c r="C1994" t="s">
        <v>859</v>
      </c>
      <c r="D1994">
        <v>5.1541961499999997E-2</v>
      </c>
      <c r="E1994">
        <v>3.3847374999999999E-2</v>
      </c>
      <c r="F1994">
        <v>7.5721812499999999E-2</v>
      </c>
    </row>
    <row r="1995" spans="1:6" x14ac:dyDescent="0.2">
      <c r="A1995" t="s">
        <v>3115</v>
      </c>
      <c r="B1995" t="s">
        <v>861</v>
      </c>
      <c r="C1995" t="s">
        <v>862</v>
      </c>
      <c r="D1995">
        <v>0.14876615300000001</v>
      </c>
      <c r="E1995">
        <v>0.10073293999999899</v>
      </c>
      <c r="F1995">
        <v>0.20911520249999899</v>
      </c>
    </row>
    <row r="1996" spans="1:6" x14ac:dyDescent="0.2">
      <c r="A1996" t="s">
        <v>3116</v>
      </c>
      <c r="B1996" t="s">
        <v>861</v>
      </c>
      <c r="C1996" t="s">
        <v>862</v>
      </c>
      <c r="D1996">
        <v>0.14876615300000001</v>
      </c>
      <c r="E1996">
        <v>0.10073293999999899</v>
      </c>
      <c r="F1996">
        <v>0.20911520249999899</v>
      </c>
    </row>
    <row r="1997" spans="1:6" x14ac:dyDescent="0.2">
      <c r="A1997" t="s">
        <v>3117</v>
      </c>
      <c r="B1997" t="s">
        <v>703</v>
      </c>
      <c r="D1997">
        <v>0</v>
      </c>
      <c r="E1997">
        <v>0</v>
      </c>
      <c r="F1997">
        <v>0</v>
      </c>
    </row>
    <row r="1998" spans="1:6" x14ac:dyDescent="0.2">
      <c r="A1998" t="s">
        <v>3118</v>
      </c>
      <c r="B1998" t="s">
        <v>703</v>
      </c>
      <c r="D1998">
        <v>0</v>
      </c>
      <c r="E1998">
        <v>0</v>
      </c>
      <c r="F1998">
        <v>0</v>
      </c>
    </row>
    <row r="1999" spans="1:6" x14ac:dyDescent="0.2">
      <c r="A1999" t="s">
        <v>3119</v>
      </c>
      <c r="B1999" t="s">
        <v>676</v>
      </c>
      <c r="D1999">
        <v>1.60833307242591E-2</v>
      </c>
      <c r="E1999">
        <v>7.5953950137811503E-3</v>
      </c>
      <c r="F1999">
        <v>3.0998712879199499E-2</v>
      </c>
    </row>
    <row r="2000" spans="1:6" x14ac:dyDescent="0.2">
      <c r="A2000" t="s">
        <v>3120</v>
      </c>
      <c r="B2000" t="s">
        <v>678</v>
      </c>
      <c r="D2000">
        <v>6.3305862468731003E-2</v>
      </c>
      <c r="E2000">
        <v>3.9980344684223498E-2</v>
      </c>
      <c r="F2000">
        <v>9.4802634065244903E-2</v>
      </c>
    </row>
    <row r="2001" spans="1:6" x14ac:dyDescent="0.2">
      <c r="A2001" t="s">
        <v>3121</v>
      </c>
      <c r="B2001" t="s">
        <v>680</v>
      </c>
      <c r="D2001">
        <v>0.15932514528590999</v>
      </c>
      <c r="E2001">
        <v>0.10850395436709399</v>
      </c>
      <c r="F2001">
        <v>0.22044928265000199</v>
      </c>
    </row>
    <row r="2002" spans="1:6" x14ac:dyDescent="0.2">
      <c r="A2002" t="s">
        <v>3122</v>
      </c>
      <c r="B2002" t="s">
        <v>3123</v>
      </c>
      <c r="D2002">
        <v>0.32486781932866299</v>
      </c>
      <c r="E2002">
        <v>0.219193149524776</v>
      </c>
      <c r="F2002">
        <v>0.443466462821477</v>
      </c>
    </row>
    <row r="2003" spans="1:6" x14ac:dyDescent="0.2">
      <c r="A2003" t="s">
        <v>3124</v>
      </c>
      <c r="B2003" t="s">
        <v>3125</v>
      </c>
      <c r="D2003">
        <v>0.33267757220516098</v>
      </c>
      <c r="E2003">
        <v>0.23092015466860299</v>
      </c>
      <c r="F2003">
        <v>0.44786160674278003</v>
      </c>
    </row>
    <row r="2004" spans="1:6" x14ac:dyDescent="0.2">
      <c r="A2004" t="s">
        <v>3126</v>
      </c>
      <c r="B2004" t="s">
        <v>3127</v>
      </c>
      <c r="D2004">
        <v>0.54063797905887701</v>
      </c>
      <c r="E2004">
        <v>0.39041533513320797</v>
      </c>
      <c r="F2004">
        <v>0.685335311033898</v>
      </c>
    </row>
    <row r="2005" spans="1:6" x14ac:dyDescent="0.2">
      <c r="A2005" t="s">
        <v>3128</v>
      </c>
      <c r="B2005" t="s">
        <v>673</v>
      </c>
      <c r="C2005" t="s">
        <v>674</v>
      </c>
      <c r="D2005">
        <v>1.24408307999999E-2</v>
      </c>
      <c r="E2005">
        <v>6.1947475000000002E-3</v>
      </c>
      <c r="F2005">
        <v>2.2708942499999999E-2</v>
      </c>
    </row>
    <row r="2006" spans="1:6" x14ac:dyDescent="0.2">
      <c r="A2006" t="s">
        <v>3129</v>
      </c>
      <c r="B2006" t="s">
        <v>676</v>
      </c>
      <c r="D2006">
        <v>1.60833307242591E-2</v>
      </c>
      <c r="E2006">
        <v>7.5953950137811503E-3</v>
      </c>
      <c r="F2006">
        <v>3.0998712879199499E-2</v>
      </c>
    </row>
    <row r="2007" spans="1:6" x14ac:dyDescent="0.2">
      <c r="A2007" t="s">
        <v>3130</v>
      </c>
      <c r="B2007" t="s">
        <v>678</v>
      </c>
      <c r="D2007">
        <v>6.3305862468731003E-2</v>
      </c>
      <c r="E2007">
        <v>3.9980344684223498E-2</v>
      </c>
      <c r="F2007">
        <v>9.4802634065244903E-2</v>
      </c>
    </row>
    <row r="2008" spans="1:6" x14ac:dyDescent="0.2">
      <c r="A2008" t="s">
        <v>3131</v>
      </c>
      <c r="B2008" t="s">
        <v>680</v>
      </c>
      <c r="D2008">
        <v>0.15932514528590999</v>
      </c>
      <c r="E2008">
        <v>0.10850395436709399</v>
      </c>
      <c r="F2008">
        <v>0.22044928265000199</v>
      </c>
    </row>
    <row r="2009" spans="1:6" x14ac:dyDescent="0.2">
      <c r="A2009" t="s">
        <v>3132</v>
      </c>
      <c r="B2009" t="s">
        <v>3123</v>
      </c>
      <c r="D2009">
        <v>0.32486781932866299</v>
      </c>
      <c r="E2009">
        <v>0.219193149524776</v>
      </c>
      <c r="F2009">
        <v>0.443466462821477</v>
      </c>
    </row>
    <row r="2010" spans="1:6" x14ac:dyDescent="0.2">
      <c r="A2010" t="s">
        <v>3133</v>
      </c>
      <c r="B2010" t="s">
        <v>3125</v>
      </c>
      <c r="D2010">
        <v>0.33267757220516098</v>
      </c>
      <c r="E2010">
        <v>0.23092015466860299</v>
      </c>
      <c r="F2010">
        <v>0.44786160674278003</v>
      </c>
    </row>
    <row r="2011" spans="1:6" x14ac:dyDescent="0.2">
      <c r="A2011" t="s">
        <v>3134</v>
      </c>
      <c r="B2011" t="s">
        <v>3127</v>
      </c>
      <c r="D2011">
        <v>0.54063797905887701</v>
      </c>
      <c r="E2011">
        <v>0.39041533513320797</v>
      </c>
      <c r="F2011">
        <v>0.685335311033898</v>
      </c>
    </row>
    <row r="2012" spans="1:6" x14ac:dyDescent="0.2">
      <c r="A2012" t="s">
        <v>3135</v>
      </c>
      <c r="B2012" t="s">
        <v>676</v>
      </c>
      <c r="D2012">
        <v>1.60833307242591E-2</v>
      </c>
      <c r="E2012">
        <v>7.5953950137811503E-3</v>
      </c>
      <c r="F2012">
        <v>3.0998712879199499E-2</v>
      </c>
    </row>
    <row r="2013" spans="1:6" x14ac:dyDescent="0.2">
      <c r="A2013" t="s">
        <v>3136</v>
      </c>
      <c r="B2013" t="s">
        <v>678</v>
      </c>
      <c r="D2013">
        <v>6.3305862468731003E-2</v>
      </c>
      <c r="E2013">
        <v>3.9980344684223498E-2</v>
      </c>
      <c r="F2013">
        <v>9.4802634065244903E-2</v>
      </c>
    </row>
    <row r="2014" spans="1:6" x14ac:dyDescent="0.2">
      <c r="A2014" t="s">
        <v>3137</v>
      </c>
      <c r="B2014" t="s">
        <v>680</v>
      </c>
      <c r="D2014">
        <v>0.15932514528590999</v>
      </c>
      <c r="E2014">
        <v>0.10850395436709399</v>
      </c>
      <c r="F2014">
        <v>0.22044928265000199</v>
      </c>
    </row>
    <row r="2015" spans="1:6" x14ac:dyDescent="0.2">
      <c r="A2015" t="s">
        <v>3138</v>
      </c>
      <c r="B2015" t="s">
        <v>3123</v>
      </c>
      <c r="D2015">
        <v>0.32486781932866299</v>
      </c>
      <c r="E2015">
        <v>0.219193149524776</v>
      </c>
      <c r="F2015">
        <v>0.443466462821477</v>
      </c>
    </row>
    <row r="2016" spans="1:6" x14ac:dyDescent="0.2">
      <c r="A2016" t="s">
        <v>3139</v>
      </c>
      <c r="B2016" t="s">
        <v>3125</v>
      </c>
      <c r="D2016">
        <v>0.33267757220516098</v>
      </c>
      <c r="E2016">
        <v>0.23092015466860299</v>
      </c>
      <c r="F2016">
        <v>0.44786160674278003</v>
      </c>
    </row>
    <row r="2017" spans="1:6" x14ac:dyDescent="0.2">
      <c r="A2017" t="s">
        <v>3140</v>
      </c>
      <c r="B2017" t="s">
        <v>3127</v>
      </c>
      <c r="D2017">
        <v>0.54063797905887701</v>
      </c>
      <c r="E2017">
        <v>0.39041533513320797</v>
      </c>
      <c r="F2017">
        <v>0.685335311033898</v>
      </c>
    </row>
    <row r="2018" spans="1:6" x14ac:dyDescent="0.2">
      <c r="A2018" t="s">
        <v>3141</v>
      </c>
      <c r="B2018" t="s">
        <v>673</v>
      </c>
      <c r="C2018" t="s">
        <v>674</v>
      </c>
      <c r="D2018">
        <v>1.24408307999999E-2</v>
      </c>
      <c r="E2018">
        <v>6.1947475000000002E-3</v>
      </c>
      <c r="F2018">
        <v>2.2708942499999999E-2</v>
      </c>
    </row>
    <row r="2019" spans="1:6" x14ac:dyDescent="0.2">
      <c r="A2019" t="s">
        <v>3142</v>
      </c>
      <c r="B2019" t="s">
        <v>673</v>
      </c>
      <c r="C2019" t="s">
        <v>674</v>
      </c>
      <c r="D2019">
        <v>1.24408307999999E-2</v>
      </c>
      <c r="E2019">
        <v>6.1947475000000002E-3</v>
      </c>
      <c r="F2019">
        <v>2.2708942499999999E-2</v>
      </c>
    </row>
    <row r="2020" spans="1:6" x14ac:dyDescent="0.2">
      <c r="A2020" t="s">
        <v>3143</v>
      </c>
      <c r="B2020" t="s">
        <v>703</v>
      </c>
      <c r="D2020">
        <v>0</v>
      </c>
      <c r="E2020">
        <v>0</v>
      </c>
      <c r="F2020">
        <v>0</v>
      </c>
    </row>
    <row r="2021" spans="1:6" x14ac:dyDescent="0.2">
      <c r="A2021" t="s">
        <v>3144</v>
      </c>
      <c r="B2021" t="s">
        <v>855</v>
      </c>
      <c r="C2021" t="s">
        <v>856</v>
      </c>
      <c r="D2021">
        <v>3.69639789999999E-3</v>
      </c>
      <c r="E2021">
        <v>1.3124725E-3</v>
      </c>
      <c r="F2021">
        <v>8.1387825000000004E-3</v>
      </c>
    </row>
    <row r="2022" spans="1:6" x14ac:dyDescent="0.2">
      <c r="A2022" t="s">
        <v>3145</v>
      </c>
      <c r="B2022" t="s">
        <v>858</v>
      </c>
      <c r="C2022" t="s">
        <v>859</v>
      </c>
      <c r="D2022">
        <v>5.1541961499999997E-2</v>
      </c>
      <c r="E2022">
        <v>3.3847374999999999E-2</v>
      </c>
      <c r="F2022">
        <v>7.5721812499999999E-2</v>
      </c>
    </row>
    <row r="2023" spans="1:6" x14ac:dyDescent="0.2">
      <c r="A2023" t="s">
        <v>3146</v>
      </c>
      <c r="B2023" t="s">
        <v>861</v>
      </c>
      <c r="C2023" t="s">
        <v>862</v>
      </c>
      <c r="D2023">
        <v>0.14876615300000001</v>
      </c>
      <c r="E2023">
        <v>0.10073293999999899</v>
      </c>
      <c r="F2023">
        <v>0.20911520249999899</v>
      </c>
    </row>
    <row r="2024" spans="1:6" x14ac:dyDescent="0.2">
      <c r="A2024" t="s">
        <v>3147</v>
      </c>
      <c r="B2024" t="s">
        <v>703</v>
      </c>
      <c r="D2024">
        <v>0</v>
      </c>
      <c r="E2024">
        <v>0</v>
      </c>
      <c r="F2024">
        <v>0</v>
      </c>
    </row>
    <row r="2025" spans="1:6" x14ac:dyDescent="0.2">
      <c r="A2025" t="s">
        <v>3148</v>
      </c>
      <c r="B2025" t="s">
        <v>855</v>
      </c>
      <c r="C2025" t="s">
        <v>856</v>
      </c>
      <c r="D2025">
        <v>3.69639789999999E-3</v>
      </c>
      <c r="E2025">
        <v>1.3124725E-3</v>
      </c>
      <c r="F2025">
        <v>8.1387825000000004E-3</v>
      </c>
    </row>
    <row r="2026" spans="1:6" x14ac:dyDescent="0.2">
      <c r="A2026" t="s">
        <v>3149</v>
      </c>
      <c r="B2026" t="s">
        <v>858</v>
      </c>
      <c r="C2026" t="s">
        <v>859</v>
      </c>
      <c r="D2026">
        <v>5.1541961499999997E-2</v>
      </c>
      <c r="E2026">
        <v>3.3847374999999999E-2</v>
      </c>
      <c r="F2026">
        <v>7.5721812499999999E-2</v>
      </c>
    </row>
    <row r="2027" spans="1:6" x14ac:dyDescent="0.2">
      <c r="A2027" t="s">
        <v>3150</v>
      </c>
      <c r="B2027" t="s">
        <v>861</v>
      </c>
      <c r="C2027" t="s">
        <v>862</v>
      </c>
      <c r="D2027">
        <v>0.14876615300000001</v>
      </c>
      <c r="E2027">
        <v>0.10073293999999899</v>
      </c>
      <c r="F2027">
        <v>0.20911520249999899</v>
      </c>
    </row>
    <row r="2028" spans="1:6" x14ac:dyDescent="0.2">
      <c r="A2028" t="s">
        <v>3151</v>
      </c>
      <c r="B2028" t="s">
        <v>903</v>
      </c>
      <c r="C2028" t="s">
        <v>904</v>
      </c>
      <c r="D2028">
        <v>4.14518940999999E-2</v>
      </c>
      <c r="E2028">
        <v>2.6103222499999999E-2</v>
      </c>
      <c r="F2028">
        <v>6.2339544999999899E-2</v>
      </c>
    </row>
    <row r="2029" spans="1:6" x14ac:dyDescent="0.2">
      <c r="A2029" t="s">
        <v>3152</v>
      </c>
      <c r="B2029" t="s">
        <v>906</v>
      </c>
      <c r="C2029" t="s">
        <v>907</v>
      </c>
      <c r="D2029">
        <v>7.1653432699999894E-2</v>
      </c>
      <c r="E2029">
        <v>4.6600777500000003E-2</v>
      </c>
      <c r="F2029">
        <v>0.10308943</v>
      </c>
    </row>
    <row r="2030" spans="1:6" x14ac:dyDescent="0.2">
      <c r="A2030" t="s">
        <v>3153</v>
      </c>
      <c r="B2030" t="s">
        <v>909</v>
      </c>
      <c r="C2030" t="s">
        <v>910</v>
      </c>
      <c r="D2030">
        <v>0.17906669619999999</v>
      </c>
      <c r="E2030">
        <v>0.1215548</v>
      </c>
      <c r="F2030">
        <v>0.25072915749999902</v>
      </c>
    </row>
    <row r="2031" spans="1:6" x14ac:dyDescent="0.2">
      <c r="A2031" t="s">
        <v>3154</v>
      </c>
      <c r="B2031" t="s">
        <v>916</v>
      </c>
      <c r="C2031" t="s">
        <v>917</v>
      </c>
      <c r="D2031">
        <v>4.9011414699999999E-2</v>
      </c>
      <c r="E2031">
        <v>3.1121342499999899E-2</v>
      </c>
      <c r="F2031">
        <v>7.2092547499999896E-2</v>
      </c>
    </row>
    <row r="2032" spans="1:6" x14ac:dyDescent="0.2">
      <c r="A2032" t="s">
        <v>3155</v>
      </c>
      <c r="B2032" t="s">
        <v>855</v>
      </c>
      <c r="C2032" t="s">
        <v>856</v>
      </c>
      <c r="D2032">
        <v>3.69639789999999E-3</v>
      </c>
      <c r="E2032">
        <v>1.3124725E-3</v>
      </c>
      <c r="F2032">
        <v>8.1387825000000004E-3</v>
      </c>
    </row>
    <row r="2033" spans="1:6" x14ac:dyDescent="0.2">
      <c r="A2033" t="s">
        <v>3156</v>
      </c>
      <c r="B2033" t="s">
        <v>858</v>
      </c>
      <c r="C2033" t="s">
        <v>859</v>
      </c>
      <c r="D2033">
        <v>5.1541961499999997E-2</v>
      </c>
      <c r="E2033">
        <v>3.3847374999999999E-2</v>
      </c>
      <c r="F2033">
        <v>7.5721812499999999E-2</v>
      </c>
    </row>
    <row r="2034" spans="1:6" x14ac:dyDescent="0.2">
      <c r="A2034" t="s">
        <v>3157</v>
      </c>
      <c r="B2034" t="s">
        <v>861</v>
      </c>
      <c r="C2034" t="s">
        <v>862</v>
      </c>
      <c r="D2034">
        <v>0.14876615300000001</v>
      </c>
      <c r="E2034">
        <v>0.10073293999999899</v>
      </c>
      <c r="F2034">
        <v>0.20911520249999899</v>
      </c>
    </row>
    <row r="2035" spans="1:6" x14ac:dyDescent="0.2">
      <c r="A2035" t="s">
        <v>3158</v>
      </c>
      <c r="B2035" t="s">
        <v>703</v>
      </c>
      <c r="D2035">
        <v>0</v>
      </c>
      <c r="E2035">
        <v>0</v>
      </c>
      <c r="F2035">
        <v>0</v>
      </c>
    </row>
    <row r="2036" spans="1:6" x14ac:dyDescent="0.2">
      <c r="A2036" t="s">
        <v>3159</v>
      </c>
      <c r="B2036" t="s">
        <v>903</v>
      </c>
      <c r="C2036" t="s">
        <v>904</v>
      </c>
      <c r="D2036">
        <v>4.14518940999999E-2</v>
      </c>
      <c r="E2036">
        <v>2.6103222499999999E-2</v>
      </c>
      <c r="F2036">
        <v>6.2339544999999899E-2</v>
      </c>
    </row>
    <row r="2037" spans="1:6" x14ac:dyDescent="0.2">
      <c r="A2037" t="s">
        <v>3160</v>
      </c>
      <c r="B2037" t="s">
        <v>906</v>
      </c>
      <c r="C2037" t="s">
        <v>907</v>
      </c>
      <c r="D2037">
        <v>7.1653432699999894E-2</v>
      </c>
      <c r="E2037">
        <v>4.6600777500000003E-2</v>
      </c>
      <c r="F2037">
        <v>0.10308943</v>
      </c>
    </row>
    <row r="2038" spans="1:6" x14ac:dyDescent="0.2">
      <c r="A2038" t="s">
        <v>3161</v>
      </c>
      <c r="B2038" t="s">
        <v>909</v>
      </c>
      <c r="C2038" t="s">
        <v>910</v>
      </c>
      <c r="D2038">
        <v>0.17906669619999999</v>
      </c>
      <c r="E2038">
        <v>0.1215548</v>
      </c>
      <c r="F2038">
        <v>0.25072915749999902</v>
      </c>
    </row>
    <row r="2039" spans="1:6" x14ac:dyDescent="0.2">
      <c r="A2039" t="s">
        <v>3162</v>
      </c>
      <c r="B2039" t="s">
        <v>855</v>
      </c>
      <c r="C2039" t="s">
        <v>856</v>
      </c>
      <c r="D2039">
        <v>3.69639789999999E-3</v>
      </c>
      <c r="E2039">
        <v>1.3124725E-3</v>
      </c>
      <c r="F2039">
        <v>8.1387825000000004E-3</v>
      </c>
    </row>
    <row r="2040" spans="1:6" x14ac:dyDescent="0.2">
      <c r="A2040" t="s">
        <v>3163</v>
      </c>
      <c r="B2040" t="s">
        <v>858</v>
      </c>
      <c r="C2040" t="s">
        <v>859</v>
      </c>
      <c r="D2040">
        <v>5.1541961499999997E-2</v>
      </c>
      <c r="E2040">
        <v>3.3847374999999999E-2</v>
      </c>
      <c r="F2040">
        <v>7.5721812499999999E-2</v>
      </c>
    </row>
    <row r="2041" spans="1:6" x14ac:dyDescent="0.2">
      <c r="A2041" t="s">
        <v>3164</v>
      </c>
      <c r="B2041" t="s">
        <v>861</v>
      </c>
      <c r="C2041" t="s">
        <v>862</v>
      </c>
      <c r="D2041">
        <v>0.14876615300000001</v>
      </c>
      <c r="E2041">
        <v>0.10073293999999899</v>
      </c>
      <c r="F2041">
        <v>0.20911520249999899</v>
      </c>
    </row>
    <row r="2042" spans="1:6" x14ac:dyDescent="0.2">
      <c r="A2042" t="s">
        <v>3165</v>
      </c>
      <c r="B2042" t="s">
        <v>916</v>
      </c>
      <c r="C2042" t="s">
        <v>917</v>
      </c>
      <c r="D2042">
        <v>4.9011414699999999E-2</v>
      </c>
      <c r="E2042">
        <v>3.1121342499999899E-2</v>
      </c>
      <c r="F2042">
        <v>7.2092547499999896E-2</v>
      </c>
    </row>
    <row r="2043" spans="1:6" x14ac:dyDescent="0.2">
      <c r="A2043" t="s">
        <v>3166</v>
      </c>
      <c r="B2043" t="s">
        <v>769</v>
      </c>
    </row>
    <row r="2044" spans="1:6" x14ac:dyDescent="0.2">
      <c r="A2044" t="s">
        <v>3167</v>
      </c>
      <c r="B2044" t="s">
        <v>703</v>
      </c>
      <c r="D2044">
        <v>0</v>
      </c>
      <c r="E2044">
        <v>0</v>
      </c>
      <c r="F2044">
        <v>0</v>
      </c>
    </row>
    <row r="2045" spans="1:6" x14ac:dyDescent="0.2">
      <c r="A2045" t="s">
        <v>3168</v>
      </c>
      <c r="B2045" t="s">
        <v>855</v>
      </c>
      <c r="C2045" t="s">
        <v>856</v>
      </c>
      <c r="D2045">
        <v>3.69639789999999E-3</v>
      </c>
      <c r="E2045">
        <v>1.3124725E-3</v>
      </c>
      <c r="F2045">
        <v>8.1387825000000004E-3</v>
      </c>
    </row>
    <row r="2046" spans="1:6" x14ac:dyDescent="0.2">
      <c r="A2046" t="s">
        <v>3169</v>
      </c>
      <c r="B2046" t="s">
        <v>858</v>
      </c>
      <c r="C2046" t="s">
        <v>859</v>
      </c>
      <c r="D2046">
        <v>5.1541961499999997E-2</v>
      </c>
      <c r="E2046">
        <v>3.3847374999999999E-2</v>
      </c>
      <c r="F2046">
        <v>7.5721812499999999E-2</v>
      </c>
    </row>
    <row r="2047" spans="1:6" x14ac:dyDescent="0.2">
      <c r="A2047" t="s">
        <v>3170</v>
      </c>
      <c r="B2047" t="s">
        <v>861</v>
      </c>
      <c r="C2047" t="s">
        <v>862</v>
      </c>
      <c r="D2047">
        <v>0.14876615300000001</v>
      </c>
      <c r="E2047">
        <v>0.10073293999999899</v>
      </c>
      <c r="F2047">
        <v>0.20911520249999899</v>
      </c>
    </row>
    <row r="2048" spans="1:6" x14ac:dyDescent="0.2">
      <c r="A2048" t="s">
        <v>3171</v>
      </c>
      <c r="B2048" t="s">
        <v>703</v>
      </c>
      <c r="D2048">
        <v>0</v>
      </c>
      <c r="E2048">
        <v>0</v>
      </c>
      <c r="F2048">
        <v>0</v>
      </c>
    </row>
    <row r="2049" spans="1:6" x14ac:dyDescent="0.2">
      <c r="A2049" t="s">
        <v>3172</v>
      </c>
      <c r="B2049" t="s">
        <v>855</v>
      </c>
      <c r="C2049" t="s">
        <v>856</v>
      </c>
      <c r="D2049">
        <v>3.69639789999999E-3</v>
      </c>
      <c r="E2049">
        <v>1.3124725E-3</v>
      </c>
      <c r="F2049">
        <v>8.1387825000000004E-3</v>
      </c>
    </row>
    <row r="2050" spans="1:6" x14ac:dyDescent="0.2">
      <c r="A2050" t="s">
        <v>3173</v>
      </c>
      <c r="B2050" t="s">
        <v>858</v>
      </c>
      <c r="C2050" t="s">
        <v>859</v>
      </c>
      <c r="D2050">
        <v>5.1541961499999997E-2</v>
      </c>
      <c r="E2050">
        <v>3.3847374999999999E-2</v>
      </c>
      <c r="F2050">
        <v>7.5721812499999999E-2</v>
      </c>
    </row>
    <row r="2051" spans="1:6" x14ac:dyDescent="0.2">
      <c r="A2051" t="s">
        <v>3174</v>
      </c>
      <c r="B2051" t="s">
        <v>861</v>
      </c>
      <c r="C2051" t="s">
        <v>862</v>
      </c>
      <c r="D2051">
        <v>0.14876615300000001</v>
      </c>
      <c r="E2051">
        <v>0.10073293999999899</v>
      </c>
      <c r="F2051">
        <v>0.20911520249999899</v>
      </c>
    </row>
    <row r="2052" spans="1:6" x14ac:dyDescent="0.2">
      <c r="A2052" t="s">
        <v>3175</v>
      </c>
      <c r="B2052" t="s">
        <v>903</v>
      </c>
      <c r="C2052" t="s">
        <v>904</v>
      </c>
      <c r="D2052">
        <v>4.14518940999999E-2</v>
      </c>
      <c r="E2052">
        <v>2.6103222499999999E-2</v>
      </c>
      <c r="F2052">
        <v>6.2339544999999899E-2</v>
      </c>
    </row>
    <row r="2053" spans="1:6" x14ac:dyDescent="0.2">
      <c r="A2053" t="s">
        <v>3176</v>
      </c>
      <c r="B2053" t="s">
        <v>906</v>
      </c>
      <c r="C2053" t="s">
        <v>907</v>
      </c>
      <c r="D2053">
        <v>7.1653432699999894E-2</v>
      </c>
      <c r="E2053">
        <v>4.6600777500000003E-2</v>
      </c>
      <c r="F2053">
        <v>0.10308943</v>
      </c>
    </row>
    <row r="2054" spans="1:6" x14ac:dyDescent="0.2">
      <c r="A2054" t="s">
        <v>3177</v>
      </c>
      <c r="B2054" t="s">
        <v>909</v>
      </c>
      <c r="C2054" t="s">
        <v>910</v>
      </c>
      <c r="D2054">
        <v>0.17906669619999999</v>
      </c>
      <c r="E2054">
        <v>0.1215548</v>
      </c>
      <c r="F2054">
        <v>0.25072915749999902</v>
      </c>
    </row>
    <row r="2055" spans="1:6" x14ac:dyDescent="0.2">
      <c r="A2055" t="s">
        <v>3178</v>
      </c>
      <c r="B2055" t="s">
        <v>916</v>
      </c>
      <c r="C2055" t="s">
        <v>917</v>
      </c>
      <c r="D2055">
        <v>4.9011414699999999E-2</v>
      </c>
      <c r="E2055">
        <v>3.1121342499999899E-2</v>
      </c>
      <c r="F2055">
        <v>7.2092547499999896E-2</v>
      </c>
    </row>
    <row r="2056" spans="1:6" x14ac:dyDescent="0.2">
      <c r="A2056" t="s">
        <v>3179</v>
      </c>
      <c r="B2056" t="s">
        <v>903</v>
      </c>
      <c r="C2056" t="s">
        <v>904</v>
      </c>
      <c r="D2056">
        <v>4.14518940999999E-2</v>
      </c>
      <c r="E2056">
        <v>2.6103222499999999E-2</v>
      </c>
      <c r="F2056">
        <v>6.2339544999999899E-2</v>
      </c>
    </row>
    <row r="2057" spans="1:6" x14ac:dyDescent="0.2">
      <c r="A2057" t="s">
        <v>3180</v>
      </c>
      <c r="B2057" t="s">
        <v>906</v>
      </c>
      <c r="C2057" t="s">
        <v>907</v>
      </c>
      <c r="D2057">
        <v>7.1653432699999894E-2</v>
      </c>
      <c r="E2057">
        <v>4.6600777500000003E-2</v>
      </c>
      <c r="F2057">
        <v>0.10308943</v>
      </c>
    </row>
    <row r="2058" spans="1:6" x14ac:dyDescent="0.2">
      <c r="A2058" t="s">
        <v>3181</v>
      </c>
      <c r="B2058" t="s">
        <v>909</v>
      </c>
      <c r="C2058" t="s">
        <v>910</v>
      </c>
      <c r="D2058">
        <v>0.17906669619999999</v>
      </c>
      <c r="E2058">
        <v>0.1215548</v>
      </c>
      <c r="F2058">
        <v>0.25072915749999902</v>
      </c>
    </row>
    <row r="2059" spans="1:6" x14ac:dyDescent="0.2">
      <c r="A2059" t="s">
        <v>3182</v>
      </c>
      <c r="B2059" t="s">
        <v>916</v>
      </c>
      <c r="C2059" t="s">
        <v>917</v>
      </c>
      <c r="D2059">
        <v>4.9011414699999999E-2</v>
      </c>
      <c r="E2059">
        <v>3.1121342499999899E-2</v>
      </c>
      <c r="F2059">
        <v>7.2092547499999896E-2</v>
      </c>
    </row>
    <row r="2060" spans="1:6" x14ac:dyDescent="0.2">
      <c r="A2060" t="s">
        <v>3183</v>
      </c>
      <c r="B2060" t="s">
        <v>703</v>
      </c>
      <c r="D2060">
        <v>0</v>
      </c>
      <c r="E2060">
        <v>0</v>
      </c>
      <c r="F2060">
        <v>0</v>
      </c>
    </row>
    <row r="2061" spans="1:6" x14ac:dyDescent="0.2">
      <c r="A2061" t="s">
        <v>3184</v>
      </c>
      <c r="B2061" t="s">
        <v>855</v>
      </c>
      <c r="C2061" t="s">
        <v>856</v>
      </c>
      <c r="D2061">
        <v>3.69639789999999E-3</v>
      </c>
      <c r="E2061">
        <v>1.3124725E-3</v>
      </c>
      <c r="F2061">
        <v>8.1387825000000004E-3</v>
      </c>
    </row>
    <row r="2062" spans="1:6" x14ac:dyDescent="0.2">
      <c r="A2062" t="s">
        <v>3185</v>
      </c>
      <c r="B2062" t="s">
        <v>858</v>
      </c>
      <c r="C2062" t="s">
        <v>859</v>
      </c>
      <c r="D2062">
        <v>5.1541961499999997E-2</v>
      </c>
      <c r="E2062">
        <v>3.3847374999999999E-2</v>
      </c>
      <c r="F2062">
        <v>7.5721812499999999E-2</v>
      </c>
    </row>
    <row r="2063" spans="1:6" x14ac:dyDescent="0.2">
      <c r="A2063" t="s">
        <v>3186</v>
      </c>
      <c r="B2063" t="s">
        <v>861</v>
      </c>
      <c r="C2063" t="s">
        <v>862</v>
      </c>
      <c r="D2063">
        <v>0.14876615300000001</v>
      </c>
      <c r="E2063">
        <v>0.10073293999999899</v>
      </c>
      <c r="F2063">
        <v>0.20911520249999899</v>
      </c>
    </row>
    <row r="2064" spans="1:6" x14ac:dyDescent="0.2">
      <c r="A2064" t="s">
        <v>3187</v>
      </c>
      <c r="B2064" t="s">
        <v>3188</v>
      </c>
      <c r="C2064" t="s">
        <v>3189</v>
      </c>
      <c r="D2064">
        <v>1.01597553E-2</v>
      </c>
      <c r="E2064">
        <v>4.6177049999999997E-3</v>
      </c>
      <c r="F2064">
        <v>1.9387962499999901E-2</v>
      </c>
    </row>
    <row r="2065" spans="1:6" x14ac:dyDescent="0.2">
      <c r="A2065" t="s">
        <v>3190</v>
      </c>
      <c r="B2065" t="s">
        <v>703</v>
      </c>
      <c r="D2065">
        <v>0</v>
      </c>
      <c r="E2065">
        <v>0</v>
      </c>
      <c r="F2065">
        <v>0</v>
      </c>
    </row>
    <row r="2066" spans="1:6" x14ac:dyDescent="0.2">
      <c r="A2066" t="s">
        <v>3191</v>
      </c>
      <c r="B2066" t="s">
        <v>3188</v>
      </c>
      <c r="C2066" t="s">
        <v>3189</v>
      </c>
      <c r="D2066">
        <v>1.01597553E-2</v>
      </c>
      <c r="E2066">
        <v>4.6177049999999997E-3</v>
      </c>
      <c r="F2066">
        <v>1.9387962499999901E-2</v>
      </c>
    </row>
    <row r="2067" spans="1:6" x14ac:dyDescent="0.2">
      <c r="A2067" t="s">
        <v>3192</v>
      </c>
      <c r="B2067" t="s">
        <v>703</v>
      </c>
      <c r="D2067">
        <v>0</v>
      </c>
      <c r="E2067">
        <v>0</v>
      </c>
      <c r="F2067">
        <v>0</v>
      </c>
    </row>
    <row r="2068" spans="1:6" x14ac:dyDescent="0.2">
      <c r="A2068" t="s">
        <v>3193</v>
      </c>
      <c r="B2068" t="s">
        <v>3194</v>
      </c>
      <c r="C2068" t="s">
        <v>3195</v>
      </c>
      <c r="D2068">
        <v>6.79631659999999E-3</v>
      </c>
      <c r="E2068">
        <v>2.7056624999999999E-3</v>
      </c>
      <c r="F2068">
        <v>1.4042045E-2</v>
      </c>
    </row>
    <row r="2069" spans="1:6" x14ac:dyDescent="0.2">
      <c r="A2069" t="s">
        <v>3196</v>
      </c>
      <c r="B2069" t="s">
        <v>3197</v>
      </c>
      <c r="C2069" t="s">
        <v>3198</v>
      </c>
      <c r="D2069">
        <v>6.7445715199999895E-2</v>
      </c>
      <c r="E2069">
        <v>4.4757399999999899E-2</v>
      </c>
      <c r="F2069">
        <v>9.5107044999999904E-2</v>
      </c>
    </row>
    <row r="2070" spans="1:6" x14ac:dyDescent="0.2">
      <c r="A2070" t="s">
        <v>3199</v>
      </c>
      <c r="B2070" t="s">
        <v>703</v>
      </c>
      <c r="D2070">
        <v>0</v>
      </c>
      <c r="E2070">
        <v>0</v>
      </c>
      <c r="F2070">
        <v>0</v>
      </c>
    </row>
    <row r="2071" spans="1:6" x14ac:dyDescent="0.2">
      <c r="A2071" t="s">
        <v>3200</v>
      </c>
      <c r="B2071" t="s">
        <v>719</v>
      </c>
      <c r="C2071" t="s">
        <v>720</v>
      </c>
      <c r="D2071">
        <v>5.7864971999999903E-3</v>
      </c>
      <c r="E2071">
        <v>2.29985E-3</v>
      </c>
      <c r="F2071">
        <v>1.2109072499999899E-2</v>
      </c>
    </row>
    <row r="2072" spans="1:6" x14ac:dyDescent="0.2">
      <c r="A2072" t="s">
        <v>3201</v>
      </c>
      <c r="B2072" t="s">
        <v>705</v>
      </c>
      <c r="C2072" t="s">
        <v>706</v>
      </c>
      <c r="D2072">
        <v>5.0594945799999902E-2</v>
      </c>
      <c r="E2072">
        <v>3.2378222499999998E-2</v>
      </c>
      <c r="F2072">
        <v>7.4050449999999907E-2</v>
      </c>
    </row>
    <row r="2073" spans="1:6" x14ac:dyDescent="0.2">
      <c r="A2073" t="s">
        <v>3202</v>
      </c>
      <c r="B2073" t="s">
        <v>3203</v>
      </c>
      <c r="C2073" t="s">
        <v>3204</v>
      </c>
      <c r="D2073">
        <v>1.8608607299999899E-2</v>
      </c>
      <c r="E2073">
        <v>9.7385724999999902E-3</v>
      </c>
      <c r="F2073">
        <v>3.1825087499999898E-2</v>
      </c>
    </row>
    <row r="2074" spans="1:6" x14ac:dyDescent="0.2">
      <c r="A2074" t="s">
        <v>3205</v>
      </c>
      <c r="B2074" t="s">
        <v>916</v>
      </c>
      <c r="C2074" t="s">
        <v>917</v>
      </c>
      <c r="D2074">
        <v>4.9011414699999999E-2</v>
      </c>
      <c r="E2074">
        <v>3.1121342499999899E-2</v>
      </c>
      <c r="F2074">
        <v>7.2092547499999896E-2</v>
      </c>
    </row>
    <row r="2075" spans="1:6" x14ac:dyDescent="0.2">
      <c r="A2075" t="s">
        <v>3206</v>
      </c>
      <c r="B2075" t="s">
        <v>3207</v>
      </c>
      <c r="C2075" t="s">
        <v>3208</v>
      </c>
      <c r="D2075">
        <v>0.14501638459999999</v>
      </c>
      <c r="E2075">
        <v>9.6211445000000007E-2</v>
      </c>
      <c r="F2075">
        <v>0.20248986999999899</v>
      </c>
    </row>
    <row r="2076" spans="1:6" x14ac:dyDescent="0.2">
      <c r="A2076" t="s">
        <v>3209</v>
      </c>
      <c r="B2076" t="s">
        <v>916</v>
      </c>
      <c r="C2076" t="s">
        <v>917</v>
      </c>
      <c r="D2076">
        <v>4.9011414699999999E-2</v>
      </c>
      <c r="E2076">
        <v>3.1121342499999899E-2</v>
      </c>
      <c r="F2076">
        <v>7.2092547499999896E-2</v>
      </c>
    </row>
    <row r="2077" spans="1:6" x14ac:dyDescent="0.2">
      <c r="A2077" t="s">
        <v>3210</v>
      </c>
      <c r="B2077" t="s">
        <v>3211</v>
      </c>
      <c r="C2077" t="s">
        <v>3212</v>
      </c>
      <c r="D2077">
        <v>0.15851353730000001</v>
      </c>
      <c r="E2077">
        <v>0.10577170749999899</v>
      </c>
      <c r="F2077">
        <v>0.226278484999999</v>
      </c>
    </row>
    <row r="2078" spans="1:6" x14ac:dyDescent="0.2">
      <c r="A2078" t="s">
        <v>3213</v>
      </c>
      <c r="B2078" t="s">
        <v>1221</v>
      </c>
      <c r="C2078" t="s">
        <v>1222</v>
      </c>
      <c r="D2078">
        <v>3.0370671000000001E-3</v>
      </c>
      <c r="E2078">
        <v>1.0119875E-3</v>
      </c>
      <c r="F2078">
        <v>6.95614499999999E-3</v>
      </c>
    </row>
    <row r="2079" spans="1:6" x14ac:dyDescent="0.2">
      <c r="A2079" t="s">
        <v>3214</v>
      </c>
      <c r="B2079" t="s">
        <v>1554</v>
      </c>
      <c r="C2079" t="s">
        <v>653</v>
      </c>
      <c r="D2079">
        <v>0.11550699671223399</v>
      </c>
      <c r="E2079">
        <v>7.6176283662702099E-2</v>
      </c>
      <c r="F2079">
        <v>0.16382252235911099</v>
      </c>
    </row>
    <row r="2080" spans="1:6" x14ac:dyDescent="0.2">
      <c r="A2080" t="s">
        <v>3215</v>
      </c>
      <c r="B2080" t="s">
        <v>1556</v>
      </c>
      <c r="C2080" t="s">
        <v>653</v>
      </c>
      <c r="D2080">
        <v>0.10849538907589</v>
      </c>
      <c r="E2080">
        <v>7.3519290042004998E-2</v>
      </c>
      <c r="F2080">
        <v>0.15402047107273001</v>
      </c>
    </row>
    <row r="2081" spans="1:6" x14ac:dyDescent="0.2">
      <c r="A2081" t="s">
        <v>3216</v>
      </c>
      <c r="B2081" t="s">
        <v>1558</v>
      </c>
      <c r="C2081" t="s">
        <v>653</v>
      </c>
      <c r="D2081">
        <v>0.13651289717948001</v>
      </c>
      <c r="E2081">
        <v>9.1287636148285098E-2</v>
      </c>
      <c r="F2081">
        <v>0.19065364996242601</v>
      </c>
    </row>
    <row r="2082" spans="1:6" x14ac:dyDescent="0.2">
      <c r="A2082" t="s">
        <v>3217</v>
      </c>
      <c r="B2082" t="s">
        <v>1560</v>
      </c>
      <c r="C2082" t="s">
        <v>653</v>
      </c>
      <c r="D2082">
        <v>0.236222262269112</v>
      </c>
      <c r="E2082">
        <v>0.165268246791726</v>
      </c>
      <c r="F2082">
        <v>0.31938408271870899</v>
      </c>
    </row>
    <row r="2083" spans="1:6" x14ac:dyDescent="0.2">
      <c r="A2083" t="s">
        <v>3218</v>
      </c>
      <c r="B2083" t="s">
        <v>1551</v>
      </c>
      <c r="C2083" t="s">
        <v>1552</v>
      </c>
      <c r="D2083">
        <v>7.0059834899999895E-2</v>
      </c>
      <c r="E2083">
        <v>4.6415625000000002E-2</v>
      </c>
      <c r="F2083">
        <v>9.9395024999999998E-2</v>
      </c>
    </row>
    <row r="2084" spans="1:6" x14ac:dyDescent="0.2">
      <c r="A2084" t="s">
        <v>3219</v>
      </c>
      <c r="B2084" t="s">
        <v>3123</v>
      </c>
      <c r="D2084">
        <v>0.32486781932866299</v>
      </c>
      <c r="E2084">
        <v>0.219193149524776</v>
      </c>
      <c r="F2084">
        <v>0.443466462821477</v>
      </c>
    </row>
    <row r="2085" spans="1:6" x14ac:dyDescent="0.2">
      <c r="A2085" t="s">
        <v>3220</v>
      </c>
      <c r="B2085" t="s">
        <v>1567</v>
      </c>
      <c r="C2085" t="s">
        <v>653</v>
      </c>
      <c r="D2085">
        <v>0.34449130984930698</v>
      </c>
      <c r="E2085">
        <v>0.23749653804307799</v>
      </c>
      <c r="F2085">
        <v>0.46443068990940301</v>
      </c>
    </row>
    <row r="2086" spans="1:6" x14ac:dyDescent="0.2">
      <c r="A2086" t="s">
        <v>3221</v>
      </c>
      <c r="B2086" t="s">
        <v>1569</v>
      </c>
      <c r="C2086" t="s">
        <v>653</v>
      </c>
      <c r="D2086">
        <v>0.36481637276607598</v>
      </c>
      <c r="E2086">
        <v>0.25318012588344602</v>
      </c>
      <c r="F2086">
        <v>0.48666830599338701</v>
      </c>
    </row>
    <row r="2087" spans="1:6" x14ac:dyDescent="0.2">
      <c r="A2087" t="s">
        <v>3222</v>
      </c>
      <c r="B2087" t="s">
        <v>1571</v>
      </c>
      <c r="C2087" t="s">
        <v>653</v>
      </c>
      <c r="D2087">
        <v>0.43701702717526802</v>
      </c>
      <c r="E2087">
        <v>0.30824900681738598</v>
      </c>
      <c r="F2087">
        <v>0.57526310552081905</v>
      </c>
    </row>
    <row r="2088" spans="1:6" x14ac:dyDescent="0.2">
      <c r="A2088" t="s">
        <v>3223</v>
      </c>
      <c r="B2088" t="s">
        <v>1562</v>
      </c>
      <c r="C2088" t="s">
        <v>1563</v>
      </c>
      <c r="D2088">
        <v>0.31634430260000002</v>
      </c>
      <c r="E2088">
        <v>0.205675055</v>
      </c>
      <c r="F2088">
        <v>0.4373492725</v>
      </c>
    </row>
    <row r="2089" spans="1:6" x14ac:dyDescent="0.2">
      <c r="A2089" t="s">
        <v>3224</v>
      </c>
      <c r="B2089" t="s">
        <v>1576</v>
      </c>
      <c r="C2089" t="s">
        <v>653</v>
      </c>
      <c r="D2089">
        <v>0.57375326559862805</v>
      </c>
      <c r="E2089">
        <v>0.40780612002858802</v>
      </c>
      <c r="F2089">
        <v>0.721438061881714</v>
      </c>
    </row>
    <row r="2090" spans="1:6" x14ac:dyDescent="0.2">
      <c r="A2090" t="s">
        <v>3225</v>
      </c>
      <c r="B2090" t="s">
        <v>1578</v>
      </c>
      <c r="C2090" t="s">
        <v>653</v>
      </c>
      <c r="D2090">
        <v>0.57045221168801397</v>
      </c>
      <c r="E2090">
        <v>0.40349875206823499</v>
      </c>
      <c r="F2090">
        <v>0.72040329063216701</v>
      </c>
    </row>
    <row r="2091" spans="1:6" x14ac:dyDescent="0.2">
      <c r="A2091" t="s">
        <v>3226</v>
      </c>
      <c r="B2091" t="s">
        <v>1580</v>
      </c>
      <c r="C2091" t="s">
        <v>653</v>
      </c>
      <c r="D2091">
        <v>0.58355582358288305</v>
      </c>
      <c r="E2091">
        <v>0.417199500716877</v>
      </c>
      <c r="F2091">
        <v>0.73236616822837197</v>
      </c>
    </row>
    <row r="2092" spans="1:6" x14ac:dyDescent="0.2">
      <c r="A2092" t="s">
        <v>3227</v>
      </c>
      <c r="B2092" t="s">
        <v>1582</v>
      </c>
      <c r="C2092" t="s">
        <v>653</v>
      </c>
      <c r="D2092">
        <v>0.62989166068075297</v>
      </c>
      <c r="E2092">
        <v>0.45832308006611999</v>
      </c>
      <c r="F2092">
        <v>0.77673933035490395</v>
      </c>
    </row>
    <row r="2093" spans="1:6" x14ac:dyDescent="0.2">
      <c r="A2093" t="s">
        <v>3228</v>
      </c>
      <c r="B2093" t="s">
        <v>1573</v>
      </c>
      <c r="C2093" t="s">
        <v>1574</v>
      </c>
      <c r="D2093">
        <v>0.55200139250000002</v>
      </c>
      <c r="E2093">
        <v>0.37678311249999902</v>
      </c>
      <c r="F2093">
        <v>0.70691958999999904</v>
      </c>
    </row>
    <row r="2094" spans="1:6" x14ac:dyDescent="0.2">
      <c r="A2094" t="s">
        <v>3229</v>
      </c>
      <c r="B2094" t="s">
        <v>1584</v>
      </c>
      <c r="C2094" t="s">
        <v>1585</v>
      </c>
      <c r="D2094">
        <v>0.58754583439999997</v>
      </c>
      <c r="E2094">
        <v>0.4109979775</v>
      </c>
      <c r="F2094">
        <v>0.74443417249999999</v>
      </c>
    </row>
    <row r="2095" spans="1:6" x14ac:dyDescent="0.2">
      <c r="A2095" t="s">
        <v>3230</v>
      </c>
      <c r="B2095" t="s">
        <v>1587</v>
      </c>
      <c r="C2095" t="s">
        <v>653</v>
      </c>
      <c r="D2095">
        <v>0.60757001409394795</v>
      </c>
      <c r="E2095">
        <v>0.43828786630579902</v>
      </c>
      <c r="F2095">
        <v>0.75934048659864295</v>
      </c>
    </row>
    <row r="2096" spans="1:6" x14ac:dyDescent="0.2">
      <c r="A2096" t="s">
        <v>3231</v>
      </c>
      <c r="B2096" t="s">
        <v>1589</v>
      </c>
      <c r="C2096" t="s">
        <v>653</v>
      </c>
      <c r="D2096">
        <v>0.604535787675755</v>
      </c>
      <c r="E2096">
        <v>0.43625818319187298</v>
      </c>
      <c r="F2096">
        <v>0.75809155397980998</v>
      </c>
    </row>
    <row r="2097" spans="1:6" x14ac:dyDescent="0.2">
      <c r="A2097" t="s">
        <v>3232</v>
      </c>
      <c r="B2097" t="s">
        <v>1591</v>
      </c>
      <c r="C2097" t="s">
        <v>653</v>
      </c>
      <c r="D2097">
        <v>0.616569518087146</v>
      </c>
      <c r="E2097">
        <v>0.447985945937315</v>
      </c>
      <c r="F2097">
        <v>0.76819352683282904</v>
      </c>
    </row>
    <row r="2098" spans="1:6" x14ac:dyDescent="0.2">
      <c r="A2098" t="s">
        <v>3233</v>
      </c>
      <c r="B2098" t="s">
        <v>1593</v>
      </c>
      <c r="C2098" t="s">
        <v>653</v>
      </c>
      <c r="D2098">
        <v>0.65906096991707197</v>
      </c>
      <c r="E2098">
        <v>0.48854045382489703</v>
      </c>
      <c r="F2098">
        <v>0.80805342256143697</v>
      </c>
    </row>
    <row r="2099" spans="1:6" x14ac:dyDescent="0.2">
      <c r="A2099" t="s">
        <v>3234</v>
      </c>
      <c r="B2099" t="s">
        <v>1554</v>
      </c>
      <c r="C2099" t="s">
        <v>653</v>
      </c>
      <c r="D2099">
        <v>0.11550699671223399</v>
      </c>
      <c r="E2099">
        <v>7.6176283662702099E-2</v>
      </c>
      <c r="F2099">
        <v>0.16382252235911099</v>
      </c>
    </row>
    <row r="2100" spans="1:6" x14ac:dyDescent="0.2">
      <c r="A2100" t="s">
        <v>3235</v>
      </c>
      <c r="B2100" t="s">
        <v>1556</v>
      </c>
      <c r="C2100" t="s">
        <v>653</v>
      </c>
      <c r="D2100">
        <v>0.10849538907589</v>
      </c>
      <c r="E2100">
        <v>7.3519290042004998E-2</v>
      </c>
      <c r="F2100">
        <v>0.15402047107273001</v>
      </c>
    </row>
    <row r="2101" spans="1:6" x14ac:dyDescent="0.2">
      <c r="A2101" t="s">
        <v>3236</v>
      </c>
      <c r="B2101" t="s">
        <v>1558</v>
      </c>
      <c r="C2101" t="s">
        <v>653</v>
      </c>
      <c r="D2101">
        <v>0.13651289717948001</v>
      </c>
      <c r="E2101">
        <v>9.1287636148285098E-2</v>
      </c>
      <c r="F2101">
        <v>0.19065364996242601</v>
      </c>
    </row>
    <row r="2102" spans="1:6" x14ac:dyDescent="0.2">
      <c r="A2102" t="s">
        <v>3237</v>
      </c>
      <c r="B2102" t="s">
        <v>1560</v>
      </c>
      <c r="C2102" t="s">
        <v>653</v>
      </c>
      <c r="D2102">
        <v>0.236222262269112</v>
      </c>
      <c r="E2102">
        <v>0.165268246791726</v>
      </c>
      <c r="F2102">
        <v>0.31938408271870899</v>
      </c>
    </row>
    <row r="2103" spans="1:6" x14ac:dyDescent="0.2">
      <c r="A2103" t="s">
        <v>3238</v>
      </c>
      <c r="B2103" t="s">
        <v>1551</v>
      </c>
      <c r="C2103" t="s">
        <v>1552</v>
      </c>
      <c r="D2103">
        <v>7.0059834899999895E-2</v>
      </c>
      <c r="E2103">
        <v>4.6415625000000002E-2</v>
      </c>
      <c r="F2103">
        <v>9.9395024999999998E-2</v>
      </c>
    </row>
    <row r="2104" spans="1:6" x14ac:dyDescent="0.2">
      <c r="A2104" t="s">
        <v>3239</v>
      </c>
      <c r="B2104" t="s">
        <v>3123</v>
      </c>
      <c r="D2104">
        <v>0.32486781932866299</v>
      </c>
      <c r="E2104">
        <v>0.219193149524776</v>
      </c>
      <c r="F2104">
        <v>0.443466462821477</v>
      </c>
    </row>
    <row r="2105" spans="1:6" x14ac:dyDescent="0.2">
      <c r="A2105" t="s">
        <v>3240</v>
      </c>
      <c r="B2105" t="s">
        <v>1567</v>
      </c>
      <c r="C2105" t="s">
        <v>653</v>
      </c>
      <c r="D2105">
        <v>0.34449130984930698</v>
      </c>
      <c r="E2105">
        <v>0.23749653804307799</v>
      </c>
      <c r="F2105">
        <v>0.46443068990940301</v>
      </c>
    </row>
    <row r="2106" spans="1:6" x14ac:dyDescent="0.2">
      <c r="A2106" t="s">
        <v>3241</v>
      </c>
      <c r="B2106" t="s">
        <v>1569</v>
      </c>
      <c r="C2106" t="s">
        <v>653</v>
      </c>
      <c r="D2106">
        <v>0.36481637276607598</v>
      </c>
      <c r="E2106">
        <v>0.25318012588344602</v>
      </c>
      <c r="F2106">
        <v>0.48666830599338701</v>
      </c>
    </row>
    <row r="2107" spans="1:6" x14ac:dyDescent="0.2">
      <c r="A2107" t="s">
        <v>3242</v>
      </c>
      <c r="B2107" t="s">
        <v>1571</v>
      </c>
      <c r="C2107" t="s">
        <v>653</v>
      </c>
      <c r="D2107">
        <v>0.43701702717526802</v>
      </c>
      <c r="E2107">
        <v>0.30824900681738598</v>
      </c>
      <c r="F2107">
        <v>0.57526310552081905</v>
      </c>
    </row>
    <row r="2108" spans="1:6" x14ac:dyDescent="0.2">
      <c r="A2108" t="s">
        <v>3243</v>
      </c>
      <c r="B2108" t="s">
        <v>1562</v>
      </c>
      <c r="C2108" t="s">
        <v>1563</v>
      </c>
      <c r="D2108">
        <v>0.31634430260000002</v>
      </c>
      <c r="E2108">
        <v>0.205675055</v>
      </c>
      <c r="F2108">
        <v>0.4373492725</v>
      </c>
    </row>
    <row r="2109" spans="1:6" x14ac:dyDescent="0.2">
      <c r="A2109" t="s">
        <v>3244</v>
      </c>
      <c r="B2109" t="s">
        <v>1576</v>
      </c>
      <c r="C2109" t="s">
        <v>653</v>
      </c>
      <c r="D2109">
        <v>0.57375326559862805</v>
      </c>
      <c r="E2109">
        <v>0.40780612002858802</v>
      </c>
      <c r="F2109">
        <v>0.721438061881714</v>
      </c>
    </row>
    <row r="2110" spans="1:6" x14ac:dyDescent="0.2">
      <c r="A2110" t="s">
        <v>3245</v>
      </c>
      <c r="B2110" t="s">
        <v>1578</v>
      </c>
      <c r="C2110" t="s">
        <v>653</v>
      </c>
      <c r="D2110">
        <v>0.57045221168801397</v>
      </c>
      <c r="E2110">
        <v>0.40349875206823499</v>
      </c>
      <c r="F2110">
        <v>0.72040329063216701</v>
      </c>
    </row>
    <row r="2111" spans="1:6" x14ac:dyDescent="0.2">
      <c r="A2111" t="s">
        <v>3246</v>
      </c>
      <c r="B2111" t="s">
        <v>1580</v>
      </c>
      <c r="C2111" t="s">
        <v>653</v>
      </c>
      <c r="D2111">
        <v>0.58355582358288305</v>
      </c>
      <c r="E2111">
        <v>0.417199500716877</v>
      </c>
      <c r="F2111">
        <v>0.73236616822837197</v>
      </c>
    </row>
    <row r="2112" spans="1:6" x14ac:dyDescent="0.2">
      <c r="A2112" t="s">
        <v>3247</v>
      </c>
      <c r="B2112" t="s">
        <v>1582</v>
      </c>
      <c r="C2112" t="s">
        <v>653</v>
      </c>
      <c r="D2112">
        <v>0.62989166068075297</v>
      </c>
      <c r="E2112">
        <v>0.45832308006611999</v>
      </c>
      <c r="F2112">
        <v>0.77673933035490395</v>
      </c>
    </row>
    <row r="2113" spans="1:6" x14ac:dyDescent="0.2">
      <c r="A2113" t="s">
        <v>3248</v>
      </c>
      <c r="B2113" t="s">
        <v>1573</v>
      </c>
      <c r="C2113" t="s">
        <v>1574</v>
      </c>
      <c r="D2113">
        <v>0.55200139250000002</v>
      </c>
      <c r="E2113">
        <v>0.37678311249999902</v>
      </c>
      <c r="F2113">
        <v>0.70691958999999904</v>
      </c>
    </row>
    <row r="2114" spans="1:6" x14ac:dyDescent="0.2">
      <c r="A2114" t="s">
        <v>3249</v>
      </c>
      <c r="B2114" t="s">
        <v>1587</v>
      </c>
      <c r="C2114" t="s">
        <v>653</v>
      </c>
      <c r="D2114">
        <v>0.60757001409394795</v>
      </c>
      <c r="E2114">
        <v>0.43828786630579902</v>
      </c>
      <c r="F2114">
        <v>0.75934048659864295</v>
      </c>
    </row>
    <row r="2115" spans="1:6" x14ac:dyDescent="0.2">
      <c r="A2115" t="s">
        <v>3250</v>
      </c>
      <c r="B2115" t="s">
        <v>1589</v>
      </c>
      <c r="C2115" t="s">
        <v>653</v>
      </c>
      <c r="D2115">
        <v>0.604535787675755</v>
      </c>
      <c r="E2115">
        <v>0.43625818319187298</v>
      </c>
      <c r="F2115">
        <v>0.75809155397980998</v>
      </c>
    </row>
    <row r="2116" spans="1:6" x14ac:dyDescent="0.2">
      <c r="A2116" t="s">
        <v>3251</v>
      </c>
      <c r="B2116" t="s">
        <v>1591</v>
      </c>
      <c r="C2116" t="s">
        <v>653</v>
      </c>
      <c r="D2116">
        <v>0.616569518087146</v>
      </c>
      <c r="E2116">
        <v>0.447985945937315</v>
      </c>
      <c r="F2116">
        <v>0.76819352683282904</v>
      </c>
    </row>
    <row r="2117" spans="1:6" x14ac:dyDescent="0.2">
      <c r="A2117" t="s">
        <v>3252</v>
      </c>
      <c r="B2117" t="s">
        <v>1593</v>
      </c>
      <c r="C2117" t="s">
        <v>653</v>
      </c>
      <c r="D2117">
        <v>0.65906096991707197</v>
      </c>
      <c r="E2117">
        <v>0.48854045382489703</v>
      </c>
      <c r="F2117">
        <v>0.80805342256143697</v>
      </c>
    </row>
    <row r="2118" spans="1:6" x14ac:dyDescent="0.2">
      <c r="A2118" t="s">
        <v>3253</v>
      </c>
      <c r="B2118" t="s">
        <v>1584</v>
      </c>
      <c r="C2118" t="s">
        <v>1585</v>
      </c>
      <c r="D2118">
        <v>0.58754583439999997</v>
      </c>
      <c r="E2118">
        <v>0.4109979775</v>
      </c>
      <c r="F2118">
        <v>0.74443417249999999</v>
      </c>
    </row>
    <row r="2119" spans="1:6" x14ac:dyDescent="0.2">
      <c r="A2119" t="s">
        <v>3254</v>
      </c>
      <c r="B2119" t="s">
        <v>1554</v>
      </c>
      <c r="C2119" t="s">
        <v>653</v>
      </c>
      <c r="D2119">
        <v>0.11550699671223399</v>
      </c>
      <c r="E2119">
        <v>7.6176283662702099E-2</v>
      </c>
      <c r="F2119">
        <v>0.16382252235911099</v>
      </c>
    </row>
    <row r="2120" spans="1:6" x14ac:dyDescent="0.2">
      <c r="A2120" t="s">
        <v>3255</v>
      </c>
      <c r="B2120" t="s">
        <v>1556</v>
      </c>
      <c r="C2120" t="s">
        <v>653</v>
      </c>
      <c r="D2120">
        <v>0.10849538907589</v>
      </c>
      <c r="E2120">
        <v>7.3519290042004998E-2</v>
      </c>
      <c r="F2120">
        <v>0.15402047107273001</v>
      </c>
    </row>
    <row r="2121" spans="1:6" x14ac:dyDescent="0.2">
      <c r="A2121" t="s">
        <v>3256</v>
      </c>
      <c r="B2121" t="s">
        <v>1558</v>
      </c>
      <c r="C2121" t="s">
        <v>653</v>
      </c>
      <c r="D2121">
        <v>0.13651289717948001</v>
      </c>
      <c r="E2121">
        <v>9.1287636148285098E-2</v>
      </c>
      <c r="F2121">
        <v>0.19065364996242601</v>
      </c>
    </row>
    <row r="2122" spans="1:6" x14ac:dyDescent="0.2">
      <c r="A2122" t="s">
        <v>3257</v>
      </c>
      <c r="B2122" t="s">
        <v>1560</v>
      </c>
      <c r="C2122" t="s">
        <v>653</v>
      </c>
      <c r="D2122">
        <v>0.236222262269112</v>
      </c>
      <c r="E2122">
        <v>0.165268246791726</v>
      </c>
      <c r="F2122">
        <v>0.31938408271870899</v>
      </c>
    </row>
    <row r="2123" spans="1:6" x14ac:dyDescent="0.2">
      <c r="A2123" t="s">
        <v>3258</v>
      </c>
      <c r="B2123" t="s">
        <v>1551</v>
      </c>
      <c r="C2123" t="s">
        <v>1552</v>
      </c>
      <c r="D2123">
        <v>7.0059834899999895E-2</v>
      </c>
      <c r="E2123">
        <v>4.6415625000000002E-2</v>
      </c>
      <c r="F2123">
        <v>9.9395024999999998E-2</v>
      </c>
    </row>
    <row r="2124" spans="1:6" x14ac:dyDescent="0.2">
      <c r="A2124" t="s">
        <v>3259</v>
      </c>
      <c r="B2124" t="s">
        <v>3123</v>
      </c>
      <c r="D2124">
        <v>0.32486781932866299</v>
      </c>
      <c r="E2124">
        <v>0.219193149524776</v>
      </c>
      <c r="F2124">
        <v>0.443466462821477</v>
      </c>
    </row>
    <row r="2125" spans="1:6" x14ac:dyDescent="0.2">
      <c r="A2125" t="s">
        <v>3260</v>
      </c>
      <c r="B2125" t="s">
        <v>1567</v>
      </c>
      <c r="C2125" t="s">
        <v>653</v>
      </c>
      <c r="D2125">
        <v>0.34449130984930698</v>
      </c>
      <c r="E2125">
        <v>0.23749653804307799</v>
      </c>
      <c r="F2125">
        <v>0.46443068990940301</v>
      </c>
    </row>
    <row r="2126" spans="1:6" x14ac:dyDescent="0.2">
      <c r="A2126" t="s">
        <v>3261</v>
      </c>
      <c r="B2126" t="s">
        <v>1569</v>
      </c>
      <c r="C2126" t="s">
        <v>653</v>
      </c>
      <c r="D2126">
        <v>0.36481637276607598</v>
      </c>
      <c r="E2126">
        <v>0.25318012588344602</v>
      </c>
      <c r="F2126">
        <v>0.48666830599338701</v>
      </c>
    </row>
    <row r="2127" spans="1:6" x14ac:dyDescent="0.2">
      <c r="A2127" t="s">
        <v>3262</v>
      </c>
      <c r="B2127" t="s">
        <v>1571</v>
      </c>
      <c r="C2127" t="s">
        <v>653</v>
      </c>
      <c r="D2127">
        <v>0.43701702717526802</v>
      </c>
      <c r="E2127">
        <v>0.30824900681738598</v>
      </c>
      <c r="F2127">
        <v>0.57526310552081905</v>
      </c>
    </row>
    <row r="2128" spans="1:6" x14ac:dyDescent="0.2">
      <c r="A2128" t="s">
        <v>3263</v>
      </c>
      <c r="B2128" t="s">
        <v>1562</v>
      </c>
      <c r="C2128" t="s">
        <v>1563</v>
      </c>
      <c r="D2128">
        <v>0.31634430260000002</v>
      </c>
      <c r="E2128">
        <v>0.205675055</v>
      </c>
      <c r="F2128">
        <v>0.4373492725</v>
      </c>
    </row>
    <row r="2129" spans="1:6" x14ac:dyDescent="0.2">
      <c r="A2129" t="s">
        <v>3264</v>
      </c>
      <c r="B2129" t="s">
        <v>1576</v>
      </c>
      <c r="C2129" t="s">
        <v>653</v>
      </c>
      <c r="D2129">
        <v>0.57375326559862805</v>
      </c>
      <c r="E2129">
        <v>0.40780612002858802</v>
      </c>
      <c r="F2129">
        <v>0.721438061881714</v>
      </c>
    </row>
    <row r="2130" spans="1:6" x14ac:dyDescent="0.2">
      <c r="A2130" t="s">
        <v>3265</v>
      </c>
      <c r="B2130" t="s">
        <v>1578</v>
      </c>
      <c r="C2130" t="s">
        <v>653</v>
      </c>
      <c r="D2130">
        <v>0.57045221168801397</v>
      </c>
      <c r="E2130">
        <v>0.40349875206823499</v>
      </c>
      <c r="F2130">
        <v>0.72040329063216701</v>
      </c>
    </row>
    <row r="2131" spans="1:6" x14ac:dyDescent="0.2">
      <c r="A2131" t="s">
        <v>3266</v>
      </c>
      <c r="B2131" t="s">
        <v>1580</v>
      </c>
      <c r="C2131" t="s">
        <v>653</v>
      </c>
      <c r="D2131">
        <v>0.58355582358288305</v>
      </c>
      <c r="E2131">
        <v>0.417199500716877</v>
      </c>
      <c r="F2131">
        <v>0.73236616822837197</v>
      </c>
    </row>
    <row r="2132" spans="1:6" x14ac:dyDescent="0.2">
      <c r="A2132" t="s">
        <v>3267</v>
      </c>
      <c r="B2132" t="s">
        <v>1582</v>
      </c>
      <c r="C2132" t="s">
        <v>653</v>
      </c>
      <c r="D2132">
        <v>0.62989166068075297</v>
      </c>
      <c r="E2132">
        <v>0.45832308006611999</v>
      </c>
      <c r="F2132">
        <v>0.77673933035490395</v>
      </c>
    </row>
    <row r="2133" spans="1:6" x14ac:dyDescent="0.2">
      <c r="A2133" t="s">
        <v>3268</v>
      </c>
      <c r="B2133" t="s">
        <v>1573</v>
      </c>
      <c r="C2133" t="s">
        <v>1574</v>
      </c>
      <c r="D2133">
        <v>0.55200139250000002</v>
      </c>
      <c r="E2133">
        <v>0.37678311249999902</v>
      </c>
      <c r="F2133">
        <v>0.70691958999999904</v>
      </c>
    </row>
    <row r="2134" spans="1:6" x14ac:dyDescent="0.2">
      <c r="A2134" t="s">
        <v>3269</v>
      </c>
      <c r="B2134" t="s">
        <v>1587</v>
      </c>
      <c r="C2134" t="s">
        <v>653</v>
      </c>
      <c r="D2134">
        <v>0.60757001409394795</v>
      </c>
      <c r="E2134">
        <v>0.43828786630579902</v>
      </c>
      <c r="F2134">
        <v>0.75934048659864295</v>
      </c>
    </row>
    <row r="2135" spans="1:6" x14ac:dyDescent="0.2">
      <c r="A2135" t="s">
        <v>3270</v>
      </c>
      <c r="B2135" t="s">
        <v>1589</v>
      </c>
      <c r="C2135" t="s">
        <v>653</v>
      </c>
      <c r="D2135">
        <v>0.604535787675755</v>
      </c>
      <c r="E2135">
        <v>0.43625818319187298</v>
      </c>
      <c r="F2135">
        <v>0.75809155397980998</v>
      </c>
    </row>
    <row r="2136" spans="1:6" x14ac:dyDescent="0.2">
      <c r="A2136" t="s">
        <v>3271</v>
      </c>
      <c r="B2136" t="s">
        <v>1591</v>
      </c>
      <c r="C2136" t="s">
        <v>653</v>
      </c>
      <c r="D2136">
        <v>0.616569518087146</v>
      </c>
      <c r="E2136">
        <v>0.447985945937315</v>
      </c>
      <c r="F2136">
        <v>0.76819352683282904</v>
      </c>
    </row>
    <row r="2137" spans="1:6" x14ac:dyDescent="0.2">
      <c r="A2137" t="s">
        <v>3272</v>
      </c>
      <c r="B2137" t="s">
        <v>1593</v>
      </c>
      <c r="C2137" t="s">
        <v>653</v>
      </c>
      <c r="D2137">
        <v>0.65906096991707197</v>
      </c>
      <c r="E2137">
        <v>0.48854045382489703</v>
      </c>
      <c r="F2137">
        <v>0.80805342256143697</v>
      </c>
    </row>
    <row r="2138" spans="1:6" x14ac:dyDescent="0.2">
      <c r="A2138" t="s">
        <v>3273</v>
      </c>
      <c r="B2138" t="s">
        <v>1584</v>
      </c>
      <c r="C2138" t="s">
        <v>1585</v>
      </c>
      <c r="D2138">
        <v>0.58754583439999997</v>
      </c>
      <c r="E2138">
        <v>0.4109979775</v>
      </c>
      <c r="F2138">
        <v>0.74443417249999999</v>
      </c>
    </row>
    <row r="2139" spans="1:6" x14ac:dyDescent="0.2">
      <c r="A2139" t="s">
        <v>3274</v>
      </c>
      <c r="B2139" t="s">
        <v>1554</v>
      </c>
      <c r="C2139" t="s">
        <v>653</v>
      </c>
      <c r="D2139">
        <v>0.11550699671223399</v>
      </c>
      <c r="E2139">
        <v>7.6176283662702099E-2</v>
      </c>
      <c r="F2139">
        <v>0.16382252235911099</v>
      </c>
    </row>
    <row r="2140" spans="1:6" x14ac:dyDescent="0.2">
      <c r="A2140" t="s">
        <v>3275</v>
      </c>
      <c r="B2140" t="s">
        <v>3276</v>
      </c>
      <c r="C2140" t="s">
        <v>653</v>
      </c>
      <c r="D2140">
        <v>0.16986413575138401</v>
      </c>
      <c r="E2140">
        <v>0.116538685582324</v>
      </c>
      <c r="F2140">
        <v>0.237890114870693</v>
      </c>
    </row>
    <row r="2141" spans="1:6" x14ac:dyDescent="0.2">
      <c r="A2141" t="s">
        <v>3277</v>
      </c>
      <c r="B2141" t="s">
        <v>3278</v>
      </c>
      <c r="C2141" t="s">
        <v>653</v>
      </c>
      <c r="D2141">
        <v>0.19588798240517499</v>
      </c>
      <c r="E2141">
        <v>0.13427417775220499</v>
      </c>
      <c r="F2141">
        <v>0.26993357417887098</v>
      </c>
    </row>
    <row r="2142" spans="1:6" x14ac:dyDescent="0.2">
      <c r="A2142" t="s">
        <v>3279</v>
      </c>
      <c r="B2142" t="s">
        <v>3280</v>
      </c>
      <c r="C2142" t="s">
        <v>653</v>
      </c>
      <c r="D2142">
        <v>0.28856137287195199</v>
      </c>
      <c r="E2142">
        <v>0.20633621822325701</v>
      </c>
      <c r="F2142">
        <v>0.38127896473157602</v>
      </c>
    </row>
    <row r="2143" spans="1:6" x14ac:dyDescent="0.2">
      <c r="A2143" t="s">
        <v>3281</v>
      </c>
      <c r="B2143" t="s">
        <v>3282</v>
      </c>
      <c r="C2143" t="s">
        <v>653</v>
      </c>
      <c r="D2143">
        <v>0.134181571042197</v>
      </c>
      <c r="E2143">
        <v>9.1407104986479595E-2</v>
      </c>
      <c r="F2143">
        <v>0.18678343836574501</v>
      </c>
    </row>
    <row r="2144" spans="1:6" x14ac:dyDescent="0.2">
      <c r="A2144" t="s">
        <v>3283</v>
      </c>
      <c r="B2144" t="s">
        <v>3282</v>
      </c>
      <c r="C2144" t="s">
        <v>653</v>
      </c>
      <c r="D2144">
        <v>0.134181571042197</v>
      </c>
      <c r="E2144">
        <v>9.1407104986479595E-2</v>
      </c>
      <c r="F2144">
        <v>0.18678343836574501</v>
      </c>
    </row>
    <row r="2145" spans="1:6" x14ac:dyDescent="0.2">
      <c r="A2145" t="s">
        <v>3284</v>
      </c>
      <c r="B2145" t="s">
        <v>3285</v>
      </c>
      <c r="C2145" t="s">
        <v>653</v>
      </c>
      <c r="D2145">
        <v>0.60269523858574003</v>
      </c>
      <c r="E2145">
        <v>0.44109445255929902</v>
      </c>
      <c r="F2145">
        <v>0.745595731395711</v>
      </c>
    </row>
    <row r="2146" spans="1:6" x14ac:dyDescent="0.2">
      <c r="A2146" t="s">
        <v>3286</v>
      </c>
      <c r="B2146" t="s">
        <v>3287</v>
      </c>
      <c r="C2146" t="s">
        <v>653</v>
      </c>
      <c r="D2146">
        <v>0.59962649202892704</v>
      </c>
      <c r="E2146">
        <v>0.43862073011548502</v>
      </c>
      <c r="F2146">
        <v>0.744648702227104</v>
      </c>
    </row>
    <row r="2147" spans="1:6" x14ac:dyDescent="0.2">
      <c r="A2147" t="s">
        <v>3288</v>
      </c>
      <c r="B2147" t="s">
        <v>3289</v>
      </c>
      <c r="C2147" t="s">
        <v>653</v>
      </c>
      <c r="D2147">
        <v>0.61181050040875495</v>
      </c>
      <c r="E2147">
        <v>0.45045183329407701</v>
      </c>
      <c r="F2147">
        <v>0.75644625070349003</v>
      </c>
    </row>
    <row r="2148" spans="1:6" x14ac:dyDescent="0.2">
      <c r="A2148" t="s">
        <v>3290</v>
      </c>
      <c r="B2148" t="s">
        <v>3291</v>
      </c>
      <c r="C2148" t="s">
        <v>653</v>
      </c>
      <c r="D2148">
        <v>0.65492189340353102</v>
      </c>
      <c r="E2148">
        <v>0.48902986659940401</v>
      </c>
      <c r="F2148">
        <v>0.79427802010471404</v>
      </c>
    </row>
    <row r="2149" spans="1:6" x14ac:dyDescent="0.2">
      <c r="A2149" t="s">
        <v>3292</v>
      </c>
      <c r="B2149" t="s">
        <v>3293</v>
      </c>
      <c r="C2149" t="s">
        <v>653</v>
      </c>
      <c r="D2149">
        <v>0.17637581227865201</v>
      </c>
      <c r="E2149">
        <v>0.120287618837238</v>
      </c>
      <c r="F2149">
        <v>0.245448953021358</v>
      </c>
    </row>
    <row r="2150" spans="1:6" x14ac:dyDescent="0.2">
      <c r="A2150" t="s">
        <v>3294</v>
      </c>
      <c r="B2150" t="s">
        <v>3276</v>
      </c>
      <c r="C2150" t="s">
        <v>653</v>
      </c>
      <c r="D2150">
        <v>0.16986413575138401</v>
      </c>
      <c r="E2150">
        <v>0.116538685582324</v>
      </c>
      <c r="F2150">
        <v>0.237890114870693</v>
      </c>
    </row>
    <row r="2151" spans="1:6" x14ac:dyDescent="0.2">
      <c r="A2151" t="s">
        <v>3295</v>
      </c>
      <c r="B2151" t="s">
        <v>3278</v>
      </c>
      <c r="C2151" t="s">
        <v>653</v>
      </c>
      <c r="D2151">
        <v>0.19588798240517499</v>
      </c>
      <c r="E2151">
        <v>0.13427417775220499</v>
      </c>
      <c r="F2151">
        <v>0.26993357417887098</v>
      </c>
    </row>
    <row r="2152" spans="1:6" x14ac:dyDescent="0.2">
      <c r="A2152" t="s">
        <v>3296</v>
      </c>
      <c r="B2152" t="s">
        <v>3280</v>
      </c>
      <c r="C2152" t="s">
        <v>653</v>
      </c>
      <c r="D2152">
        <v>0.28856137287195199</v>
      </c>
      <c r="E2152">
        <v>0.20633621822325701</v>
      </c>
      <c r="F2152">
        <v>0.38127896473157602</v>
      </c>
    </row>
    <row r="2153" spans="1:6" x14ac:dyDescent="0.2">
      <c r="A2153" t="s">
        <v>3297</v>
      </c>
      <c r="B2153" t="s">
        <v>3282</v>
      </c>
      <c r="C2153" t="s">
        <v>653</v>
      </c>
      <c r="D2153">
        <v>0.134181571042197</v>
      </c>
      <c r="E2153">
        <v>9.1407104986479595E-2</v>
      </c>
      <c r="F2153">
        <v>0.18678343836574501</v>
      </c>
    </row>
    <row r="2154" spans="1:6" x14ac:dyDescent="0.2">
      <c r="A2154" t="s">
        <v>3298</v>
      </c>
      <c r="B2154" t="s">
        <v>3285</v>
      </c>
      <c r="C2154" t="s">
        <v>653</v>
      </c>
      <c r="D2154">
        <v>0.60269523858574003</v>
      </c>
      <c r="E2154">
        <v>0.44109445255929902</v>
      </c>
      <c r="F2154">
        <v>0.745595731395711</v>
      </c>
    </row>
    <row r="2155" spans="1:6" x14ac:dyDescent="0.2">
      <c r="A2155" t="s">
        <v>3299</v>
      </c>
      <c r="B2155" t="s">
        <v>3287</v>
      </c>
      <c r="C2155" t="s">
        <v>653</v>
      </c>
      <c r="D2155">
        <v>0.59962649202892704</v>
      </c>
      <c r="E2155">
        <v>0.43862073011548502</v>
      </c>
      <c r="F2155">
        <v>0.744648702227104</v>
      </c>
    </row>
    <row r="2156" spans="1:6" x14ac:dyDescent="0.2">
      <c r="A2156" t="s">
        <v>3300</v>
      </c>
      <c r="B2156" t="s">
        <v>3289</v>
      </c>
      <c r="C2156" t="s">
        <v>653</v>
      </c>
      <c r="D2156">
        <v>0.61181050040875495</v>
      </c>
      <c r="E2156">
        <v>0.45045183329407701</v>
      </c>
      <c r="F2156">
        <v>0.75644625070349003</v>
      </c>
    </row>
    <row r="2157" spans="1:6" x14ac:dyDescent="0.2">
      <c r="A2157" t="s">
        <v>3301</v>
      </c>
      <c r="B2157" t="s">
        <v>3291</v>
      </c>
      <c r="C2157" t="s">
        <v>653</v>
      </c>
      <c r="D2157">
        <v>0.65492189340353102</v>
      </c>
      <c r="E2157">
        <v>0.48902986659940401</v>
      </c>
      <c r="F2157">
        <v>0.79427802010471404</v>
      </c>
    </row>
    <row r="2158" spans="1:6" x14ac:dyDescent="0.2">
      <c r="A2158" t="s">
        <v>3302</v>
      </c>
      <c r="B2158" t="s">
        <v>3282</v>
      </c>
      <c r="C2158" t="s">
        <v>653</v>
      </c>
      <c r="D2158">
        <v>0.134181571042197</v>
      </c>
      <c r="E2158">
        <v>9.1407104986479595E-2</v>
      </c>
      <c r="F2158">
        <v>0.18678343836574501</v>
      </c>
    </row>
    <row r="2159" spans="1:6" x14ac:dyDescent="0.2">
      <c r="A2159" t="s">
        <v>3303</v>
      </c>
      <c r="B2159" t="s">
        <v>3293</v>
      </c>
      <c r="C2159" t="s">
        <v>653</v>
      </c>
      <c r="D2159">
        <v>0.17637581227865201</v>
      </c>
      <c r="E2159">
        <v>0.120287618837238</v>
      </c>
      <c r="F2159">
        <v>0.245448953021358</v>
      </c>
    </row>
    <row r="2160" spans="1:6" x14ac:dyDescent="0.2">
      <c r="A2160" t="s">
        <v>3304</v>
      </c>
      <c r="B2160" t="s">
        <v>3276</v>
      </c>
      <c r="C2160" t="s">
        <v>653</v>
      </c>
      <c r="D2160">
        <v>0.16986413575138401</v>
      </c>
      <c r="E2160">
        <v>0.116538685582324</v>
      </c>
      <c r="F2160">
        <v>0.237890114870693</v>
      </c>
    </row>
    <row r="2161" spans="1:6" x14ac:dyDescent="0.2">
      <c r="A2161" t="s">
        <v>3305</v>
      </c>
      <c r="B2161" t="s">
        <v>3278</v>
      </c>
      <c r="C2161" t="s">
        <v>653</v>
      </c>
      <c r="D2161">
        <v>0.19588798240517499</v>
      </c>
      <c r="E2161">
        <v>0.13427417775220499</v>
      </c>
      <c r="F2161">
        <v>0.26993357417887098</v>
      </c>
    </row>
    <row r="2162" spans="1:6" x14ac:dyDescent="0.2">
      <c r="A2162" t="s">
        <v>3306</v>
      </c>
      <c r="B2162" t="s">
        <v>3280</v>
      </c>
      <c r="C2162" t="s">
        <v>653</v>
      </c>
      <c r="D2162">
        <v>0.28856137287195199</v>
      </c>
      <c r="E2162">
        <v>0.20633621822325701</v>
      </c>
      <c r="F2162">
        <v>0.38127896473157602</v>
      </c>
    </row>
    <row r="2163" spans="1:6" x14ac:dyDescent="0.2">
      <c r="A2163" t="s">
        <v>3307</v>
      </c>
      <c r="B2163" t="s">
        <v>3282</v>
      </c>
      <c r="C2163" t="s">
        <v>653</v>
      </c>
      <c r="D2163">
        <v>0.134181571042197</v>
      </c>
      <c r="E2163">
        <v>9.1407104986479595E-2</v>
      </c>
      <c r="F2163">
        <v>0.18678343836574501</v>
      </c>
    </row>
    <row r="2164" spans="1:6" x14ac:dyDescent="0.2">
      <c r="A2164" t="s">
        <v>3308</v>
      </c>
      <c r="B2164" t="s">
        <v>3285</v>
      </c>
      <c r="C2164" t="s">
        <v>653</v>
      </c>
      <c r="D2164">
        <v>0.60269523858574003</v>
      </c>
      <c r="E2164">
        <v>0.44109445255929902</v>
      </c>
      <c r="F2164">
        <v>0.745595731395711</v>
      </c>
    </row>
    <row r="2165" spans="1:6" x14ac:dyDescent="0.2">
      <c r="A2165" t="s">
        <v>3309</v>
      </c>
      <c r="B2165" t="s">
        <v>3287</v>
      </c>
      <c r="C2165" t="s">
        <v>653</v>
      </c>
      <c r="D2165">
        <v>0.59962649202892704</v>
      </c>
      <c r="E2165">
        <v>0.43862073011548502</v>
      </c>
      <c r="F2165">
        <v>0.744648702227104</v>
      </c>
    </row>
    <row r="2166" spans="1:6" x14ac:dyDescent="0.2">
      <c r="A2166" t="s">
        <v>3310</v>
      </c>
      <c r="B2166" t="s">
        <v>3289</v>
      </c>
      <c r="C2166" t="s">
        <v>653</v>
      </c>
      <c r="D2166">
        <v>0.61181050040875495</v>
      </c>
      <c r="E2166">
        <v>0.45045183329407701</v>
      </c>
      <c r="F2166">
        <v>0.75644625070349003</v>
      </c>
    </row>
    <row r="2167" spans="1:6" x14ac:dyDescent="0.2">
      <c r="A2167" t="s">
        <v>3311</v>
      </c>
      <c r="B2167" t="s">
        <v>3291</v>
      </c>
      <c r="C2167" t="s">
        <v>653</v>
      </c>
      <c r="D2167">
        <v>0.65492189340353102</v>
      </c>
      <c r="E2167">
        <v>0.48902986659940401</v>
      </c>
      <c r="F2167">
        <v>0.79427802010471404</v>
      </c>
    </row>
    <row r="2168" spans="1:6" x14ac:dyDescent="0.2">
      <c r="A2168" t="s">
        <v>3312</v>
      </c>
      <c r="B2168" t="s">
        <v>3282</v>
      </c>
      <c r="C2168" t="s">
        <v>653</v>
      </c>
      <c r="D2168">
        <v>0.134181571042197</v>
      </c>
      <c r="E2168">
        <v>9.1407104986479595E-2</v>
      </c>
      <c r="F2168">
        <v>0.18678343836574501</v>
      </c>
    </row>
    <row r="2169" spans="1:6" x14ac:dyDescent="0.2">
      <c r="A2169" t="s">
        <v>3313</v>
      </c>
      <c r="B2169" t="s">
        <v>3314</v>
      </c>
      <c r="C2169" t="s">
        <v>653</v>
      </c>
      <c r="D2169">
        <v>0.44812836502254699</v>
      </c>
      <c r="E2169">
        <v>0.324691136769861</v>
      </c>
      <c r="F2169">
        <v>0.57978085458888395</v>
      </c>
    </row>
    <row r="2170" spans="1:6" x14ac:dyDescent="0.2">
      <c r="A2170" t="s">
        <v>3315</v>
      </c>
      <c r="B2170" t="s">
        <v>3316</v>
      </c>
      <c r="C2170" t="s">
        <v>653</v>
      </c>
      <c r="D2170">
        <v>0.443823943401359</v>
      </c>
      <c r="E2170">
        <v>0.32046179997091401</v>
      </c>
      <c r="F2170">
        <v>0.57652477271967395</v>
      </c>
    </row>
    <row r="2171" spans="1:6" x14ac:dyDescent="0.2">
      <c r="A2171" t="s">
        <v>3317</v>
      </c>
      <c r="B2171" t="s">
        <v>3318</v>
      </c>
      <c r="C2171" t="s">
        <v>653</v>
      </c>
      <c r="D2171">
        <v>0.46096238010600898</v>
      </c>
      <c r="E2171">
        <v>0.33429476229838201</v>
      </c>
      <c r="F2171">
        <v>0.59546942830195104</v>
      </c>
    </row>
    <row r="2172" spans="1:6" x14ac:dyDescent="0.2">
      <c r="A2172" t="s">
        <v>3319</v>
      </c>
      <c r="B2172" t="s">
        <v>3320</v>
      </c>
      <c r="C2172" t="s">
        <v>653</v>
      </c>
      <c r="D2172">
        <v>0.52182174373328005</v>
      </c>
      <c r="E2172">
        <v>0.38457533654704001</v>
      </c>
      <c r="F2172">
        <v>0.66457300246724504</v>
      </c>
    </row>
    <row r="2173" spans="1:6" x14ac:dyDescent="0.2">
      <c r="A2173" t="s">
        <v>3321</v>
      </c>
      <c r="B2173" t="s">
        <v>3322</v>
      </c>
      <c r="C2173" t="s">
        <v>653</v>
      </c>
      <c r="D2173">
        <v>0.42002428310105</v>
      </c>
      <c r="E2173">
        <v>0.29523830020497399</v>
      </c>
      <c r="F2173">
        <v>0.55526131515376098</v>
      </c>
    </row>
    <row r="2174" spans="1:6" x14ac:dyDescent="0.2">
      <c r="A2174" t="s">
        <v>3323</v>
      </c>
      <c r="B2174" t="s">
        <v>3322</v>
      </c>
      <c r="C2174" t="s">
        <v>653</v>
      </c>
      <c r="D2174">
        <v>0.42002428310105</v>
      </c>
      <c r="E2174">
        <v>0.29523830020497399</v>
      </c>
      <c r="F2174">
        <v>0.55526131515376098</v>
      </c>
    </row>
    <row r="2175" spans="1:6" x14ac:dyDescent="0.2">
      <c r="A2175" t="s">
        <v>3324</v>
      </c>
      <c r="B2175" t="s">
        <v>3325</v>
      </c>
      <c r="C2175" t="s">
        <v>653</v>
      </c>
      <c r="D2175">
        <v>0.72924618430257804</v>
      </c>
      <c r="E2175">
        <v>0.55545262295808295</v>
      </c>
      <c r="F2175">
        <v>0.86244174413113694</v>
      </c>
    </row>
    <row r="2176" spans="1:6" x14ac:dyDescent="0.2">
      <c r="A2176" t="s">
        <v>3326</v>
      </c>
      <c r="B2176" t="s">
        <v>3327</v>
      </c>
      <c r="C2176" t="s">
        <v>653</v>
      </c>
      <c r="D2176">
        <v>0.72718211301740199</v>
      </c>
      <c r="E2176">
        <v>0.55342942249857696</v>
      </c>
      <c r="F2176">
        <v>0.86137797898875301</v>
      </c>
    </row>
    <row r="2177" spans="1:6" x14ac:dyDescent="0.2">
      <c r="A2177" t="s">
        <v>3328</v>
      </c>
      <c r="B2177" t="s">
        <v>3329</v>
      </c>
      <c r="C2177" t="s">
        <v>653</v>
      </c>
      <c r="D2177">
        <v>0.73534943549813403</v>
      </c>
      <c r="E2177">
        <v>0.56239395587803698</v>
      </c>
      <c r="F2177">
        <v>0.86780056139348605</v>
      </c>
    </row>
    <row r="2178" spans="1:6" x14ac:dyDescent="0.2">
      <c r="A2178" t="s">
        <v>3330</v>
      </c>
      <c r="B2178" t="s">
        <v>3331</v>
      </c>
      <c r="C2178" t="s">
        <v>653</v>
      </c>
      <c r="D2178">
        <v>0.76416168239367799</v>
      </c>
      <c r="E2178">
        <v>0.59329264338390997</v>
      </c>
      <c r="F2178">
        <v>0.88953947560095903</v>
      </c>
    </row>
    <row r="2179" spans="1:6" x14ac:dyDescent="0.2">
      <c r="A2179" t="s">
        <v>3332</v>
      </c>
      <c r="B2179" t="s">
        <v>3314</v>
      </c>
      <c r="C2179" t="s">
        <v>653</v>
      </c>
      <c r="D2179">
        <v>0.44812836502254699</v>
      </c>
      <c r="E2179">
        <v>0.324691136769861</v>
      </c>
      <c r="F2179">
        <v>0.57978085458888395</v>
      </c>
    </row>
    <row r="2180" spans="1:6" x14ac:dyDescent="0.2">
      <c r="A2180" t="s">
        <v>3333</v>
      </c>
      <c r="B2180" t="s">
        <v>3316</v>
      </c>
      <c r="C2180" t="s">
        <v>653</v>
      </c>
      <c r="D2180">
        <v>0.443823943401359</v>
      </c>
      <c r="E2180">
        <v>0.32046179997091401</v>
      </c>
      <c r="F2180">
        <v>0.57652477271967395</v>
      </c>
    </row>
    <row r="2181" spans="1:6" x14ac:dyDescent="0.2">
      <c r="A2181" t="s">
        <v>3334</v>
      </c>
      <c r="B2181" t="s">
        <v>3318</v>
      </c>
      <c r="C2181" t="s">
        <v>653</v>
      </c>
      <c r="D2181">
        <v>0.46096238010600898</v>
      </c>
      <c r="E2181">
        <v>0.33429476229838201</v>
      </c>
      <c r="F2181">
        <v>0.59546942830195104</v>
      </c>
    </row>
    <row r="2182" spans="1:6" x14ac:dyDescent="0.2">
      <c r="A2182" t="s">
        <v>3335</v>
      </c>
      <c r="B2182" t="s">
        <v>3320</v>
      </c>
      <c r="C2182" t="s">
        <v>653</v>
      </c>
      <c r="D2182">
        <v>0.52182174373328005</v>
      </c>
      <c r="E2182">
        <v>0.38457533654704001</v>
      </c>
      <c r="F2182">
        <v>0.66457300246724504</v>
      </c>
    </row>
    <row r="2183" spans="1:6" x14ac:dyDescent="0.2">
      <c r="A2183" t="s">
        <v>3336</v>
      </c>
      <c r="B2183" t="s">
        <v>3322</v>
      </c>
      <c r="C2183" t="s">
        <v>653</v>
      </c>
      <c r="D2183">
        <v>0.42002428310105</v>
      </c>
      <c r="E2183">
        <v>0.29523830020497399</v>
      </c>
      <c r="F2183">
        <v>0.55526131515376098</v>
      </c>
    </row>
    <row r="2184" spans="1:6" x14ac:dyDescent="0.2">
      <c r="A2184" t="s">
        <v>3337</v>
      </c>
      <c r="B2184" t="s">
        <v>3325</v>
      </c>
      <c r="C2184" t="s">
        <v>653</v>
      </c>
      <c r="D2184">
        <v>0.72924618430257804</v>
      </c>
      <c r="E2184">
        <v>0.55545262295808295</v>
      </c>
      <c r="F2184">
        <v>0.86244174413113694</v>
      </c>
    </row>
    <row r="2185" spans="1:6" x14ac:dyDescent="0.2">
      <c r="A2185" t="s">
        <v>3338</v>
      </c>
      <c r="B2185" t="s">
        <v>3327</v>
      </c>
      <c r="C2185" t="s">
        <v>653</v>
      </c>
      <c r="D2185">
        <v>0.72718211301740199</v>
      </c>
      <c r="E2185">
        <v>0.55342942249857696</v>
      </c>
      <c r="F2185">
        <v>0.86137797898875301</v>
      </c>
    </row>
    <row r="2186" spans="1:6" x14ac:dyDescent="0.2">
      <c r="A2186" t="s">
        <v>3339</v>
      </c>
      <c r="B2186" t="s">
        <v>3329</v>
      </c>
      <c r="C2186" t="s">
        <v>653</v>
      </c>
      <c r="D2186">
        <v>0.73534943549813403</v>
      </c>
      <c r="E2186">
        <v>0.56239395587803698</v>
      </c>
      <c r="F2186">
        <v>0.86780056139348605</v>
      </c>
    </row>
    <row r="2187" spans="1:6" x14ac:dyDescent="0.2">
      <c r="A2187" t="s">
        <v>3340</v>
      </c>
      <c r="B2187" t="s">
        <v>3331</v>
      </c>
      <c r="C2187" t="s">
        <v>653</v>
      </c>
      <c r="D2187">
        <v>0.76416168239367799</v>
      </c>
      <c r="E2187">
        <v>0.59329264338390997</v>
      </c>
      <c r="F2187">
        <v>0.88953947560095903</v>
      </c>
    </row>
    <row r="2188" spans="1:6" x14ac:dyDescent="0.2">
      <c r="A2188" t="s">
        <v>3341</v>
      </c>
      <c r="B2188" t="s">
        <v>3322</v>
      </c>
      <c r="C2188" t="s">
        <v>653</v>
      </c>
      <c r="D2188">
        <v>0.42002428310105</v>
      </c>
      <c r="E2188">
        <v>0.29523830020497399</v>
      </c>
      <c r="F2188">
        <v>0.55526131515376098</v>
      </c>
    </row>
    <row r="2189" spans="1:6" x14ac:dyDescent="0.2">
      <c r="A2189" t="s">
        <v>3342</v>
      </c>
      <c r="B2189" t="s">
        <v>3314</v>
      </c>
      <c r="C2189" t="s">
        <v>653</v>
      </c>
      <c r="D2189">
        <v>0.44812836502254699</v>
      </c>
      <c r="E2189">
        <v>0.324691136769861</v>
      </c>
      <c r="F2189">
        <v>0.57978085458888395</v>
      </c>
    </row>
    <row r="2190" spans="1:6" x14ac:dyDescent="0.2">
      <c r="A2190" t="s">
        <v>3343</v>
      </c>
      <c r="B2190" t="s">
        <v>3316</v>
      </c>
      <c r="C2190" t="s">
        <v>653</v>
      </c>
      <c r="D2190">
        <v>0.443823943401359</v>
      </c>
      <c r="E2190">
        <v>0.32046179997091401</v>
      </c>
      <c r="F2190">
        <v>0.57652477271967395</v>
      </c>
    </row>
    <row r="2191" spans="1:6" x14ac:dyDescent="0.2">
      <c r="A2191" t="s">
        <v>3344</v>
      </c>
      <c r="B2191" t="s">
        <v>3318</v>
      </c>
      <c r="C2191" t="s">
        <v>653</v>
      </c>
      <c r="D2191">
        <v>0.46096238010600898</v>
      </c>
      <c r="E2191">
        <v>0.33429476229838201</v>
      </c>
      <c r="F2191">
        <v>0.59546942830195104</v>
      </c>
    </row>
    <row r="2192" spans="1:6" x14ac:dyDescent="0.2">
      <c r="A2192" t="s">
        <v>3345</v>
      </c>
      <c r="B2192" t="s">
        <v>3320</v>
      </c>
      <c r="C2192" t="s">
        <v>653</v>
      </c>
      <c r="D2192">
        <v>0.52182174373328005</v>
      </c>
      <c r="E2192">
        <v>0.38457533654704001</v>
      </c>
      <c r="F2192">
        <v>0.66457300246724504</v>
      </c>
    </row>
    <row r="2193" spans="1:6" x14ac:dyDescent="0.2">
      <c r="A2193" t="s">
        <v>3346</v>
      </c>
      <c r="B2193" t="s">
        <v>3322</v>
      </c>
      <c r="C2193" t="s">
        <v>653</v>
      </c>
      <c r="D2193">
        <v>0.42002428310105</v>
      </c>
      <c r="E2193">
        <v>0.29523830020497399</v>
      </c>
      <c r="F2193">
        <v>0.55526131515376098</v>
      </c>
    </row>
    <row r="2194" spans="1:6" x14ac:dyDescent="0.2">
      <c r="A2194" t="s">
        <v>3347</v>
      </c>
      <c r="B2194" t="s">
        <v>3325</v>
      </c>
      <c r="C2194" t="s">
        <v>653</v>
      </c>
      <c r="D2194">
        <v>0.72924618430257804</v>
      </c>
      <c r="E2194">
        <v>0.55545262295808295</v>
      </c>
      <c r="F2194">
        <v>0.86244174413113694</v>
      </c>
    </row>
    <row r="2195" spans="1:6" x14ac:dyDescent="0.2">
      <c r="A2195" t="s">
        <v>3348</v>
      </c>
      <c r="B2195" t="s">
        <v>3327</v>
      </c>
      <c r="C2195" t="s">
        <v>653</v>
      </c>
      <c r="D2195">
        <v>0.72718211301740199</v>
      </c>
      <c r="E2195">
        <v>0.55342942249857696</v>
      </c>
      <c r="F2195">
        <v>0.86137797898875301</v>
      </c>
    </row>
    <row r="2196" spans="1:6" x14ac:dyDescent="0.2">
      <c r="A2196" t="s">
        <v>3349</v>
      </c>
      <c r="B2196" t="s">
        <v>3329</v>
      </c>
      <c r="C2196" t="s">
        <v>653</v>
      </c>
      <c r="D2196">
        <v>0.73534943549813403</v>
      </c>
      <c r="E2196">
        <v>0.56239395587803698</v>
      </c>
      <c r="F2196">
        <v>0.86780056139348605</v>
      </c>
    </row>
    <row r="2197" spans="1:6" x14ac:dyDescent="0.2">
      <c r="A2197" t="s">
        <v>3350</v>
      </c>
      <c r="B2197" t="s">
        <v>3331</v>
      </c>
      <c r="C2197" t="s">
        <v>653</v>
      </c>
      <c r="D2197">
        <v>0.76416168239367799</v>
      </c>
      <c r="E2197">
        <v>0.59329264338390997</v>
      </c>
      <c r="F2197">
        <v>0.88953947560095903</v>
      </c>
    </row>
    <row r="2198" spans="1:6" x14ac:dyDescent="0.2">
      <c r="A2198" t="s">
        <v>3351</v>
      </c>
      <c r="B2198" t="s">
        <v>3322</v>
      </c>
      <c r="C2198" t="s">
        <v>653</v>
      </c>
      <c r="D2198">
        <v>0.42002428310105</v>
      </c>
      <c r="E2198">
        <v>0.29523830020497399</v>
      </c>
      <c r="F2198">
        <v>0.55526131515376098</v>
      </c>
    </row>
    <row r="2199" spans="1:6" x14ac:dyDescent="0.2">
      <c r="A2199" t="s">
        <v>3352</v>
      </c>
      <c r="B2199" t="s">
        <v>3353</v>
      </c>
      <c r="C2199" t="s">
        <v>653</v>
      </c>
      <c r="D2199">
        <v>0.51152723895591201</v>
      </c>
      <c r="E2199">
        <v>0.37180684783877699</v>
      </c>
      <c r="F2199">
        <v>0.65093348688396602</v>
      </c>
    </row>
    <row r="2200" spans="1:6" x14ac:dyDescent="0.2">
      <c r="A2200" t="s">
        <v>3354</v>
      </c>
      <c r="B2200" t="s">
        <v>3355</v>
      </c>
      <c r="C2200" t="s">
        <v>653</v>
      </c>
      <c r="D2200">
        <v>0.50772973658845999</v>
      </c>
      <c r="E2200">
        <v>0.36830539669821</v>
      </c>
      <c r="F2200">
        <v>0.64698432516423598</v>
      </c>
    </row>
    <row r="2201" spans="1:6" x14ac:dyDescent="0.2">
      <c r="A2201" t="s">
        <v>3356</v>
      </c>
      <c r="B2201" t="s">
        <v>3357</v>
      </c>
      <c r="C2201" t="s">
        <v>653</v>
      </c>
      <c r="D2201">
        <v>0.52283253438281596</v>
      </c>
      <c r="E2201">
        <v>0.381215344515348</v>
      </c>
      <c r="F2201">
        <v>0.66299581738062496</v>
      </c>
    </row>
    <row r="2202" spans="1:6" x14ac:dyDescent="0.2">
      <c r="A2202" t="s">
        <v>3358</v>
      </c>
      <c r="B2202" t="s">
        <v>3359</v>
      </c>
      <c r="C2202" t="s">
        <v>653</v>
      </c>
      <c r="D2202">
        <v>0.57637141722338003</v>
      </c>
      <c r="E2202">
        <v>0.42764640207086002</v>
      </c>
      <c r="F2202">
        <v>0.72067046121846401</v>
      </c>
    </row>
    <row r="2203" spans="1:6" x14ac:dyDescent="0.2">
      <c r="A2203" t="s">
        <v>3360</v>
      </c>
      <c r="B2203" t="s">
        <v>3361</v>
      </c>
      <c r="C2203" t="s">
        <v>653</v>
      </c>
      <c r="D2203">
        <v>0.48666746516085901</v>
      </c>
      <c r="E2203">
        <v>0.34534308189833801</v>
      </c>
      <c r="F2203">
        <v>0.62808559323119095</v>
      </c>
    </row>
    <row r="2204" spans="1:6" x14ac:dyDescent="0.2">
      <c r="A2204" t="s">
        <v>3362</v>
      </c>
      <c r="B2204" t="s">
        <v>3353</v>
      </c>
      <c r="C2204" t="s">
        <v>653</v>
      </c>
      <c r="D2204">
        <v>0.51152723895591201</v>
      </c>
      <c r="E2204">
        <v>0.37180684783877699</v>
      </c>
      <c r="F2204">
        <v>0.65093348688396602</v>
      </c>
    </row>
    <row r="2205" spans="1:6" x14ac:dyDescent="0.2">
      <c r="A2205" t="s">
        <v>3363</v>
      </c>
      <c r="B2205" t="s">
        <v>3364</v>
      </c>
      <c r="C2205" t="s">
        <v>653</v>
      </c>
      <c r="D2205">
        <v>0.759066357083376</v>
      </c>
      <c r="E2205">
        <v>0.59171257447718495</v>
      </c>
      <c r="F2205">
        <v>0.88697536813283395</v>
      </c>
    </row>
    <row r="2206" spans="1:6" x14ac:dyDescent="0.2">
      <c r="A2206" t="s">
        <v>3365</v>
      </c>
      <c r="B2206" t="s">
        <v>3366</v>
      </c>
      <c r="C2206" t="s">
        <v>653</v>
      </c>
      <c r="D2206">
        <v>0.75723531840435299</v>
      </c>
      <c r="E2206">
        <v>0.58938418076935395</v>
      </c>
      <c r="F2206">
        <v>0.88581967601193401</v>
      </c>
    </row>
    <row r="2207" spans="1:6" x14ac:dyDescent="0.2">
      <c r="A2207" t="s">
        <v>3367</v>
      </c>
      <c r="B2207" t="s">
        <v>3368</v>
      </c>
      <c r="C2207" t="s">
        <v>653</v>
      </c>
      <c r="D2207">
        <v>0.76447246987030104</v>
      </c>
      <c r="E2207">
        <v>0.59649417291902296</v>
      </c>
      <c r="F2207">
        <v>0.89147996685241604</v>
      </c>
    </row>
    <row r="2208" spans="1:6" x14ac:dyDescent="0.2">
      <c r="A2208" t="s">
        <v>3369</v>
      </c>
      <c r="B2208" t="s">
        <v>3370</v>
      </c>
      <c r="C2208" t="s">
        <v>653</v>
      </c>
      <c r="D2208">
        <v>0.78995912091253795</v>
      </c>
      <c r="E2208">
        <v>0.62613523354575795</v>
      </c>
      <c r="F2208">
        <v>0.91002901411119297</v>
      </c>
    </row>
    <row r="2209" spans="1:6" x14ac:dyDescent="0.2">
      <c r="A2209" t="s">
        <v>3371</v>
      </c>
      <c r="B2209" t="s">
        <v>3353</v>
      </c>
      <c r="C2209" t="s">
        <v>653</v>
      </c>
      <c r="D2209">
        <v>0.51152723895591201</v>
      </c>
      <c r="E2209">
        <v>0.37180684783877699</v>
      </c>
      <c r="F2209">
        <v>0.65093348688396602</v>
      </c>
    </row>
    <row r="2210" spans="1:6" x14ac:dyDescent="0.2">
      <c r="A2210" t="s">
        <v>3372</v>
      </c>
      <c r="B2210" t="s">
        <v>3355</v>
      </c>
      <c r="C2210" t="s">
        <v>653</v>
      </c>
      <c r="D2210">
        <v>0.50772973658845999</v>
      </c>
      <c r="E2210">
        <v>0.36830539669821</v>
      </c>
      <c r="F2210">
        <v>0.64698432516423598</v>
      </c>
    </row>
    <row r="2211" spans="1:6" x14ac:dyDescent="0.2">
      <c r="A2211" t="s">
        <v>3373</v>
      </c>
      <c r="B2211" t="s">
        <v>3357</v>
      </c>
      <c r="C2211" t="s">
        <v>653</v>
      </c>
      <c r="D2211">
        <v>0.52283253438281596</v>
      </c>
      <c r="E2211">
        <v>0.381215344515348</v>
      </c>
      <c r="F2211">
        <v>0.66299581738062496</v>
      </c>
    </row>
    <row r="2212" spans="1:6" x14ac:dyDescent="0.2">
      <c r="A2212" t="s">
        <v>3374</v>
      </c>
      <c r="B2212" t="s">
        <v>3359</v>
      </c>
      <c r="C2212" t="s">
        <v>653</v>
      </c>
      <c r="D2212">
        <v>0.57637141722338003</v>
      </c>
      <c r="E2212">
        <v>0.42764640207086002</v>
      </c>
      <c r="F2212">
        <v>0.72067046121846401</v>
      </c>
    </row>
    <row r="2213" spans="1:6" x14ac:dyDescent="0.2">
      <c r="A2213" t="s">
        <v>3375</v>
      </c>
      <c r="B2213" t="s">
        <v>3361</v>
      </c>
      <c r="C2213" t="s">
        <v>653</v>
      </c>
      <c r="D2213">
        <v>0.48666746516085901</v>
      </c>
      <c r="E2213">
        <v>0.34534308189833801</v>
      </c>
      <c r="F2213">
        <v>0.62808559323119095</v>
      </c>
    </row>
    <row r="2214" spans="1:6" x14ac:dyDescent="0.2">
      <c r="A2214" t="s">
        <v>3376</v>
      </c>
      <c r="B2214" t="s">
        <v>3364</v>
      </c>
      <c r="C2214" t="s">
        <v>653</v>
      </c>
      <c r="D2214">
        <v>0.759066357083376</v>
      </c>
      <c r="E2214">
        <v>0.59171257447718495</v>
      </c>
      <c r="F2214">
        <v>0.88697536813283395</v>
      </c>
    </row>
    <row r="2215" spans="1:6" x14ac:dyDescent="0.2">
      <c r="A2215" t="s">
        <v>3377</v>
      </c>
      <c r="B2215" t="s">
        <v>3366</v>
      </c>
      <c r="C2215" t="s">
        <v>653</v>
      </c>
      <c r="D2215">
        <v>0.75723531840435299</v>
      </c>
      <c r="E2215">
        <v>0.58938418076935395</v>
      </c>
      <c r="F2215">
        <v>0.88581967601193401</v>
      </c>
    </row>
    <row r="2216" spans="1:6" x14ac:dyDescent="0.2">
      <c r="A2216" t="s">
        <v>3378</v>
      </c>
      <c r="B2216" t="s">
        <v>3368</v>
      </c>
      <c r="C2216" t="s">
        <v>653</v>
      </c>
      <c r="D2216">
        <v>0.76447246987030104</v>
      </c>
      <c r="E2216">
        <v>0.59649417291902296</v>
      </c>
      <c r="F2216">
        <v>0.89147996685241604</v>
      </c>
    </row>
    <row r="2217" spans="1:6" x14ac:dyDescent="0.2">
      <c r="A2217" t="s">
        <v>3379</v>
      </c>
      <c r="B2217" t="s">
        <v>3370</v>
      </c>
      <c r="C2217" t="s">
        <v>653</v>
      </c>
      <c r="D2217">
        <v>0.78995912091253795</v>
      </c>
      <c r="E2217">
        <v>0.62613523354575795</v>
      </c>
      <c r="F2217">
        <v>0.91002901411119297</v>
      </c>
    </row>
    <row r="2218" spans="1:6" x14ac:dyDescent="0.2">
      <c r="A2218" t="s">
        <v>3380</v>
      </c>
      <c r="B2218" t="s">
        <v>3361</v>
      </c>
      <c r="C2218" t="s">
        <v>653</v>
      </c>
      <c r="D2218">
        <v>0.48666746516085901</v>
      </c>
      <c r="E2218">
        <v>0.34534308189833801</v>
      </c>
      <c r="F2218">
        <v>0.62808559323119095</v>
      </c>
    </row>
    <row r="2219" spans="1:6" x14ac:dyDescent="0.2">
      <c r="A2219" t="s">
        <v>3381</v>
      </c>
      <c r="B2219" t="s">
        <v>3353</v>
      </c>
      <c r="C2219" t="s">
        <v>653</v>
      </c>
      <c r="D2219">
        <v>0.51152723895591201</v>
      </c>
      <c r="E2219">
        <v>0.37180684783877699</v>
      </c>
      <c r="F2219">
        <v>0.65093348688396602</v>
      </c>
    </row>
    <row r="2220" spans="1:6" x14ac:dyDescent="0.2">
      <c r="A2220" t="s">
        <v>3382</v>
      </c>
      <c r="B2220" t="s">
        <v>3355</v>
      </c>
      <c r="C2220" t="s">
        <v>653</v>
      </c>
      <c r="D2220">
        <v>0.50772973658845999</v>
      </c>
      <c r="E2220">
        <v>0.36830539669821</v>
      </c>
      <c r="F2220">
        <v>0.64698432516423598</v>
      </c>
    </row>
    <row r="2221" spans="1:6" x14ac:dyDescent="0.2">
      <c r="A2221" t="s">
        <v>3383</v>
      </c>
      <c r="B2221" t="s">
        <v>3357</v>
      </c>
      <c r="C2221" t="s">
        <v>653</v>
      </c>
      <c r="D2221">
        <v>0.52283253438281596</v>
      </c>
      <c r="E2221">
        <v>0.381215344515348</v>
      </c>
      <c r="F2221">
        <v>0.66299581738062496</v>
      </c>
    </row>
    <row r="2222" spans="1:6" x14ac:dyDescent="0.2">
      <c r="A2222" t="s">
        <v>3384</v>
      </c>
      <c r="B2222" t="s">
        <v>3359</v>
      </c>
      <c r="C2222" t="s">
        <v>653</v>
      </c>
      <c r="D2222">
        <v>0.57637141722338003</v>
      </c>
      <c r="E2222">
        <v>0.42764640207086002</v>
      </c>
      <c r="F2222">
        <v>0.72067046121846401</v>
      </c>
    </row>
    <row r="2223" spans="1:6" x14ac:dyDescent="0.2">
      <c r="A2223" t="s">
        <v>3385</v>
      </c>
      <c r="B2223" t="s">
        <v>3361</v>
      </c>
      <c r="C2223" t="s">
        <v>653</v>
      </c>
      <c r="D2223">
        <v>0.48666746516085901</v>
      </c>
      <c r="E2223">
        <v>0.34534308189833801</v>
      </c>
      <c r="F2223">
        <v>0.62808559323119095</v>
      </c>
    </row>
    <row r="2224" spans="1:6" x14ac:dyDescent="0.2">
      <c r="A2224" t="s">
        <v>3386</v>
      </c>
      <c r="B2224" t="s">
        <v>3364</v>
      </c>
      <c r="C2224" t="s">
        <v>653</v>
      </c>
      <c r="D2224">
        <v>0.759066357083376</v>
      </c>
      <c r="E2224">
        <v>0.59171257447718495</v>
      </c>
      <c r="F2224">
        <v>0.88697536813283395</v>
      </c>
    </row>
    <row r="2225" spans="1:6" x14ac:dyDescent="0.2">
      <c r="A2225" t="s">
        <v>3387</v>
      </c>
      <c r="B2225" t="s">
        <v>3366</v>
      </c>
      <c r="C2225" t="s">
        <v>653</v>
      </c>
      <c r="D2225">
        <v>0.75723531840435299</v>
      </c>
      <c r="E2225">
        <v>0.58938418076935395</v>
      </c>
      <c r="F2225">
        <v>0.88581967601193401</v>
      </c>
    </row>
    <row r="2226" spans="1:6" x14ac:dyDescent="0.2">
      <c r="A2226" t="s">
        <v>3388</v>
      </c>
      <c r="B2226" t="s">
        <v>3368</v>
      </c>
      <c r="C2226" t="s">
        <v>653</v>
      </c>
      <c r="D2226">
        <v>0.76447246987030104</v>
      </c>
      <c r="E2226">
        <v>0.59649417291902296</v>
      </c>
      <c r="F2226">
        <v>0.89147996685241604</v>
      </c>
    </row>
    <row r="2227" spans="1:6" x14ac:dyDescent="0.2">
      <c r="A2227" t="s">
        <v>3389</v>
      </c>
      <c r="B2227" t="s">
        <v>3370</v>
      </c>
      <c r="C2227" t="s">
        <v>653</v>
      </c>
      <c r="D2227">
        <v>0.78995912091253795</v>
      </c>
      <c r="E2227">
        <v>0.62613523354575795</v>
      </c>
      <c r="F2227">
        <v>0.91002901411119297</v>
      </c>
    </row>
    <row r="2228" spans="1:6" x14ac:dyDescent="0.2">
      <c r="A2228" t="s">
        <v>3390</v>
      </c>
      <c r="B2228" t="s">
        <v>3361</v>
      </c>
      <c r="C2228" t="s">
        <v>653</v>
      </c>
      <c r="D2228">
        <v>0.48666746516085901</v>
      </c>
      <c r="E2228">
        <v>0.34534308189833801</v>
      </c>
      <c r="F2228">
        <v>0.62808559323119095</v>
      </c>
    </row>
    <row r="2229" spans="1:6" x14ac:dyDescent="0.2">
      <c r="A2229" t="s">
        <v>3391</v>
      </c>
      <c r="B2229" t="s">
        <v>976</v>
      </c>
      <c r="C2229" t="s">
        <v>977</v>
      </c>
      <c r="D2229">
        <v>0.218848731399999</v>
      </c>
      <c r="E2229">
        <v>0.14806672500000001</v>
      </c>
      <c r="F2229">
        <v>0.30782901499999998</v>
      </c>
    </row>
    <row r="2230" spans="1:6" x14ac:dyDescent="0.2">
      <c r="A2230" t="s">
        <v>3392</v>
      </c>
      <c r="B2230" t="s">
        <v>1916</v>
      </c>
      <c r="C2230" t="s">
        <v>1917</v>
      </c>
      <c r="D2230">
        <v>6.9140862800000105E-2</v>
      </c>
      <c r="E2230">
        <v>4.5942015000000003E-2</v>
      </c>
      <c r="F2230">
        <v>9.8852454999999895E-2</v>
      </c>
    </row>
    <row r="2231" spans="1:6" x14ac:dyDescent="0.2">
      <c r="A2231" t="s">
        <v>3393</v>
      </c>
      <c r="B2231" t="s">
        <v>1919</v>
      </c>
      <c r="C2231" t="s">
        <v>1920</v>
      </c>
      <c r="D2231">
        <v>0.376894274299999</v>
      </c>
      <c r="E2231">
        <v>0.25230419249999902</v>
      </c>
      <c r="F2231">
        <v>0.50846592999999995</v>
      </c>
    </row>
    <row r="2232" spans="1:6" x14ac:dyDescent="0.2">
      <c r="A2232" t="s">
        <v>3394</v>
      </c>
      <c r="B2232" t="s">
        <v>945</v>
      </c>
      <c r="C2232" t="s">
        <v>946</v>
      </c>
      <c r="D2232">
        <v>1.9316720799999899E-2</v>
      </c>
      <c r="E2232">
        <v>1.06353925E-2</v>
      </c>
      <c r="F2232">
        <v>3.2722879999999899E-2</v>
      </c>
    </row>
    <row r="2233" spans="1:6" x14ac:dyDescent="0.2">
      <c r="A2233" t="s">
        <v>3395</v>
      </c>
      <c r="B2233" t="s">
        <v>1010</v>
      </c>
      <c r="C2233" t="s">
        <v>1011</v>
      </c>
      <c r="D2233">
        <v>0.22517170789999999</v>
      </c>
      <c r="E2233">
        <v>0.15291988000000001</v>
      </c>
      <c r="F2233">
        <v>0.30972899249999902</v>
      </c>
    </row>
    <row r="2234" spans="1:6" x14ac:dyDescent="0.2">
      <c r="A2234" t="s">
        <v>3396</v>
      </c>
      <c r="B2234" t="s">
        <v>1013</v>
      </c>
      <c r="C2234" t="s">
        <v>1014</v>
      </c>
      <c r="D2234">
        <v>0.40785797679999902</v>
      </c>
      <c r="E2234">
        <v>0.273411367499999</v>
      </c>
      <c r="F2234">
        <v>0.55565908499999905</v>
      </c>
    </row>
    <row r="2235" spans="1:6" x14ac:dyDescent="0.2">
      <c r="A2235" t="s">
        <v>3397</v>
      </c>
      <c r="B2235" t="s">
        <v>3398</v>
      </c>
      <c r="C2235" t="s">
        <v>653</v>
      </c>
      <c r="D2235">
        <v>0.27245404859638001</v>
      </c>
      <c r="E2235">
        <v>0.188822236203956</v>
      </c>
      <c r="F2235">
        <v>0.373066796650736</v>
      </c>
    </row>
    <row r="2236" spans="1:6" x14ac:dyDescent="0.2">
      <c r="A2236" t="s">
        <v>3399</v>
      </c>
      <c r="B2236" t="s">
        <v>3400</v>
      </c>
      <c r="C2236" t="s">
        <v>653</v>
      </c>
      <c r="D2236">
        <v>0.51071158025798802</v>
      </c>
      <c r="E2236">
        <v>0.36429521764675599</v>
      </c>
      <c r="F2236">
        <v>0.66326078640481301</v>
      </c>
    </row>
    <row r="2237" spans="1:6" x14ac:dyDescent="0.2">
      <c r="A2237" t="s">
        <v>3401</v>
      </c>
      <c r="B2237" t="s">
        <v>3402</v>
      </c>
      <c r="C2237" t="s">
        <v>653</v>
      </c>
      <c r="D2237">
        <v>0.233890841246122</v>
      </c>
      <c r="E2237">
        <v>0.16127760236705899</v>
      </c>
      <c r="F2237">
        <v>0.32434477051948302</v>
      </c>
    </row>
    <row r="2238" spans="1:6" x14ac:dyDescent="0.2">
      <c r="A2238" t="s">
        <v>3403</v>
      </c>
      <c r="B2238" t="s">
        <v>3404</v>
      </c>
      <c r="C2238" t="s">
        <v>653</v>
      </c>
      <c r="D2238">
        <v>0.39312190401138503</v>
      </c>
      <c r="E2238">
        <v>0.27840845760142702</v>
      </c>
      <c r="F2238">
        <v>0.52270944835729305</v>
      </c>
    </row>
    <row r="2239" spans="1:6" x14ac:dyDescent="0.2">
      <c r="A2239" t="s">
        <v>3405</v>
      </c>
      <c r="B2239" t="s">
        <v>3406</v>
      </c>
      <c r="C2239" t="s">
        <v>653</v>
      </c>
      <c r="D2239">
        <v>0.53475042726010502</v>
      </c>
      <c r="E2239">
        <v>0.37948842330759103</v>
      </c>
      <c r="F2239">
        <v>0.68666486368615698</v>
      </c>
    </row>
    <row r="2240" spans="1:6" x14ac:dyDescent="0.2">
      <c r="A2240" t="s">
        <v>3407</v>
      </c>
      <c r="B2240" t="s">
        <v>3408</v>
      </c>
      <c r="C2240" t="s">
        <v>653</v>
      </c>
      <c r="D2240">
        <v>8.7064981255004906E-2</v>
      </c>
      <c r="E2240">
        <v>5.6863409292283E-2</v>
      </c>
      <c r="F2240">
        <v>0.12701930036039699</v>
      </c>
    </row>
    <row r="2241" spans="1:6" x14ac:dyDescent="0.2">
      <c r="A2241" t="s">
        <v>3409</v>
      </c>
      <c r="B2241" t="s">
        <v>3410</v>
      </c>
      <c r="C2241" t="s">
        <v>653</v>
      </c>
      <c r="D2241">
        <v>0.38893616840872303</v>
      </c>
      <c r="E2241">
        <v>0.26820308725701297</v>
      </c>
      <c r="F2241">
        <v>0.52129733928720601</v>
      </c>
    </row>
    <row r="2242" spans="1:6" x14ac:dyDescent="0.2">
      <c r="A2242" t="s">
        <v>3411</v>
      </c>
      <c r="B2242" t="s">
        <v>3412</v>
      </c>
      <c r="C2242" t="s">
        <v>653</v>
      </c>
      <c r="D2242">
        <v>0.27835115712226599</v>
      </c>
      <c r="E2242">
        <v>0.194258619433507</v>
      </c>
      <c r="F2242">
        <v>0.37601141451412401</v>
      </c>
    </row>
    <row r="2243" spans="1:6" x14ac:dyDescent="0.2">
      <c r="A2243" t="s">
        <v>3413</v>
      </c>
      <c r="B2243" t="s">
        <v>3414</v>
      </c>
      <c r="C2243" t="s">
        <v>653</v>
      </c>
      <c r="D2243">
        <v>0.514652673834047</v>
      </c>
      <c r="E2243">
        <v>0.36784049418766301</v>
      </c>
      <c r="F2243">
        <v>0.66365927596827301</v>
      </c>
    </row>
    <row r="2244" spans="1:6" x14ac:dyDescent="0.2">
      <c r="A2244" t="s">
        <v>3415</v>
      </c>
      <c r="B2244" t="s">
        <v>3416</v>
      </c>
      <c r="C2244" t="s">
        <v>653</v>
      </c>
      <c r="D2244">
        <v>0.44828208186359703</v>
      </c>
      <c r="E2244">
        <v>0.31262508052028498</v>
      </c>
      <c r="F2244">
        <v>0.59563894864109701</v>
      </c>
    </row>
    <row r="2245" spans="1:6" x14ac:dyDescent="0.2">
      <c r="A2245" t="s">
        <v>3417</v>
      </c>
      <c r="B2245" t="s">
        <v>3418</v>
      </c>
      <c r="C2245" t="s">
        <v>653</v>
      </c>
      <c r="D2245">
        <v>0.62653607046443605</v>
      </c>
      <c r="E2245">
        <v>0.456956863142432</v>
      </c>
      <c r="F2245">
        <v>0.781259250911162</v>
      </c>
    </row>
    <row r="2246" spans="1:6" x14ac:dyDescent="0.2">
      <c r="A2246" t="s">
        <v>3419</v>
      </c>
      <c r="B2246" t="s">
        <v>3420</v>
      </c>
      <c r="C2246" t="s">
        <v>653</v>
      </c>
      <c r="D2246">
        <v>0.28641964384535401</v>
      </c>
      <c r="E2246">
        <v>0.202484129355545</v>
      </c>
      <c r="F2246">
        <v>0.38803766215054297</v>
      </c>
    </row>
    <row r="2247" spans="1:6" x14ac:dyDescent="0.2">
      <c r="A2247" t="s">
        <v>3421</v>
      </c>
      <c r="B2247" t="s">
        <v>3422</v>
      </c>
      <c r="C2247" t="s">
        <v>653</v>
      </c>
      <c r="D2247">
        <v>0.52013896659681702</v>
      </c>
      <c r="E2247">
        <v>0.38112100619335199</v>
      </c>
      <c r="F2247">
        <v>0.66748407529895804</v>
      </c>
    </row>
    <row r="2248" spans="1:6" x14ac:dyDescent="0.2">
      <c r="A2248" t="s">
        <v>3423</v>
      </c>
      <c r="B2248" t="s">
        <v>3424</v>
      </c>
      <c r="C2248" t="s">
        <v>653</v>
      </c>
      <c r="D2248">
        <v>0.43446846560131502</v>
      </c>
      <c r="E2248">
        <v>0.31251852401136898</v>
      </c>
      <c r="F2248">
        <v>0.56724813002277097</v>
      </c>
    </row>
    <row r="2249" spans="1:6" x14ac:dyDescent="0.2">
      <c r="A2249" t="s">
        <v>3425</v>
      </c>
      <c r="B2249" t="s">
        <v>3426</v>
      </c>
      <c r="C2249" t="s">
        <v>653</v>
      </c>
      <c r="D2249">
        <v>0.61791911267810795</v>
      </c>
      <c r="E2249">
        <v>0.466890479892275</v>
      </c>
      <c r="F2249">
        <v>0.76789686672718205</v>
      </c>
    </row>
    <row r="2250" spans="1:6" x14ac:dyDescent="0.2">
      <c r="A2250" t="s">
        <v>3427</v>
      </c>
      <c r="B2250" t="s">
        <v>3428</v>
      </c>
      <c r="C2250" t="s">
        <v>653</v>
      </c>
      <c r="D2250">
        <v>0.56628276983511805</v>
      </c>
      <c r="E2250">
        <v>0.41365807907764002</v>
      </c>
      <c r="F2250">
        <v>0.71474326037886404</v>
      </c>
    </row>
    <row r="2251" spans="1:6" x14ac:dyDescent="0.2">
      <c r="A2251" t="s">
        <v>3429</v>
      </c>
      <c r="B2251" t="s">
        <v>3430</v>
      </c>
      <c r="C2251" t="s">
        <v>653</v>
      </c>
      <c r="D2251">
        <v>0.70511587264062203</v>
      </c>
      <c r="E2251">
        <v>0.53603319913839798</v>
      </c>
      <c r="F2251">
        <v>0.84959577375975603</v>
      </c>
    </row>
    <row r="2252" spans="1:6" x14ac:dyDescent="0.2">
      <c r="A2252" t="s">
        <v>3431</v>
      </c>
      <c r="B2252" t="s">
        <v>703</v>
      </c>
      <c r="D2252">
        <v>0</v>
      </c>
      <c r="E2252">
        <v>0</v>
      </c>
      <c r="F2252">
        <v>0</v>
      </c>
    </row>
    <row r="2253" spans="1:6" x14ac:dyDescent="0.2">
      <c r="A2253" t="s">
        <v>3432</v>
      </c>
      <c r="B2253" t="s">
        <v>719</v>
      </c>
      <c r="C2253" t="s">
        <v>720</v>
      </c>
      <c r="D2253">
        <v>5.7864971999999903E-3</v>
      </c>
      <c r="E2253">
        <v>2.29985E-3</v>
      </c>
      <c r="F2253">
        <v>1.2109072499999899E-2</v>
      </c>
    </row>
    <row r="2254" spans="1:6" x14ac:dyDescent="0.2">
      <c r="A2254" t="s">
        <v>3433</v>
      </c>
      <c r="B2254" t="s">
        <v>705</v>
      </c>
      <c r="C2254" t="s">
        <v>706</v>
      </c>
      <c r="D2254">
        <v>5.0594945799999902E-2</v>
      </c>
      <c r="E2254">
        <v>3.2378222499999998E-2</v>
      </c>
      <c r="F2254">
        <v>7.4050449999999907E-2</v>
      </c>
    </row>
    <row r="2255" spans="1:6" x14ac:dyDescent="0.2">
      <c r="A2255" t="s">
        <v>3434</v>
      </c>
      <c r="B2255" t="s">
        <v>781</v>
      </c>
      <c r="C2255" t="s">
        <v>782</v>
      </c>
      <c r="D2255">
        <v>0.13341151879999999</v>
      </c>
      <c r="E2255">
        <v>8.8459514999999905E-2</v>
      </c>
      <c r="F2255">
        <v>0.18950166500000001</v>
      </c>
    </row>
    <row r="2256" spans="1:6" x14ac:dyDescent="0.2">
      <c r="A2256" t="s">
        <v>3435</v>
      </c>
      <c r="B2256" t="s">
        <v>3436</v>
      </c>
      <c r="C2256" t="s">
        <v>3437</v>
      </c>
      <c r="D2256">
        <v>0.74335970159999998</v>
      </c>
      <c r="E2256">
        <v>0.55564373</v>
      </c>
      <c r="F2256">
        <v>0.87777810249999899</v>
      </c>
    </row>
    <row r="2257" spans="1:6" x14ac:dyDescent="0.2">
      <c r="A2257" t="s">
        <v>3438</v>
      </c>
      <c r="B2257" t="s">
        <v>777</v>
      </c>
      <c r="C2257" t="s">
        <v>778</v>
      </c>
      <c r="D2257">
        <v>0.29616484669999898</v>
      </c>
      <c r="E2257">
        <v>0.19813263</v>
      </c>
      <c r="F2257">
        <v>0.41379708999999998</v>
      </c>
    </row>
    <row r="2258" spans="1:6" x14ac:dyDescent="0.2">
      <c r="A2258" t="s">
        <v>3439</v>
      </c>
      <c r="B2258" t="s">
        <v>1304</v>
      </c>
      <c r="C2258" t="s">
        <v>1305</v>
      </c>
      <c r="D2258">
        <v>0.28750118009999998</v>
      </c>
      <c r="E2258">
        <v>0.19259088999999999</v>
      </c>
      <c r="F2258">
        <v>0.39893967000000002</v>
      </c>
    </row>
    <row r="2259" spans="1:6" x14ac:dyDescent="0.2">
      <c r="A2259" t="s">
        <v>3440</v>
      </c>
      <c r="B2259" t="s">
        <v>916</v>
      </c>
      <c r="C2259" t="s">
        <v>917</v>
      </c>
      <c r="D2259">
        <v>4.9011414699999999E-2</v>
      </c>
      <c r="E2259">
        <v>3.1121342499999899E-2</v>
      </c>
      <c r="F2259">
        <v>7.2092547499999896E-2</v>
      </c>
    </row>
    <row r="2260" spans="1:6" x14ac:dyDescent="0.2">
      <c r="A2260" t="s">
        <v>3441</v>
      </c>
      <c r="B2260" t="s">
        <v>1307</v>
      </c>
      <c r="C2260" t="s">
        <v>1308</v>
      </c>
      <c r="D2260">
        <v>0.45136111719999999</v>
      </c>
      <c r="E2260">
        <v>0.30716694</v>
      </c>
      <c r="F2260">
        <v>0.60029983249999996</v>
      </c>
    </row>
    <row r="2261" spans="1:6" x14ac:dyDescent="0.2">
      <c r="A2261" t="s">
        <v>3442</v>
      </c>
      <c r="B2261" t="s">
        <v>1310</v>
      </c>
      <c r="C2261" t="s">
        <v>1311</v>
      </c>
      <c r="D2261">
        <v>0.539560491899999</v>
      </c>
      <c r="E2261">
        <v>0.37669583249999999</v>
      </c>
      <c r="F2261">
        <v>0.68709526999999904</v>
      </c>
    </row>
    <row r="2262" spans="1:6" x14ac:dyDescent="0.2">
      <c r="A2262" t="s">
        <v>3443</v>
      </c>
      <c r="B2262" t="s">
        <v>964</v>
      </c>
      <c r="C2262" t="s">
        <v>965</v>
      </c>
      <c r="D2262">
        <v>3.0842126399999899E-2</v>
      </c>
      <c r="E2262">
        <v>1.8822002500000001E-2</v>
      </c>
      <c r="F2262">
        <v>4.8710372499999897E-2</v>
      </c>
    </row>
    <row r="2263" spans="1:6" x14ac:dyDescent="0.2">
      <c r="A2263" t="s">
        <v>3444</v>
      </c>
      <c r="B2263" t="s">
        <v>967</v>
      </c>
      <c r="C2263" t="s">
        <v>968</v>
      </c>
      <c r="D2263">
        <v>0.18404848779999999</v>
      </c>
      <c r="E2263">
        <v>0.1251250575</v>
      </c>
      <c r="F2263">
        <v>0.25828618249999902</v>
      </c>
    </row>
    <row r="2264" spans="1:6" x14ac:dyDescent="0.2">
      <c r="A2264" t="s">
        <v>3445</v>
      </c>
      <c r="B2264" t="s">
        <v>970</v>
      </c>
      <c r="C2264" t="s">
        <v>971</v>
      </c>
      <c r="D2264">
        <v>0.18736458340000001</v>
      </c>
      <c r="E2264">
        <v>0.1244286775</v>
      </c>
      <c r="F2264">
        <v>0.26021716249999999</v>
      </c>
    </row>
    <row r="2265" spans="1:6" x14ac:dyDescent="0.2">
      <c r="A2265" t="s">
        <v>3446</v>
      </c>
      <c r="B2265" t="s">
        <v>903</v>
      </c>
      <c r="C2265" t="s">
        <v>904</v>
      </c>
      <c r="D2265">
        <v>4.14518940999999E-2</v>
      </c>
      <c r="E2265">
        <v>2.6103222499999999E-2</v>
      </c>
      <c r="F2265">
        <v>6.2339544999999899E-2</v>
      </c>
    </row>
    <row r="2266" spans="1:6" x14ac:dyDescent="0.2">
      <c r="A2266" t="s">
        <v>3447</v>
      </c>
      <c r="B2266" t="s">
        <v>906</v>
      </c>
      <c r="C2266" t="s">
        <v>907</v>
      </c>
      <c r="D2266">
        <v>7.1653432699999894E-2</v>
      </c>
      <c r="E2266">
        <v>4.6600777500000003E-2</v>
      </c>
      <c r="F2266">
        <v>0.10308943</v>
      </c>
    </row>
    <row r="2267" spans="1:6" x14ac:dyDescent="0.2">
      <c r="A2267" t="s">
        <v>3448</v>
      </c>
      <c r="B2267" t="s">
        <v>909</v>
      </c>
      <c r="C2267" t="s">
        <v>910</v>
      </c>
      <c r="D2267">
        <v>0.17906669619999999</v>
      </c>
      <c r="E2267">
        <v>0.1215548</v>
      </c>
      <c r="F2267">
        <v>0.25072915749999902</v>
      </c>
    </row>
    <row r="2268" spans="1:6" x14ac:dyDescent="0.2">
      <c r="A2268" t="s">
        <v>3449</v>
      </c>
      <c r="B2268" t="s">
        <v>916</v>
      </c>
      <c r="C2268" t="s">
        <v>917</v>
      </c>
      <c r="D2268">
        <v>4.9011414699999999E-2</v>
      </c>
      <c r="E2268">
        <v>3.1121342499999899E-2</v>
      </c>
      <c r="F2268">
        <v>7.2092547499999896E-2</v>
      </c>
    </row>
    <row r="2269" spans="1:6" x14ac:dyDescent="0.2">
      <c r="A2269" t="s">
        <v>3450</v>
      </c>
      <c r="B2269" t="s">
        <v>916</v>
      </c>
      <c r="C2269" t="s">
        <v>917</v>
      </c>
      <c r="D2269">
        <v>4.9011414699999999E-2</v>
      </c>
      <c r="E2269">
        <v>3.1121342499999899E-2</v>
      </c>
      <c r="F2269">
        <v>7.2092547499999896E-2</v>
      </c>
    </row>
    <row r="2270" spans="1:6" x14ac:dyDescent="0.2">
      <c r="A2270" t="s">
        <v>3451</v>
      </c>
      <c r="B2270" t="s">
        <v>703</v>
      </c>
      <c r="D2270">
        <v>0</v>
      </c>
      <c r="E2270">
        <v>0</v>
      </c>
      <c r="F2270">
        <v>0</v>
      </c>
    </row>
    <row r="2271" spans="1:6" x14ac:dyDescent="0.2">
      <c r="A2271" t="s">
        <v>3452</v>
      </c>
      <c r="B2271" t="s">
        <v>912</v>
      </c>
      <c r="C2271" t="s">
        <v>913</v>
      </c>
      <c r="D2271">
        <v>1.1009249599999899E-2</v>
      </c>
      <c r="E2271">
        <v>5.3773199999999997E-3</v>
      </c>
      <c r="F2271">
        <v>2.08201875E-2</v>
      </c>
    </row>
    <row r="2272" spans="1:6" x14ac:dyDescent="0.2">
      <c r="A2272" t="s">
        <v>3453</v>
      </c>
      <c r="B2272" t="s">
        <v>747</v>
      </c>
      <c r="C2272" t="s">
        <v>748</v>
      </c>
      <c r="D2272">
        <v>0.114339967</v>
      </c>
      <c r="E2272">
        <v>7.7947084999999999E-2</v>
      </c>
      <c r="F2272">
        <v>0.15867681249999999</v>
      </c>
    </row>
    <row r="2273" spans="1:6" x14ac:dyDescent="0.2">
      <c r="A2273" t="s">
        <v>3454</v>
      </c>
      <c r="B2273" t="s">
        <v>750</v>
      </c>
      <c r="C2273" t="s">
        <v>751</v>
      </c>
      <c r="D2273">
        <v>0.32424655079999898</v>
      </c>
      <c r="E2273">
        <v>0.21972131750000001</v>
      </c>
      <c r="F2273">
        <v>0.44180473999999997</v>
      </c>
    </row>
    <row r="2274" spans="1:6" x14ac:dyDescent="0.2">
      <c r="A2274" t="s">
        <v>3455</v>
      </c>
      <c r="B2274" t="s">
        <v>848</v>
      </c>
      <c r="C2274" t="s">
        <v>653</v>
      </c>
      <c r="D2274">
        <v>0.136608729508858</v>
      </c>
      <c r="E2274">
        <v>9.1457382015738706E-2</v>
      </c>
      <c r="F2274">
        <v>0.192488150004933</v>
      </c>
    </row>
    <row r="2275" spans="1:6" x14ac:dyDescent="0.2">
      <c r="A2275" t="s">
        <v>3456</v>
      </c>
      <c r="B2275" t="s">
        <v>850</v>
      </c>
      <c r="C2275" t="s">
        <v>653</v>
      </c>
      <c r="D2275">
        <v>0.177867946714338</v>
      </c>
      <c r="E2275">
        <v>0.12183736967690199</v>
      </c>
      <c r="F2275">
        <v>0.247376207280356</v>
      </c>
    </row>
    <row r="2276" spans="1:6" x14ac:dyDescent="0.2">
      <c r="A2276" t="s">
        <v>3457</v>
      </c>
      <c r="B2276" t="s">
        <v>852</v>
      </c>
      <c r="C2276" t="s">
        <v>653</v>
      </c>
      <c r="D2276">
        <v>0.26167538066322099</v>
      </c>
      <c r="E2276">
        <v>0.183516715919878</v>
      </c>
      <c r="F2276">
        <v>0.35904947510167801</v>
      </c>
    </row>
    <row r="2277" spans="1:6" x14ac:dyDescent="0.2">
      <c r="A2277" s="224" t="s">
        <v>3458</v>
      </c>
      <c r="B2277" s="222" t="s">
        <v>3458</v>
      </c>
      <c r="C2277" s="223" t="s">
        <v>3459</v>
      </c>
      <c r="D2277" s="223">
        <v>0.123</v>
      </c>
      <c r="E2277" s="223">
        <v>8.1000000000000003E-2</v>
      </c>
      <c r="F2277" s="223">
        <v>0.17599999999999999</v>
      </c>
    </row>
    <row r="2278" spans="1:6" x14ac:dyDescent="0.2">
      <c r="A2278" s="224" t="s">
        <v>3460</v>
      </c>
      <c r="B2278" s="222" t="s">
        <v>3460</v>
      </c>
      <c r="C2278" s="223" t="s">
        <v>3461</v>
      </c>
      <c r="D2278" s="223">
        <v>0.38300000000000001</v>
      </c>
      <c r="E2278" s="223">
        <v>0.251</v>
      </c>
      <c r="F2278" s="223">
        <v>0.52500000000000002</v>
      </c>
    </row>
    <row r="2279" spans="1:6" x14ac:dyDescent="0.2">
      <c r="A2279" s="225" t="s">
        <v>3462</v>
      </c>
      <c r="B2279" s="223" t="s">
        <v>3462</v>
      </c>
      <c r="C2279" s="223" t="s">
        <v>3463</v>
      </c>
      <c r="D2279" s="223">
        <v>3.9E-2</v>
      </c>
      <c r="E2279" s="223">
        <v>2.4E-2</v>
      </c>
      <c r="F2279" s="223">
        <v>5.8999999999999997E-2</v>
      </c>
    </row>
    <row r="2280" spans="1:6" x14ac:dyDescent="0.2">
      <c r="A2280" s="225" t="s">
        <v>3464</v>
      </c>
      <c r="B2280" s="223" t="s">
        <v>3464</v>
      </c>
      <c r="C2280" s="223" t="s">
        <v>3465</v>
      </c>
      <c r="D2280" s="223">
        <v>0.11799999999999999</v>
      </c>
      <c r="E2280" s="223">
        <v>7.9000000000000001E-2</v>
      </c>
      <c r="F2280" s="223">
        <v>0.16700000000000001</v>
      </c>
    </row>
    <row r="2281" spans="1:6" ht="32" x14ac:dyDescent="0.2">
      <c r="A2281" s="225" t="s">
        <v>3466</v>
      </c>
      <c r="B2281" s="223" t="s">
        <v>3466</v>
      </c>
      <c r="C2281" s="223" t="s">
        <v>3467</v>
      </c>
      <c r="D2281" s="223">
        <v>5.0000000000000001E-3</v>
      </c>
      <c r="E2281" s="223">
        <v>2E-3</v>
      </c>
      <c r="F2281" s="223">
        <v>0.01</v>
      </c>
    </row>
    <row r="2282" spans="1:6" x14ac:dyDescent="0.2">
      <c r="A2282" s="224" t="s">
        <v>3468</v>
      </c>
      <c r="B2282" s="222" t="s">
        <v>3468</v>
      </c>
      <c r="C2282" s="223" t="s">
        <v>3469</v>
      </c>
      <c r="D2282" s="223">
        <v>8.7999999999999995E-2</v>
      </c>
      <c r="E2282" s="223">
        <v>5.7000000000000002E-2</v>
      </c>
      <c r="F2282" s="223">
        <v>0.124</v>
      </c>
    </row>
    <row r="2283" spans="1:6" x14ac:dyDescent="0.2">
      <c r="A2283" s="224" t="s">
        <v>3470</v>
      </c>
      <c r="B2283" s="222" t="s">
        <v>3470</v>
      </c>
      <c r="C2283" s="223" t="s">
        <v>3471</v>
      </c>
      <c r="D2283" s="223">
        <v>0.443</v>
      </c>
      <c r="E2283" s="223">
        <v>0.29699999999999999</v>
      </c>
      <c r="F2283" s="223">
        <v>0.58899999999999997</v>
      </c>
    </row>
    <row r="2284" spans="1:6" x14ac:dyDescent="0.2">
      <c r="A2284" s="224" t="s">
        <v>3472</v>
      </c>
      <c r="B2284" s="222" t="s">
        <v>3472</v>
      </c>
      <c r="C2284" s="223" t="s">
        <v>3473</v>
      </c>
      <c r="D2284" s="223">
        <v>3.9E-2</v>
      </c>
      <c r="E2284" s="223">
        <v>2.3E-2</v>
      </c>
      <c r="F2284" s="223">
        <v>5.8999999999999997E-2</v>
      </c>
    </row>
    <row r="2285" spans="1:6" x14ac:dyDescent="0.2">
      <c r="A2285" s="224" t="s">
        <v>3474</v>
      </c>
      <c r="B2285" s="222" t="s">
        <v>3474</v>
      </c>
      <c r="C2285" s="222" t="s">
        <v>3475</v>
      </c>
      <c r="D2285" s="223">
        <v>0.17299999999999999</v>
      </c>
      <c r="E2285" s="223">
        <v>0.11799999999999999</v>
      </c>
      <c r="F2285" s="223">
        <v>0.24</v>
      </c>
    </row>
    <row r="2286" spans="1:6" x14ac:dyDescent="0.2">
      <c r="A2286" s="224" t="s">
        <v>3476</v>
      </c>
      <c r="B2286" s="222" t="s">
        <v>3476</v>
      </c>
      <c r="C2286" s="222" t="s">
        <v>3477</v>
      </c>
      <c r="D2286" s="223">
        <v>1.0999999999999999E-2</v>
      </c>
      <c r="E2286" s="223">
        <v>5.0000000000000001E-3</v>
      </c>
      <c r="F2286" s="223">
        <v>2.1000000000000001E-2</v>
      </c>
    </row>
    <row r="2287" spans="1:6" x14ac:dyDescent="0.2">
      <c r="A2287" s="225" t="s">
        <v>3478</v>
      </c>
      <c r="B2287" s="223" t="s">
        <v>3478</v>
      </c>
      <c r="C2287" s="222" t="s">
        <v>3479</v>
      </c>
      <c r="D2287" s="223">
        <v>6.0000000000000001E-3</v>
      </c>
      <c r="E2287" s="223">
        <v>2E-3</v>
      </c>
      <c r="F2287" s="223">
        <v>1.2E-2</v>
      </c>
    </row>
    <row r="2288" spans="1:6" x14ac:dyDescent="0.2">
      <c r="A2288" s="224" t="s">
        <v>3480</v>
      </c>
      <c r="B2288" s="222" t="s">
        <v>3480</v>
      </c>
      <c r="C2288" s="222" t="s">
        <v>3481</v>
      </c>
      <c r="D2288" s="223">
        <v>0.376</v>
      </c>
      <c r="E2288" s="223">
        <v>0.24</v>
      </c>
      <c r="F2288" s="223">
        <v>0.52400000000000002</v>
      </c>
    </row>
    <row r="2289" spans="1:6" ht="48" x14ac:dyDescent="0.2">
      <c r="A2289" s="224" t="s">
        <v>3482</v>
      </c>
      <c r="B2289" s="222" t="s">
        <v>3482</v>
      </c>
      <c r="C2289" s="222" t="s">
        <v>3483</v>
      </c>
      <c r="D2289" s="223">
        <v>1.6E-2</v>
      </c>
      <c r="E2289" s="223">
        <v>8.0000000000000002E-3</v>
      </c>
      <c r="F2289" s="223">
        <v>2.8000000000000001E-2</v>
      </c>
    </row>
    <row r="2290" spans="1:6" ht="32" x14ac:dyDescent="0.2">
      <c r="A2290" s="224" t="s">
        <v>3484</v>
      </c>
      <c r="B2290" s="222" t="s">
        <v>3484</v>
      </c>
      <c r="C2290" s="222" t="s">
        <v>3485</v>
      </c>
      <c r="D2290" s="223">
        <v>0.14099999999999999</v>
      </c>
      <c r="E2290" s="223">
        <v>9.4E-2</v>
      </c>
      <c r="F2290" s="223">
        <v>0.19600000000000001</v>
      </c>
    </row>
    <row r="2291" spans="1:6" ht="32" x14ac:dyDescent="0.2">
      <c r="A2291" s="224" t="s">
        <v>3486</v>
      </c>
      <c r="B2291" s="222" t="s">
        <v>3486</v>
      </c>
      <c r="C2291" s="222" t="s">
        <v>3487</v>
      </c>
      <c r="D2291" s="223">
        <v>0.13500000000000001</v>
      </c>
      <c r="E2291" s="223">
        <v>9.1999999999999998E-2</v>
      </c>
      <c r="F2291" s="223">
        <v>0.19</v>
      </c>
    </row>
    <row r="2292" spans="1:6" ht="32" x14ac:dyDescent="0.2">
      <c r="A2292" s="224" t="s">
        <v>3488</v>
      </c>
      <c r="B2292" s="222" t="s">
        <v>3488</v>
      </c>
      <c r="C2292" s="222" t="s">
        <v>3489</v>
      </c>
      <c r="D2292" s="223">
        <v>0.45500000000000002</v>
      </c>
      <c r="E2292" s="223">
        <v>0.30199999999999999</v>
      </c>
      <c r="F2292" s="223">
        <v>0.60099999999999998</v>
      </c>
    </row>
    <row r="2293" spans="1:6" ht="32" x14ac:dyDescent="0.2">
      <c r="A2293" s="224" t="s">
        <v>3490</v>
      </c>
      <c r="B2293" s="222" t="s">
        <v>3490</v>
      </c>
      <c r="C2293" s="222" t="s">
        <v>3491</v>
      </c>
      <c r="D2293" s="223">
        <v>0.314</v>
      </c>
      <c r="E2293" s="223">
        <v>0.21099999999999999</v>
      </c>
      <c r="F2293" s="223">
        <v>0.441</v>
      </c>
    </row>
    <row r="2294" spans="1:6" x14ac:dyDescent="0.2">
      <c r="A2294" s="225" t="s">
        <v>3492</v>
      </c>
      <c r="B2294" s="223" t="s">
        <v>3492</v>
      </c>
      <c r="C2294" s="222" t="s">
        <v>3493</v>
      </c>
      <c r="D2294" s="223">
        <v>1.6E-2</v>
      </c>
      <c r="E2294" s="223">
        <v>8.0000000000000002E-3</v>
      </c>
      <c r="F2294" s="223">
        <v>2.8000000000000001E-2</v>
      </c>
    </row>
    <row r="2295" spans="1:6" x14ac:dyDescent="0.2">
      <c r="A2295" s="225" t="s">
        <v>3494</v>
      </c>
      <c r="B2295" s="223" t="s">
        <v>3494</v>
      </c>
      <c r="C2295" s="222" t="s">
        <v>3495</v>
      </c>
      <c r="D2295" s="223">
        <v>0.113</v>
      </c>
      <c r="E2295" s="223">
        <v>7.4999999999999997E-2</v>
      </c>
      <c r="F2295" s="223">
        <v>0.16</v>
      </c>
    </row>
    <row r="2296" spans="1:6" x14ac:dyDescent="0.2">
      <c r="A2296" s="225" t="s">
        <v>3496</v>
      </c>
      <c r="B2296" s="223" t="s">
        <v>3496</v>
      </c>
      <c r="C2296" s="222" t="s">
        <v>3497</v>
      </c>
      <c r="D2296" s="223">
        <v>6.2E-2</v>
      </c>
      <c r="E2296" s="223">
        <v>4.1000000000000002E-2</v>
      </c>
      <c r="F2296" s="223">
        <v>8.7999999999999995E-2</v>
      </c>
    </row>
    <row r="2297" spans="1:6" ht="32" x14ac:dyDescent="0.2">
      <c r="A2297" s="224" t="s">
        <v>3498</v>
      </c>
      <c r="B2297" s="222" t="s">
        <v>3498</v>
      </c>
      <c r="C2297" s="222" t="s">
        <v>3499</v>
      </c>
      <c r="D2297" s="223">
        <v>0.247</v>
      </c>
      <c r="E2297" s="223">
        <v>0.16400000000000001</v>
      </c>
      <c r="F2297" s="223">
        <v>0.34100000000000003</v>
      </c>
    </row>
    <row r="2298" spans="1:6" ht="32" x14ac:dyDescent="0.2">
      <c r="A2298" s="224" t="s">
        <v>3500</v>
      </c>
      <c r="B2298" s="222" t="s">
        <v>3500</v>
      </c>
      <c r="C2298" s="222" t="s">
        <v>3501</v>
      </c>
      <c r="D2298" s="223">
        <v>3.5000000000000003E-2</v>
      </c>
      <c r="E2298" s="223">
        <v>2.1000000000000001E-2</v>
      </c>
      <c r="F2298" s="223">
        <v>5.2999999999999999E-2</v>
      </c>
    </row>
    <row r="2299" spans="1:6" x14ac:dyDescent="0.2">
      <c r="A2299" s="224" t="s">
        <v>3502</v>
      </c>
      <c r="B2299" s="222" t="s">
        <v>3502</v>
      </c>
      <c r="C2299" s="223" t="s">
        <v>3503</v>
      </c>
      <c r="D2299" s="223">
        <v>6.7000000000000004E-2</v>
      </c>
      <c r="E2299" s="223">
        <v>4.3999999999999997E-2</v>
      </c>
      <c r="F2299" s="223">
        <v>9.7000000000000003E-2</v>
      </c>
    </row>
    <row r="2300" spans="1:6" x14ac:dyDescent="0.2">
      <c r="A2300" s="224" t="s">
        <v>3504</v>
      </c>
      <c r="B2300" s="222" t="s">
        <v>3504</v>
      </c>
      <c r="C2300" s="222" t="s">
        <v>3505</v>
      </c>
      <c r="D2300" s="223">
        <v>5.8000000000000003E-2</v>
      </c>
      <c r="E2300" s="223">
        <v>3.7999999999999999E-2</v>
      </c>
      <c r="F2300" s="223">
        <v>8.4000000000000005E-2</v>
      </c>
    </row>
    <row r="2301" spans="1:6" x14ac:dyDescent="0.2">
      <c r="A2301" s="224" t="s">
        <v>3506</v>
      </c>
      <c r="B2301" s="222" t="s">
        <v>3506</v>
      </c>
      <c r="C2301" s="222" t="s">
        <v>3507</v>
      </c>
      <c r="D2301" s="223">
        <v>0.40200000000000002</v>
      </c>
      <c r="E2301" s="223">
        <v>0.26900000000000002</v>
      </c>
      <c r="F2301" s="223">
        <v>0.54100000000000004</v>
      </c>
    </row>
    <row r="2302" spans="1:6" x14ac:dyDescent="0.2">
      <c r="A2302" s="224" t="s">
        <v>3508</v>
      </c>
      <c r="B2302" s="222" t="s">
        <v>3508</v>
      </c>
      <c r="C2302" s="222" t="s">
        <v>3509</v>
      </c>
      <c r="D2302" s="223">
        <v>0.25800000000000001</v>
      </c>
      <c r="E2302" s="223">
        <v>0.17199999999999999</v>
      </c>
      <c r="F2302" s="223">
        <v>0.35599999999999998</v>
      </c>
    </row>
    <row r="2303" spans="1:6" ht="32" x14ac:dyDescent="0.2">
      <c r="A2303" s="225" t="s">
        <v>3510</v>
      </c>
      <c r="B2303" s="223" t="s">
        <v>3510</v>
      </c>
      <c r="C2303" s="222" t="s">
        <v>3511</v>
      </c>
      <c r="D2303" s="223">
        <v>4.2000000000000003E-2</v>
      </c>
      <c r="E2303" s="223">
        <v>2.7E-2</v>
      </c>
      <c r="F2303" s="223">
        <v>6.3E-2</v>
      </c>
    </row>
    <row r="2304" spans="1:6" ht="32" x14ac:dyDescent="0.2">
      <c r="A2304" s="225" t="s">
        <v>3512</v>
      </c>
      <c r="B2304" s="223" t="s">
        <v>3512</v>
      </c>
      <c r="C2304" s="222" t="s">
        <v>3513</v>
      </c>
      <c r="D2304" s="223">
        <v>0.111</v>
      </c>
      <c r="E2304" s="223">
        <v>7.3999999999999996E-2</v>
      </c>
      <c r="F2304" s="223">
        <v>0.156</v>
      </c>
    </row>
    <row r="2305" spans="1:6" x14ac:dyDescent="0.2">
      <c r="A2305" s="224" t="s">
        <v>3514</v>
      </c>
      <c r="B2305" s="222" t="s">
        <v>3514</v>
      </c>
      <c r="C2305" s="222" t="s">
        <v>3515</v>
      </c>
      <c r="D2305" s="223">
        <v>2.5999999999999999E-2</v>
      </c>
      <c r="E2305" s="223">
        <v>1.4999999999999999E-2</v>
      </c>
      <c r="F2305" s="223">
        <v>4.2000000000000003E-2</v>
      </c>
    </row>
    <row r="2306" spans="1:6" x14ac:dyDescent="0.2">
      <c r="A2306" s="224" t="s">
        <v>3516</v>
      </c>
      <c r="B2306" s="222" t="s">
        <v>3516</v>
      </c>
      <c r="C2306" s="222" t="s">
        <v>3517</v>
      </c>
      <c r="D2306" s="223">
        <v>2.5999999999999999E-2</v>
      </c>
      <c r="E2306" s="223">
        <v>1.4999999999999999E-2</v>
      </c>
      <c r="F2306" s="223">
        <v>4.2999999999999997E-2</v>
      </c>
    </row>
    <row r="2307" spans="1:6" x14ac:dyDescent="0.2">
      <c r="A2307" s="224" t="s">
        <v>3518</v>
      </c>
      <c r="B2307" s="222" t="s">
        <v>3518</v>
      </c>
      <c r="C2307" s="222" t="s">
        <v>3519</v>
      </c>
      <c r="D2307" s="223">
        <v>4.2999999999999997E-2</v>
      </c>
      <c r="E2307" s="223">
        <v>2.8000000000000001E-2</v>
      </c>
      <c r="F2307" s="223">
        <v>6.4000000000000001E-2</v>
      </c>
    </row>
    <row r="2308" spans="1:6" x14ac:dyDescent="0.2">
      <c r="A2308" s="224" t="s">
        <v>3520</v>
      </c>
      <c r="B2308" s="222" t="s">
        <v>3520</v>
      </c>
      <c r="C2308" s="222" t="s">
        <v>3521</v>
      </c>
      <c r="D2308" s="223">
        <v>2.8000000000000001E-2</v>
      </c>
      <c r="E2308" s="223">
        <v>1.6E-2</v>
      </c>
      <c r="F2308" s="223">
        <v>4.5999999999999999E-2</v>
      </c>
    </row>
    <row r="2309" spans="1:6" x14ac:dyDescent="0.2">
      <c r="A2309" s="224" t="s">
        <v>3522</v>
      </c>
      <c r="B2309" s="222" t="s">
        <v>3522</v>
      </c>
      <c r="C2309" s="222" t="s">
        <v>3523</v>
      </c>
      <c r="D2309" s="223">
        <v>1.4E-2</v>
      </c>
      <c r="E2309" s="223">
        <v>7.0000000000000001E-3</v>
      </c>
      <c r="F2309" s="223">
        <v>2.5000000000000001E-2</v>
      </c>
    </row>
    <row r="2310" spans="1:6" x14ac:dyDescent="0.2">
      <c r="A2310" s="224" t="s">
        <v>3524</v>
      </c>
      <c r="B2310" s="222" t="s">
        <v>3524</v>
      </c>
      <c r="C2310" s="222" t="s">
        <v>3525</v>
      </c>
      <c r="D2310" s="223">
        <v>0.01</v>
      </c>
      <c r="E2310" s="223">
        <v>5.0000000000000001E-3</v>
      </c>
      <c r="F2310" s="223">
        <v>1.9E-2</v>
      </c>
    </row>
    <row r="2311" spans="1:6" ht="32" x14ac:dyDescent="0.2">
      <c r="A2311" s="224" t="s">
        <v>3526</v>
      </c>
      <c r="B2311" s="222" t="s">
        <v>3526</v>
      </c>
      <c r="C2311" s="222" t="s">
        <v>3527</v>
      </c>
      <c r="D2311" s="223">
        <v>5.5E-2</v>
      </c>
      <c r="E2311" s="223">
        <v>3.5999999999999997E-2</v>
      </c>
      <c r="F2311" s="223">
        <v>8.1000000000000003E-2</v>
      </c>
    </row>
    <row r="2312" spans="1:6" ht="32" x14ac:dyDescent="0.2">
      <c r="A2312" s="224" t="s">
        <v>3528</v>
      </c>
      <c r="B2312" s="222" t="s">
        <v>3528</v>
      </c>
      <c r="C2312" s="222" t="s">
        <v>3529</v>
      </c>
      <c r="D2312" s="223">
        <v>0.05</v>
      </c>
      <c r="E2312" s="223">
        <v>3.2000000000000001E-2</v>
      </c>
      <c r="F2312" s="223">
        <v>7.4999999999999997E-2</v>
      </c>
    </row>
    <row r="2313" spans="1:6" x14ac:dyDescent="0.2">
      <c r="A2313" s="225" t="s">
        <v>3530</v>
      </c>
      <c r="B2313" s="223" t="s">
        <v>3530</v>
      </c>
      <c r="C2313" s="222" t="s">
        <v>3531</v>
      </c>
      <c r="D2313" s="223">
        <v>0.182</v>
      </c>
      <c r="E2313" s="223">
        <v>0.123</v>
      </c>
      <c r="F2313" s="223">
        <v>0.253</v>
      </c>
    </row>
    <row r="2314" spans="1:6" x14ac:dyDescent="0.2">
      <c r="A2314" s="225" t="s">
        <v>3532</v>
      </c>
      <c r="B2314" s="223" t="s">
        <v>3532</v>
      </c>
      <c r="C2314" s="222" t="s">
        <v>3533</v>
      </c>
      <c r="D2314" s="223">
        <v>0.27900000000000003</v>
      </c>
      <c r="E2314" s="223">
        <v>0.188</v>
      </c>
      <c r="F2314" s="223">
        <v>0.38400000000000001</v>
      </c>
    </row>
    <row r="2315" spans="1:6" ht="32" x14ac:dyDescent="0.2">
      <c r="A2315" s="225" t="s">
        <v>3534</v>
      </c>
      <c r="B2315" s="223" t="s">
        <v>3534</v>
      </c>
      <c r="C2315" s="222" t="s">
        <v>3535</v>
      </c>
      <c r="D2315" s="223">
        <v>0.10299999999999999</v>
      </c>
      <c r="E2315" s="223">
        <v>6.8000000000000005E-2</v>
      </c>
      <c r="F2315" s="223">
        <v>0.14499999999999999</v>
      </c>
    </row>
    <row r="2316" spans="1:6" x14ac:dyDescent="0.2">
      <c r="A2316" s="224" t="s">
        <v>3536</v>
      </c>
      <c r="B2316" s="222" t="s">
        <v>3536</v>
      </c>
      <c r="C2316" s="222" t="s">
        <v>3537</v>
      </c>
      <c r="D2316" s="223">
        <v>7.0999999999999994E-2</v>
      </c>
      <c r="E2316" s="223">
        <v>4.8000000000000001E-2</v>
      </c>
      <c r="F2316" s="223">
        <v>0.1</v>
      </c>
    </row>
    <row r="2317" spans="1:6" ht="32" x14ac:dyDescent="0.2">
      <c r="A2317" s="224" t="s">
        <v>3538</v>
      </c>
      <c r="B2317" s="222" t="s">
        <v>3538</v>
      </c>
      <c r="C2317" s="222" t="s">
        <v>3539</v>
      </c>
      <c r="D2317" s="223">
        <v>0.111</v>
      </c>
      <c r="E2317" s="223">
        <v>7.4999999999999997E-2</v>
      </c>
      <c r="F2317" s="223">
        <v>0.156</v>
      </c>
    </row>
    <row r="2318" spans="1:6" ht="32" x14ac:dyDescent="0.2">
      <c r="A2318" s="230" t="s">
        <v>3540</v>
      </c>
      <c r="B2318" s="231" t="s">
        <v>3540</v>
      </c>
      <c r="C2318" s="231" t="s">
        <v>3541</v>
      </c>
      <c r="D2318" s="223">
        <v>9.4E-2</v>
      </c>
      <c r="E2318" s="223">
        <v>6.3E-2</v>
      </c>
      <c r="F2318" s="223">
        <v>0.13300000000000001</v>
      </c>
    </row>
    <row r="2319" spans="1:6" ht="32" x14ac:dyDescent="0.2">
      <c r="A2319" s="230" t="s">
        <v>3542</v>
      </c>
      <c r="B2319" s="231" t="s">
        <v>3542</v>
      </c>
      <c r="C2319" s="231" t="s">
        <v>3543</v>
      </c>
      <c r="D2319" s="223">
        <v>0.23100000000000001</v>
      </c>
      <c r="E2319" s="223">
        <v>0.156</v>
      </c>
      <c r="F2319" s="223">
        <v>0.32400000000000001</v>
      </c>
    </row>
    <row r="2320" spans="1:6" ht="32" x14ac:dyDescent="0.2">
      <c r="A2320" s="230" t="s">
        <v>3544</v>
      </c>
      <c r="B2320" s="231" t="s">
        <v>3544</v>
      </c>
      <c r="C2320" s="231" t="s">
        <v>3545</v>
      </c>
      <c r="D2320" s="223">
        <v>0.63700000000000001</v>
      </c>
      <c r="E2320" s="223">
        <v>0.46200000000000002</v>
      </c>
      <c r="F2320" s="223">
        <v>0.78900000000000003</v>
      </c>
    </row>
    <row r="2321" spans="1:6" ht="32" x14ac:dyDescent="0.2">
      <c r="A2321" s="225" t="s">
        <v>3546</v>
      </c>
      <c r="B2321" s="223" t="s">
        <v>3546</v>
      </c>
      <c r="C2321" s="223" t="s">
        <v>3547</v>
      </c>
      <c r="D2321" s="223">
        <v>0.214</v>
      </c>
      <c r="E2321" s="223">
        <v>0.14099999999999999</v>
      </c>
      <c r="F2321" s="223">
        <v>0.29699999999999999</v>
      </c>
    </row>
    <row r="2322" spans="1:6" x14ac:dyDescent="0.2">
      <c r="A2322" s="224" t="s">
        <v>3548</v>
      </c>
      <c r="B2322" s="222" t="s">
        <v>3548</v>
      </c>
      <c r="C2322" s="222" t="s">
        <v>3549</v>
      </c>
      <c r="D2322" s="223">
        <v>4.7E-2</v>
      </c>
      <c r="E2322" s="223">
        <v>0.03</v>
      </c>
      <c r="F2322" s="223">
        <v>7.0000000000000007E-2</v>
      </c>
    </row>
    <row r="2323" spans="1:6" x14ac:dyDescent="0.2">
      <c r="A2323" s="224" t="s">
        <v>3550</v>
      </c>
      <c r="B2323" s="222" t="s">
        <v>3550</v>
      </c>
      <c r="C2323" s="222" t="s">
        <v>3551</v>
      </c>
      <c r="D2323" s="223">
        <v>0.36899999999999999</v>
      </c>
      <c r="E2323" s="223">
        <v>0.248</v>
      </c>
      <c r="F2323" s="223">
        <v>0.501</v>
      </c>
    </row>
    <row r="2324" spans="1:6" x14ac:dyDescent="0.2">
      <c r="A2324" s="225" t="s">
        <v>3552</v>
      </c>
      <c r="B2324" s="223" t="s">
        <v>3552</v>
      </c>
      <c r="C2324" s="223" t="s">
        <v>3553</v>
      </c>
      <c r="D2324" s="223">
        <v>0.11</v>
      </c>
      <c r="E2324" s="223">
        <v>7.3999999999999996E-2</v>
      </c>
      <c r="F2324" s="223">
        <v>0.158</v>
      </c>
    </row>
    <row r="2325" spans="1:6" x14ac:dyDescent="0.2">
      <c r="A2325" s="224" t="s">
        <v>3554</v>
      </c>
      <c r="B2325" s="222" t="s">
        <v>3554</v>
      </c>
      <c r="C2325" s="222" t="s">
        <v>3555</v>
      </c>
      <c r="D2325" s="223">
        <v>0.13200000000000001</v>
      </c>
      <c r="E2325" s="223">
        <v>8.8999999999999996E-2</v>
      </c>
      <c r="F2325" s="223">
        <v>0.189</v>
      </c>
    </row>
    <row r="2326" spans="1:6" x14ac:dyDescent="0.2">
      <c r="A2326" s="224" t="s">
        <v>3556</v>
      </c>
      <c r="B2326" s="222" t="s">
        <v>3556</v>
      </c>
      <c r="C2326" s="222" t="s">
        <v>3557</v>
      </c>
      <c r="D2326" s="223">
        <v>5.3999999999999999E-2</v>
      </c>
      <c r="E2326" s="223">
        <v>3.5000000000000003E-2</v>
      </c>
      <c r="F2326" s="223">
        <v>8.1000000000000003E-2</v>
      </c>
    </row>
    <row r="2327" spans="1:6" ht="32" x14ac:dyDescent="0.2">
      <c r="A2327" s="224" t="s">
        <v>3558</v>
      </c>
      <c r="B2327" s="222" t="s">
        <v>3558</v>
      </c>
      <c r="C2327" s="222" t="s">
        <v>3559</v>
      </c>
      <c r="D2327" s="223">
        <v>8.0000000000000002E-3</v>
      </c>
      <c r="E2327" s="223">
        <v>3.0000000000000001E-3</v>
      </c>
      <c r="F2327" s="223">
        <v>1.4999999999999999E-2</v>
      </c>
    </row>
    <row r="2328" spans="1:6" x14ac:dyDescent="0.2">
      <c r="A2328" s="224" t="s">
        <v>3560</v>
      </c>
      <c r="B2328" s="222" t="s">
        <v>3560</v>
      </c>
      <c r="C2328" s="222" t="s">
        <v>3561</v>
      </c>
      <c r="D2328" s="223">
        <v>0.113</v>
      </c>
      <c r="E2328" s="223">
        <v>7.5999999999999998E-2</v>
      </c>
      <c r="F2328" s="223">
        <v>0.157</v>
      </c>
    </row>
    <row r="2329" spans="1:6" x14ac:dyDescent="0.2">
      <c r="A2329" s="224" t="s">
        <v>3562</v>
      </c>
      <c r="B2329" s="222" t="s">
        <v>3562</v>
      </c>
      <c r="C2329" s="222" t="s">
        <v>3563</v>
      </c>
      <c r="D2329" s="223">
        <v>0.1</v>
      </c>
      <c r="E2329" s="223">
        <v>6.7000000000000004E-2</v>
      </c>
      <c r="F2329" s="223">
        <v>-0.14000000000000001</v>
      </c>
    </row>
    <row r="2330" spans="1:6" x14ac:dyDescent="0.2">
      <c r="A2330" s="224" t="s">
        <v>777</v>
      </c>
      <c r="B2330" s="222" t="s">
        <v>777</v>
      </c>
      <c r="C2330" s="223" t="s">
        <v>778</v>
      </c>
      <c r="D2330" s="223">
        <v>0.29599999999999999</v>
      </c>
      <c r="E2330" s="223">
        <v>0.19800000000000001</v>
      </c>
      <c r="F2330" s="223">
        <v>0.41399999999999998</v>
      </c>
    </row>
    <row r="2331" spans="1:6" x14ac:dyDescent="0.2">
      <c r="A2331" s="224" t="s">
        <v>3564</v>
      </c>
      <c r="B2331" s="222" t="s">
        <v>3564</v>
      </c>
      <c r="C2331" s="223" t="s">
        <v>3565</v>
      </c>
      <c r="D2331" s="223">
        <v>0.623</v>
      </c>
      <c r="E2331" s="223">
        <v>0.434</v>
      </c>
      <c r="F2331" s="223">
        <v>0.77700000000000002</v>
      </c>
    </row>
    <row r="2332" spans="1:6" x14ac:dyDescent="0.2">
      <c r="A2332" s="224" t="s">
        <v>3566</v>
      </c>
      <c r="B2332" s="222" t="s">
        <v>3566</v>
      </c>
      <c r="C2332" s="223" t="s">
        <v>3567</v>
      </c>
      <c r="D2332" s="223">
        <v>0.58899999999999997</v>
      </c>
      <c r="E2332" s="223">
        <v>0.41499999999999998</v>
      </c>
      <c r="F2332" s="223">
        <v>0.748</v>
      </c>
    </row>
    <row r="2333" spans="1:6" x14ac:dyDescent="0.2">
      <c r="A2333" s="224" t="s">
        <v>3568</v>
      </c>
      <c r="B2333" s="222" t="s">
        <v>3568</v>
      </c>
      <c r="C2333" s="223" t="s">
        <v>3569</v>
      </c>
      <c r="D2333" s="223">
        <v>0.73199999999999998</v>
      </c>
      <c r="E2333" s="223">
        <v>0.54400000000000004</v>
      </c>
      <c r="F2333" s="223">
        <v>0.871</v>
      </c>
    </row>
    <row r="2334" spans="1:6" x14ac:dyDescent="0.2">
      <c r="A2334" s="224" t="s">
        <v>3570</v>
      </c>
      <c r="B2334" s="222" t="s">
        <v>3570</v>
      </c>
      <c r="C2334" s="222" t="s">
        <v>3571</v>
      </c>
      <c r="D2334" s="223">
        <v>6.0000000000000001E-3</v>
      </c>
      <c r="E2334" s="223">
        <v>2E-3</v>
      </c>
      <c r="F2334" s="223">
        <v>1.2E-2</v>
      </c>
    </row>
    <row r="2335" spans="1:6" x14ac:dyDescent="0.2">
      <c r="A2335" s="225" t="s">
        <v>3572</v>
      </c>
      <c r="B2335" s="223" t="s">
        <v>3572</v>
      </c>
      <c r="C2335" s="232" t="s">
        <v>3573</v>
      </c>
      <c r="D2335" s="223">
        <v>0.16300000000000001</v>
      </c>
      <c r="E2335" s="223">
        <v>0.109</v>
      </c>
      <c r="F2335" s="223">
        <v>0.22700000000000001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48B0D-6E58-B648-A327-1EDF76A0B5CD}">
  <sheetPr>
    <tabColor rgb="FF0070C0"/>
  </sheetPr>
  <dimension ref="A1"/>
  <sheetViews>
    <sheetView workbookViewId="0">
      <selection sqref="A1:XFD1048576"/>
    </sheetView>
  </sheetViews>
  <sheetFormatPr baseColWidth="10" defaultRowHeight="16" x14ac:dyDescent="0.2"/>
  <cols>
    <col min="1" max="16384" width="10.83203125" style="185"/>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BB64C-2DFB-304E-8B0C-9F0A1DAA7AC3}">
  <dimension ref="A1:H10"/>
  <sheetViews>
    <sheetView zoomScale="180" zoomScaleNormal="180" workbookViewId="0">
      <selection activeCell="A10" sqref="A10"/>
    </sheetView>
  </sheetViews>
  <sheetFormatPr baseColWidth="10" defaultRowHeight="16" x14ac:dyDescent="0.2"/>
  <cols>
    <col min="1" max="1" width="26" style="185" customWidth="1"/>
    <col min="2" max="2" width="14.5" style="189" bestFit="1" customWidth="1"/>
    <col min="3" max="3" width="13.33203125" style="189" customWidth="1"/>
    <col min="4" max="4" width="8.83203125" style="189" customWidth="1"/>
    <col min="5" max="5" width="9.5" style="189" customWidth="1"/>
    <col min="6" max="6" width="10.83203125" style="185"/>
    <col min="7" max="7" width="28.33203125" style="185" customWidth="1"/>
    <col min="8" max="8" width="22.6640625" style="185" customWidth="1"/>
    <col min="9" max="16384" width="10.83203125" style="185"/>
  </cols>
  <sheetData>
    <row r="1" spans="1:8" x14ac:dyDescent="0.2">
      <c r="A1" s="186" t="s">
        <v>381</v>
      </c>
      <c r="B1" s="192" t="s">
        <v>378</v>
      </c>
      <c r="C1" s="192" t="s">
        <v>372</v>
      </c>
      <c r="D1" s="192" t="s">
        <v>152</v>
      </c>
      <c r="E1" s="192" t="s">
        <v>151</v>
      </c>
      <c r="F1" s="186" t="s">
        <v>377</v>
      </c>
      <c r="G1" s="186" t="s">
        <v>379</v>
      </c>
      <c r="H1" s="186" t="s">
        <v>380</v>
      </c>
    </row>
    <row r="2" spans="1:8" x14ac:dyDescent="0.2">
      <c r="A2" s="185" t="s">
        <v>370</v>
      </c>
      <c r="B2" s="215">
        <v>29</v>
      </c>
      <c r="C2" s="216">
        <v>0.98899999999999999</v>
      </c>
      <c r="D2" s="216">
        <v>0.96699999999999997</v>
      </c>
      <c r="E2" s="216">
        <v>0.998</v>
      </c>
      <c r="F2" s="185" t="s">
        <v>371</v>
      </c>
      <c r="G2" s="185" t="s">
        <v>635</v>
      </c>
      <c r="H2" s="185" t="s">
        <v>633</v>
      </c>
    </row>
    <row r="3" spans="1:8" x14ac:dyDescent="0.2">
      <c r="A3" s="185" t="s">
        <v>370</v>
      </c>
      <c r="B3" s="214">
        <v>29</v>
      </c>
      <c r="C3" s="214">
        <v>0.99099999999999999</v>
      </c>
      <c r="D3" s="214">
        <v>0.97499999999999998</v>
      </c>
      <c r="E3" s="214">
        <v>0.998</v>
      </c>
      <c r="F3" s="185" t="s">
        <v>371</v>
      </c>
      <c r="G3" s="185" t="s">
        <v>634</v>
      </c>
      <c r="H3" s="185" t="s">
        <v>608</v>
      </c>
    </row>
    <row r="4" spans="1:8" x14ac:dyDescent="0.2">
      <c r="A4" s="185" t="s">
        <v>370</v>
      </c>
      <c r="B4" s="215">
        <f>6*30.44</f>
        <v>182.64000000000001</v>
      </c>
      <c r="C4" s="214">
        <v>0.97799999999999998</v>
      </c>
      <c r="D4" s="214">
        <v>0.95599999999999996</v>
      </c>
      <c r="E4" s="216">
        <v>0.99</v>
      </c>
      <c r="F4" s="185" t="s">
        <v>371</v>
      </c>
      <c r="G4" s="185" t="s">
        <v>634</v>
      </c>
      <c r="H4" s="185" t="s">
        <v>608</v>
      </c>
    </row>
    <row r="5" spans="1:8" x14ac:dyDescent="0.2">
      <c r="A5" s="185" t="s">
        <v>370</v>
      </c>
      <c r="B5" s="214">
        <v>365</v>
      </c>
      <c r="C5" s="214">
        <v>0.98899999999999999</v>
      </c>
      <c r="D5" s="214">
        <v>0.97199999999999998</v>
      </c>
      <c r="E5" s="214">
        <v>0.997</v>
      </c>
      <c r="F5" s="185" t="s">
        <v>371</v>
      </c>
      <c r="G5" s="185" t="s">
        <v>634</v>
      </c>
      <c r="H5" s="185" t="s">
        <v>608</v>
      </c>
    </row>
    <row r="6" spans="1:8" x14ac:dyDescent="0.2">
      <c r="A6" s="187" t="s">
        <v>370</v>
      </c>
      <c r="B6" s="200">
        <f>+B5*2</f>
        <v>730</v>
      </c>
      <c r="C6" s="200">
        <v>0.96799999999999997</v>
      </c>
      <c r="D6" s="200">
        <v>0.94299999999999995</v>
      </c>
      <c r="E6" s="200">
        <v>0.98499999999999999</v>
      </c>
      <c r="F6" s="187" t="s">
        <v>371</v>
      </c>
      <c r="G6" s="187" t="s">
        <v>634</v>
      </c>
      <c r="H6" s="187" t="s">
        <v>608</v>
      </c>
    </row>
    <row r="7" spans="1:8" x14ac:dyDescent="0.2">
      <c r="A7" s="185" t="s">
        <v>382</v>
      </c>
      <c r="B7" s="214">
        <v>8</v>
      </c>
      <c r="C7" s="214">
        <v>0.46100000000000002</v>
      </c>
      <c r="D7" s="214">
        <v>0.438</v>
      </c>
      <c r="E7" s="214">
        <v>0.48099999999999998</v>
      </c>
      <c r="F7" s="185" t="s">
        <v>375</v>
      </c>
      <c r="G7" s="185" t="s">
        <v>376</v>
      </c>
      <c r="H7" s="185" t="s">
        <v>362</v>
      </c>
    </row>
    <row r="8" spans="1:8" x14ac:dyDescent="0.2">
      <c r="A8" s="185" t="s">
        <v>382</v>
      </c>
      <c r="B8" s="214">
        <v>15</v>
      </c>
      <c r="C8" s="216">
        <v>0.96</v>
      </c>
      <c r="D8" s="214">
        <v>0.94299999999999995</v>
      </c>
      <c r="E8" s="214">
        <v>0.96799999999999997</v>
      </c>
      <c r="F8" s="185" t="s">
        <v>375</v>
      </c>
      <c r="G8" s="185" t="s">
        <v>376</v>
      </c>
      <c r="H8" s="185" t="s">
        <v>362</v>
      </c>
    </row>
    <row r="9" spans="1:8" x14ac:dyDescent="0.2">
      <c r="A9" s="185" t="s">
        <v>382</v>
      </c>
      <c r="B9" s="215">
        <v>22</v>
      </c>
      <c r="C9" s="216">
        <v>0.96599999999999997</v>
      </c>
      <c r="D9" s="216">
        <v>0.95</v>
      </c>
      <c r="E9" s="214">
        <v>0.97499999999999998</v>
      </c>
      <c r="F9" s="185" t="s">
        <v>375</v>
      </c>
      <c r="G9" s="185" t="s">
        <v>376</v>
      </c>
      <c r="H9" s="185" t="s">
        <v>362</v>
      </c>
    </row>
    <row r="10" spans="1:8" x14ac:dyDescent="0.2">
      <c r="A10" s="187" t="s">
        <v>382</v>
      </c>
      <c r="B10" s="200">
        <v>183</v>
      </c>
      <c r="C10" s="217">
        <v>0.84</v>
      </c>
      <c r="D10" s="200">
        <v>0.81699999999999995</v>
      </c>
      <c r="E10" s="200">
        <v>0.85599999999999998</v>
      </c>
      <c r="F10" s="187" t="s">
        <v>375</v>
      </c>
      <c r="G10" s="187" t="s">
        <v>376</v>
      </c>
      <c r="H10" s="187" t="s">
        <v>362</v>
      </c>
    </row>
  </sheetData>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AEEE9-76D1-C44F-9678-76D522A0A2D0}">
  <sheetPr>
    <tabColor rgb="FF0070C0"/>
  </sheetPr>
  <dimension ref="A1"/>
  <sheetViews>
    <sheetView workbookViewId="0">
      <selection sqref="A1:XFD1048576"/>
    </sheetView>
  </sheetViews>
  <sheetFormatPr baseColWidth="10" defaultRowHeight="16" x14ac:dyDescent="0.2"/>
  <cols>
    <col min="1" max="16384" width="10.83203125" style="185"/>
  </cols>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E8A02-B768-2D4A-AEB5-029FAE7F00BC}">
  <dimension ref="A2:H110"/>
  <sheetViews>
    <sheetView zoomScale="140" zoomScaleNormal="140" workbookViewId="0">
      <selection activeCell="C33" sqref="C33"/>
    </sheetView>
  </sheetViews>
  <sheetFormatPr baseColWidth="10" defaultColWidth="11.5" defaultRowHeight="16" x14ac:dyDescent="0.2"/>
  <cols>
    <col min="1" max="1" width="11.1640625" style="62" customWidth="1"/>
    <col min="2" max="2" width="25.83203125" style="60" customWidth="1"/>
    <col min="3" max="3" width="9.33203125" style="60" customWidth="1"/>
    <col min="4" max="4" width="12.5" style="60" customWidth="1"/>
    <col min="5" max="5" width="11.5" style="60"/>
    <col min="6" max="6" width="13.6640625" style="60" customWidth="1"/>
    <col min="7" max="7" width="19.83203125" style="60" customWidth="1"/>
    <col min="8" max="8" width="20.1640625" style="58" customWidth="1"/>
  </cols>
  <sheetData>
    <row r="2" spans="1:7" x14ac:dyDescent="0.2">
      <c r="A2" s="234" t="s">
        <v>636</v>
      </c>
      <c r="B2" s="234"/>
      <c r="C2" s="234"/>
      <c r="D2" s="234"/>
      <c r="E2" s="234"/>
      <c r="F2" s="234"/>
      <c r="G2" s="234"/>
    </row>
    <row r="3" spans="1:7" x14ac:dyDescent="0.2">
      <c r="A3" s="63"/>
      <c r="B3" s="64"/>
      <c r="C3" s="64"/>
      <c r="D3" s="64"/>
      <c r="E3" s="64"/>
      <c r="F3" s="65"/>
      <c r="G3" s="65" t="s">
        <v>200</v>
      </c>
    </row>
    <row r="4" spans="1:7" x14ac:dyDescent="0.2">
      <c r="A4" s="60" t="s">
        <v>201</v>
      </c>
      <c r="B4" s="66" t="s">
        <v>202</v>
      </c>
      <c r="C4" s="66" t="s">
        <v>203</v>
      </c>
      <c r="D4" s="235" t="s">
        <v>204</v>
      </c>
      <c r="E4" s="235" t="s">
        <v>205</v>
      </c>
      <c r="F4" s="235" t="s">
        <v>206</v>
      </c>
      <c r="G4" s="60" t="s">
        <v>207</v>
      </c>
    </row>
    <row r="5" spans="1:7" x14ac:dyDescent="0.2">
      <c r="A5" s="60" t="s">
        <v>208</v>
      </c>
      <c r="B5" s="67" t="s">
        <v>209</v>
      </c>
      <c r="C5" s="67" t="s">
        <v>210</v>
      </c>
      <c r="D5" s="235"/>
      <c r="E5" s="235"/>
      <c r="F5" s="235"/>
      <c r="G5" s="60" t="s">
        <v>211</v>
      </c>
    </row>
    <row r="6" spans="1:7" x14ac:dyDescent="0.2">
      <c r="A6" s="64" t="s">
        <v>212</v>
      </c>
      <c r="B6" s="68" t="s">
        <v>213</v>
      </c>
      <c r="C6" s="68"/>
      <c r="D6" s="235"/>
      <c r="E6" s="235"/>
      <c r="F6" s="235"/>
      <c r="G6" s="69" t="s">
        <v>214</v>
      </c>
    </row>
    <row r="7" spans="1:7" x14ac:dyDescent="0.2">
      <c r="A7" s="60" t="s">
        <v>354</v>
      </c>
      <c r="B7" s="60" t="s">
        <v>355</v>
      </c>
      <c r="D7" s="110"/>
      <c r="E7" s="110"/>
      <c r="F7" s="110"/>
      <c r="G7" s="60" t="s">
        <v>356</v>
      </c>
    </row>
    <row r="8" spans="1:7" x14ac:dyDescent="0.2">
      <c r="A8" s="70">
        <v>0</v>
      </c>
      <c r="B8" s="71">
        <v>12.255129142538699</v>
      </c>
      <c r="C8" s="72">
        <v>1225.5129142538599</v>
      </c>
      <c r="D8" s="72">
        <v>100000</v>
      </c>
      <c r="E8" s="72">
        <v>98926.550967401796</v>
      </c>
      <c r="F8" s="72">
        <v>7660788.3679197803</v>
      </c>
      <c r="G8" s="73">
        <v>76.607883679197798</v>
      </c>
    </row>
    <row r="9" spans="1:7" x14ac:dyDescent="0.2">
      <c r="A9" s="70">
        <v>1</v>
      </c>
      <c r="B9" s="71">
        <v>0.74460443305674495</v>
      </c>
      <c r="C9" s="72">
        <v>73.547920956960297</v>
      </c>
      <c r="D9" s="72">
        <v>98774.487085746106</v>
      </c>
      <c r="E9" s="72">
        <v>98737.713125267604</v>
      </c>
      <c r="F9" s="72">
        <v>7561861.8169523804</v>
      </c>
      <c r="G9" s="73">
        <v>76.556832032829703</v>
      </c>
    </row>
    <row r="10" spans="1:7" x14ac:dyDescent="0.2">
      <c r="A10" s="70">
        <v>2</v>
      </c>
      <c r="B10" s="71">
        <v>0.59254521224370904</v>
      </c>
      <c r="C10" s="72">
        <v>58.484768946058502</v>
      </c>
      <c r="D10" s="72">
        <v>98700.939164789204</v>
      </c>
      <c r="E10" s="72">
        <v>98671.696780316197</v>
      </c>
      <c r="F10" s="72">
        <v>7463124.1038271096</v>
      </c>
      <c r="G10" s="73">
        <v>75.613506487175599</v>
      </c>
    </row>
    <row r="11" spans="1:7" x14ac:dyDescent="0.2">
      <c r="A11" s="70">
        <v>3</v>
      </c>
      <c r="B11" s="71">
        <v>0.47361226782771199</v>
      </c>
      <c r="C11" s="72">
        <v>46.718276530504198</v>
      </c>
      <c r="D11" s="72">
        <v>98642.454395843102</v>
      </c>
      <c r="E11" s="72">
        <v>98619.095257577894</v>
      </c>
      <c r="F11" s="72">
        <v>7364452.4070467902</v>
      </c>
      <c r="G11" s="73">
        <v>74.658041024546307</v>
      </c>
    </row>
    <row r="12" spans="1:7" x14ac:dyDescent="0.2">
      <c r="A12" s="70">
        <v>4</v>
      </c>
      <c r="B12" s="71">
        <v>0.382096174315399</v>
      </c>
      <c r="C12" s="72">
        <v>37.673053574995699</v>
      </c>
      <c r="D12" s="72">
        <v>98595.736119312598</v>
      </c>
      <c r="E12" s="72">
        <v>98576.899592525093</v>
      </c>
      <c r="F12" s="72">
        <v>7265833.3117892202</v>
      </c>
      <c r="G12" s="73">
        <v>73.693179824700394</v>
      </c>
    </row>
    <row r="13" spans="1:7" x14ac:dyDescent="0.2">
      <c r="A13" s="70">
        <v>5</v>
      </c>
      <c r="B13" s="71">
        <v>0.31305261625040798</v>
      </c>
      <c r="C13" s="72">
        <v>30.853859495298799</v>
      </c>
      <c r="D13" s="72">
        <v>98558.063065737602</v>
      </c>
      <c r="E13" s="72">
        <v>98542.636135990004</v>
      </c>
      <c r="F13" s="72">
        <v>7167256.4121966902</v>
      </c>
      <c r="G13" s="73">
        <v>72.721157348802393</v>
      </c>
    </row>
    <row r="14" spans="1:7" x14ac:dyDescent="0.2">
      <c r="A14" s="70">
        <v>6</v>
      </c>
      <c r="B14" s="71">
        <v>0.26253592065445802</v>
      </c>
      <c r="C14" s="72">
        <v>25.8669315784791</v>
      </c>
      <c r="D14" s="72">
        <v>98527.209206242303</v>
      </c>
      <c r="E14" s="72">
        <v>98514.2757404531</v>
      </c>
      <c r="F14" s="72">
        <v>7068713.7760607004</v>
      </c>
      <c r="G14" s="73">
        <v>71.743773451088998</v>
      </c>
    </row>
    <row r="15" spans="1:7" x14ac:dyDescent="0.2">
      <c r="A15" s="70">
        <v>7</v>
      </c>
      <c r="B15" s="71">
        <v>0.22730590843856699</v>
      </c>
      <c r="C15" s="72">
        <v>22.389937088170001</v>
      </c>
      <c r="D15" s="72">
        <v>98501.342274663795</v>
      </c>
      <c r="E15" s="72">
        <v>98490.147306119805</v>
      </c>
      <c r="F15" s="72">
        <v>6970199.5003202502</v>
      </c>
      <c r="G15" s="73">
        <v>70.762482412517301</v>
      </c>
    </row>
    <row r="16" spans="1:7" x14ac:dyDescent="0.2">
      <c r="A16" s="70">
        <v>8</v>
      </c>
      <c r="B16" s="71">
        <v>0.20513093166598301</v>
      </c>
      <c r="C16" s="72">
        <v>20.201079242498999</v>
      </c>
      <c r="D16" s="72">
        <v>98478.952337575698</v>
      </c>
      <c r="E16" s="72">
        <v>98468.851797954398</v>
      </c>
      <c r="F16" s="72">
        <v>6871709.3530141301</v>
      </c>
      <c r="G16" s="73">
        <v>69.778457121056903</v>
      </c>
    </row>
    <row r="17" spans="1:7" x14ac:dyDescent="0.2">
      <c r="A17" s="70">
        <v>9</v>
      </c>
      <c r="B17" s="71">
        <v>0.19482618915390301</v>
      </c>
      <c r="C17" s="72">
        <v>19.1823432965029</v>
      </c>
      <c r="D17" s="72">
        <v>98458.751258333199</v>
      </c>
      <c r="E17" s="72">
        <v>98449.160086684904</v>
      </c>
      <c r="F17" s="72">
        <v>6773240.5012161704</v>
      </c>
      <c r="G17" s="73">
        <v>68.792671191256005</v>
      </c>
    </row>
    <row r="18" spans="1:7" x14ac:dyDescent="0.2">
      <c r="A18" s="70">
        <v>10</v>
      </c>
      <c r="B18" s="71">
        <v>0.196626707379921</v>
      </c>
      <c r="C18" s="72">
        <v>19.3558483116649</v>
      </c>
      <c r="D18" s="72">
        <v>98439.568915036696</v>
      </c>
      <c r="E18" s="72">
        <v>98429.890990880798</v>
      </c>
      <c r="F18" s="72">
        <v>6674791.3411294902</v>
      </c>
      <c r="G18" s="73">
        <v>67.805978984838006</v>
      </c>
    </row>
    <row r="19" spans="1:7" x14ac:dyDescent="0.2">
      <c r="A19" s="70">
        <v>11</v>
      </c>
      <c r="B19" s="71">
        <v>0.21238233577126001</v>
      </c>
      <c r="C19" s="72">
        <v>20.9027147382149</v>
      </c>
      <c r="D19" s="72">
        <v>98420.213066725002</v>
      </c>
      <c r="E19" s="72">
        <v>98409.761709355895</v>
      </c>
      <c r="F19" s="72">
        <v>6576361.4501386099</v>
      </c>
      <c r="G19" s="73">
        <v>66.819215740572503</v>
      </c>
    </row>
    <row r="20" spans="1:7" x14ac:dyDescent="0.2">
      <c r="A20" s="70">
        <v>12</v>
      </c>
      <c r="B20" s="71">
        <v>0.24577571005733401</v>
      </c>
      <c r="C20" s="72">
        <v>24.1841603709181</v>
      </c>
      <c r="D20" s="72">
        <v>98399.310351986802</v>
      </c>
      <c r="E20" s="72">
        <v>98387.218271801306</v>
      </c>
      <c r="F20" s="72">
        <v>6477951.6884292504</v>
      </c>
      <c r="G20" s="73">
        <v>65.833303762564995</v>
      </c>
    </row>
    <row r="21" spans="1:7" x14ac:dyDescent="0.2">
      <c r="A21" s="70">
        <v>13</v>
      </c>
      <c r="B21" s="71">
        <v>0.30333462847451997</v>
      </c>
      <c r="C21" s="72">
        <v>29.840582354474499</v>
      </c>
      <c r="D21" s="72">
        <v>98375.126191615898</v>
      </c>
      <c r="E21" s="72">
        <v>98360.205900438596</v>
      </c>
      <c r="F21" s="72">
        <v>6379564.4701574501</v>
      </c>
      <c r="G21" s="73">
        <v>64.849365049161705</v>
      </c>
    </row>
    <row r="22" spans="1:7" x14ac:dyDescent="0.2">
      <c r="A22" s="70">
        <v>14</v>
      </c>
      <c r="B22" s="71">
        <v>0.39257242363158001</v>
      </c>
      <c r="C22" s="72">
        <v>38.607647124357797</v>
      </c>
      <c r="D22" s="72">
        <v>98345.285609261395</v>
      </c>
      <c r="E22" s="72">
        <v>98325.981785699201</v>
      </c>
      <c r="F22" s="72">
        <v>6281204.2642570101</v>
      </c>
      <c r="G22" s="73">
        <v>63.8688903626052</v>
      </c>
    </row>
    <row r="23" spans="1:7" x14ac:dyDescent="0.2">
      <c r="A23" s="70">
        <v>15</v>
      </c>
      <c r="B23" s="71">
        <v>0.52121840265279096</v>
      </c>
      <c r="C23" s="72">
        <v>51.239249657533897</v>
      </c>
      <c r="D23" s="72">
        <v>98306.677962136993</v>
      </c>
      <c r="E23" s="72">
        <v>98281.058337308306</v>
      </c>
      <c r="F23" s="72">
        <v>6182878.2824713103</v>
      </c>
      <c r="G23" s="73">
        <v>62.8937770112897</v>
      </c>
    </row>
    <row r="24" spans="1:7" x14ac:dyDescent="0.2">
      <c r="A24" s="70">
        <v>16</v>
      </c>
      <c r="B24" s="71">
        <v>0.68876106281649496</v>
      </c>
      <c r="C24" s="72">
        <v>67.674520395099506</v>
      </c>
      <c r="D24" s="72">
        <v>98255.438712479503</v>
      </c>
      <c r="E24" s="72">
        <v>98221.601452282004</v>
      </c>
      <c r="F24" s="72">
        <v>6084597.224134</v>
      </c>
      <c r="G24" s="73">
        <v>61.926314755349999</v>
      </c>
    </row>
    <row r="25" spans="1:7" x14ac:dyDescent="0.2">
      <c r="A25" s="70">
        <v>17</v>
      </c>
      <c r="B25" s="71">
        <v>0.88076644196120502</v>
      </c>
      <c r="C25" s="72">
        <v>86.480487711596695</v>
      </c>
      <c r="D25" s="72">
        <v>98187.764192084403</v>
      </c>
      <c r="E25" s="72">
        <v>98144.523948228598</v>
      </c>
      <c r="F25" s="72">
        <v>5986375.6226817202</v>
      </c>
      <c r="G25" s="73">
        <v>60.968651969410303</v>
      </c>
    </row>
    <row r="26" spans="1:7" x14ac:dyDescent="0.2">
      <c r="A26" s="70">
        <v>18</v>
      </c>
      <c r="B26" s="71">
        <v>1.07138626414037</v>
      </c>
      <c r="C26" s="72">
        <v>105.104367855398</v>
      </c>
      <c r="D26" s="72">
        <v>98101.283704372807</v>
      </c>
      <c r="E26" s="72">
        <v>98048.731520445101</v>
      </c>
      <c r="F26" s="72">
        <v>5888231.0987334903</v>
      </c>
      <c r="G26" s="73">
        <v>60.021957678735497</v>
      </c>
    </row>
    <row r="27" spans="1:7" x14ac:dyDescent="0.2">
      <c r="A27" s="70">
        <v>19</v>
      </c>
      <c r="B27" s="71">
        <v>1.2280232852349899</v>
      </c>
      <c r="C27" s="72">
        <v>120.34159008930099</v>
      </c>
      <c r="D27" s="72">
        <v>97996.179336517394</v>
      </c>
      <c r="E27" s="72">
        <v>97936.008541472795</v>
      </c>
      <c r="F27" s="72">
        <v>5790182.3672130499</v>
      </c>
      <c r="G27" s="73">
        <v>59.085797083268403</v>
      </c>
    </row>
    <row r="28" spans="1:7" x14ac:dyDescent="0.2">
      <c r="A28" s="70">
        <v>20</v>
      </c>
      <c r="B28" s="71">
        <v>1.3378617794954799</v>
      </c>
      <c r="C28" s="72">
        <v>130.944342457049</v>
      </c>
      <c r="D28" s="72">
        <v>97875.837746428093</v>
      </c>
      <c r="E28" s="72">
        <v>97810.365575199598</v>
      </c>
      <c r="F28" s="72">
        <v>5692246.3586715804</v>
      </c>
      <c r="G28" s="73">
        <v>58.157830264694802</v>
      </c>
    </row>
    <row r="29" spans="1:7" x14ac:dyDescent="0.2">
      <c r="A29" s="70">
        <v>21</v>
      </c>
      <c r="B29" s="71">
        <v>1.4037197788797899</v>
      </c>
      <c r="C29" s="72">
        <v>137.20644015564201</v>
      </c>
      <c r="D29" s="72">
        <v>97744.893403971102</v>
      </c>
      <c r="E29" s="72">
        <v>97676.290183893201</v>
      </c>
      <c r="F29" s="72">
        <v>5594435.9930963796</v>
      </c>
      <c r="G29" s="73">
        <v>57.235071810606698</v>
      </c>
    </row>
    <row r="30" spans="1:7" x14ac:dyDescent="0.2">
      <c r="A30" s="70">
        <v>22</v>
      </c>
      <c r="B30" s="71">
        <v>1.44142609492434</v>
      </c>
      <c r="C30" s="72">
        <v>140.69426705486001</v>
      </c>
      <c r="D30" s="72">
        <v>97607.686963815402</v>
      </c>
      <c r="E30" s="72">
        <v>97537.339830287994</v>
      </c>
      <c r="F30" s="72">
        <v>5496759.7029124796</v>
      </c>
      <c r="G30" s="73">
        <v>56.3148239026524</v>
      </c>
    </row>
    <row r="31" spans="1:7" x14ac:dyDescent="0.2">
      <c r="A31" s="70">
        <v>23</v>
      </c>
      <c r="B31" s="71">
        <v>1.46970785891375</v>
      </c>
      <c r="C31" s="72">
        <v>143.24800515112301</v>
      </c>
      <c r="D31" s="72">
        <v>97466.992696760601</v>
      </c>
      <c r="E31" s="72">
        <v>97395.368694185003</v>
      </c>
      <c r="F31" s="72">
        <v>5399222.3630822003</v>
      </c>
      <c r="G31" s="73">
        <v>55.395392980680803</v>
      </c>
    </row>
    <row r="32" spans="1:7" x14ac:dyDescent="0.2">
      <c r="A32" s="70">
        <v>24</v>
      </c>
      <c r="B32" s="71">
        <v>1.49715305306906</v>
      </c>
      <c r="C32" s="72">
        <v>145.70854150115301</v>
      </c>
      <c r="D32" s="72">
        <v>97323.744691609405</v>
      </c>
      <c r="E32" s="72">
        <v>97250.890420858894</v>
      </c>
      <c r="F32" s="72">
        <v>5301826.9943880104</v>
      </c>
      <c r="G32" s="73">
        <v>54.476191922001703</v>
      </c>
    </row>
    <row r="33" spans="1:7" x14ac:dyDescent="0.2">
      <c r="A33" s="70">
        <v>25</v>
      </c>
      <c r="B33" s="71">
        <v>1.5281848011589201</v>
      </c>
      <c r="C33" s="72">
        <v>148.505997851069</v>
      </c>
      <c r="D33" s="72">
        <v>97178.036150108295</v>
      </c>
      <c r="E33" s="72">
        <v>97103.783151182797</v>
      </c>
      <c r="F33" s="72">
        <v>5204576.1039671497</v>
      </c>
      <c r="G33" s="73">
        <v>53.557123709804003</v>
      </c>
    </row>
    <row r="34" spans="1:7" x14ac:dyDescent="0.2">
      <c r="A34" s="70">
        <v>26</v>
      </c>
      <c r="B34" s="71">
        <v>1.5596820777024001</v>
      </c>
      <c r="C34" s="72">
        <v>151.335219186367</v>
      </c>
      <c r="D34" s="72">
        <v>97029.530152257197</v>
      </c>
      <c r="E34" s="72">
        <v>96953.862542664006</v>
      </c>
      <c r="F34" s="72">
        <v>5107472.3208159702</v>
      </c>
      <c r="G34" s="73">
        <v>52.638328896382397</v>
      </c>
    </row>
    <row r="35" spans="1:7" x14ac:dyDescent="0.2">
      <c r="A35" s="70">
        <v>27</v>
      </c>
      <c r="B35" s="71">
        <v>1.5869260250230299</v>
      </c>
      <c r="C35" s="72">
        <v>153.73852879654399</v>
      </c>
      <c r="D35" s="72">
        <v>96878.194933070801</v>
      </c>
      <c r="E35" s="72">
        <v>96801.325668672594</v>
      </c>
      <c r="F35" s="72">
        <v>5010518.4582733</v>
      </c>
      <c r="G35" s="73">
        <v>51.719775143775799</v>
      </c>
    </row>
    <row r="36" spans="1:7" x14ac:dyDescent="0.2">
      <c r="A36" s="70">
        <v>28</v>
      </c>
      <c r="B36" s="71">
        <v>1.6078902395974499</v>
      </c>
      <c r="C36" s="72">
        <v>155.52230938279499</v>
      </c>
      <c r="D36" s="72">
        <v>96724.4564042743</v>
      </c>
      <c r="E36" s="72">
        <v>96646.695249582903</v>
      </c>
      <c r="F36" s="72">
        <v>4913717.1326046297</v>
      </c>
      <c r="G36" s="73">
        <v>50.801186331479798</v>
      </c>
    </row>
    <row r="37" spans="1:7" x14ac:dyDescent="0.2">
      <c r="A37" s="70">
        <v>29</v>
      </c>
      <c r="B37" s="71">
        <v>1.6222241129782999</v>
      </c>
      <c r="C37" s="72">
        <v>156.656453453339</v>
      </c>
      <c r="D37" s="72">
        <v>96568.934094891505</v>
      </c>
      <c r="E37" s="72">
        <v>96490.605868164799</v>
      </c>
      <c r="F37" s="72">
        <v>4817070.4373550499</v>
      </c>
      <c r="G37" s="73">
        <v>49.8821953716674</v>
      </c>
    </row>
    <row r="38" spans="1:7" x14ac:dyDescent="0.2">
      <c r="A38" s="70">
        <v>30</v>
      </c>
      <c r="B38" s="71">
        <v>1.6338207786588299</v>
      </c>
      <c r="C38" s="72">
        <v>157.520382528412</v>
      </c>
      <c r="D38" s="72">
        <v>96412.277641438195</v>
      </c>
      <c r="E38" s="72">
        <v>96333.517450173997</v>
      </c>
      <c r="F38" s="72">
        <v>4720579.8314868798</v>
      </c>
      <c r="G38" s="73">
        <v>48.962434525641498</v>
      </c>
    </row>
    <row r="39" spans="1:7" x14ac:dyDescent="0.2">
      <c r="A39" s="70">
        <v>31</v>
      </c>
      <c r="B39" s="71">
        <v>1.64788517818963</v>
      </c>
      <c r="C39" s="72">
        <v>158.616787817198</v>
      </c>
      <c r="D39" s="72">
        <v>96254.757258909798</v>
      </c>
      <c r="E39" s="72">
        <v>96175.448865001104</v>
      </c>
      <c r="F39" s="72">
        <v>4624246.3140367102</v>
      </c>
      <c r="G39" s="73">
        <v>48.041743034042803</v>
      </c>
    </row>
    <row r="40" spans="1:7" x14ac:dyDescent="0.2">
      <c r="A40" s="70">
        <v>32</v>
      </c>
      <c r="B40" s="71">
        <v>1.6694934886194499</v>
      </c>
      <c r="C40" s="72">
        <v>160.43188079794299</v>
      </c>
      <c r="D40" s="72">
        <v>96096.1404710926</v>
      </c>
      <c r="E40" s="72">
        <v>96015.924530693606</v>
      </c>
      <c r="F40" s="72">
        <v>4528070.86517171</v>
      </c>
      <c r="G40" s="73">
        <v>47.120215681646798</v>
      </c>
    </row>
    <row r="41" spans="1:7" x14ac:dyDescent="0.2">
      <c r="A41" s="70">
        <v>33</v>
      </c>
      <c r="B41" s="71">
        <v>1.7034395508041</v>
      </c>
      <c r="C41" s="72">
        <v>163.42068034713199</v>
      </c>
      <c r="D41" s="72">
        <v>95935.708590294598</v>
      </c>
      <c r="E41" s="72">
        <v>95853.998250121003</v>
      </c>
      <c r="F41" s="72">
        <v>4432054.9406410204</v>
      </c>
      <c r="G41" s="73">
        <v>46.198177985724399</v>
      </c>
    </row>
    <row r="42" spans="1:7" x14ac:dyDescent="0.2">
      <c r="A42" s="70">
        <v>34</v>
      </c>
      <c r="B42" s="71">
        <v>1.75224494195178</v>
      </c>
      <c r="C42" s="72">
        <v>167.81650706935</v>
      </c>
      <c r="D42" s="72">
        <v>95772.287909947496</v>
      </c>
      <c r="E42" s="72">
        <v>95688.379656412799</v>
      </c>
      <c r="F42" s="72">
        <v>4336200.9423908899</v>
      </c>
      <c r="G42" s="73">
        <v>45.276154898462103</v>
      </c>
    </row>
    <row r="43" spans="1:7" x14ac:dyDescent="0.2">
      <c r="A43" s="70">
        <v>35</v>
      </c>
      <c r="B43" s="71">
        <v>1.8176519351942</v>
      </c>
      <c r="C43" s="72">
        <v>173.77565245865799</v>
      </c>
      <c r="D43" s="72">
        <v>95604.471402878102</v>
      </c>
      <c r="E43" s="72">
        <v>95517.583576648802</v>
      </c>
      <c r="F43" s="72">
        <v>4240512.56273448</v>
      </c>
      <c r="G43" s="73">
        <v>44.354751409742398</v>
      </c>
    </row>
    <row r="44" spans="1:7" x14ac:dyDescent="0.2">
      <c r="A44" s="70">
        <v>36</v>
      </c>
      <c r="B44" s="71">
        <v>1.8998296554828</v>
      </c>
      <c r="C44" s="72">
        <v>181.302065830023</v>
      </c>
      <c r="D44" s="72">
        <v>95430.695750419502</v>
      </c>
      <c r="E44" s="72">
        <v>95340.044717504497</v>
      </c>
      <c r="F44" s="72">
        <v>4144994.9791578301</v>
      </c>
      <c r="G44" s="73">
        <v>43.434609237244402</v>
      </c>
    </row>
    <row r="45" spans="1:7" x14ac:dyDescent="0.2">
      <c r="A45" s="70">
        <v>37</v>
      </c>
      <c r="B45" s="71">
        <v>1.9982920051422901</v>
      </c>
      <c r="C45" s="72">
        <v>190.336101894558</v>
      </c>
      <c r="D45" s="72">
        <v>95249.393684589406</v>
      </c>
      <c r="E45" s="72">
        <v>95154.2256336422</v>
      </c>
      <c r="F45" s="72">
        <v>4049654.9344403301</v>
      </c>
      <c r="G45" s="73">
        <v>42.516332942238201</v>
      </c>
    </row>
    <row r="46" spans="1:7" x14ac:dyDescent="0.2">
      <c r="A46" s="80">
        <v>38</v>
      </c>
      <c r="B46" s="81">
        <v>2.1120514715659402</v>
      </c>
      <c r="C46" s="82">
        <v>200.76962245318299</v>
      </c>
      <c r="D46" s="82">
        <v>95059.057582694906</v>
      </c>
      <c r="E46" s="82">
        <v>94958.672771468293</v>
      </c>
      <c r="F46" s="82">
        <v>3954500.7088066898</v>
      </c>
      <c r="G46" s="83">
        <v>41.600461958783299</v>
      </c>
    </row>
    <row r="47" spans="1:7" x14ac:dyDescent="0.2">
      <c r="A47" s="70">
        <v>39</v>
      </c>
      <c r="B47" s="71">
        <v>2.2396432498115399</v>
      </c>
      <c r="C47" s="72">
        <v>212.448724318834</v>
      </c>
      <c r="D47" s="72">
        <v>94858.287960241694</v>
      </c>
      <c r="E47" s="72">
        <v>94752.063598082299</v>
      </c>
      <c r="F47" s="72">
        <v>3859542.0360352201</v>
      </c>
      <c r="G47" s="73">
        <v>40.6874519773421</v>
      </c>
    </row>
    <row r="48" spans="1:7" x14ac:dyDescent="0.2">
      <c r="A48" s="70">
        <v>40</v>
      </c>
      <c r="B48" s="71">
        <v>2.3791489877064902</v>
      </c>
      <c r="C48" s="72">
        <v>225.176552608798</v>
      </c>
      <c r="D48" s="72">
        <v>94645.839235922904</v>
      </c>
      <c r="E48" s="72">
        <v>94533.250959618497</v>
      </c>
      <c r="F48" s="72">
        <v>3764789.9724371401</v>
      </c>
      <c r="G48" s="73">
        <v>39.7776595657066</v>
      </c>
    </row>
    <row r="49" spans="1:7" x14ac:dyDescent="0.2">
      <c r="A49" s="70">
        <v>41</v>
      </c>
      <c r="B49" s="71">
        <v>2.5282142769741598</v>
      </c>
      <c r="C49" s="72">
        <v>238.71566743729599</v>
      </c>
      <c r="D49" s="72">
        <v>94420.662683314105</v>
      </c>
      <c r="E49" s="72">
        <v>94301.304849595399</v>
      </c>
      <c r="F49" s="72">
        <v>3670256.7214775202</v>
      </c>
      <c r="G49" s="73">
        <v>38.871329825204903</v>
      </c>
    </row>
    <row r="50" spans="1:7" x14ac:dyDescent="0.2">
      <c r="A50" s="70">
        <v>42</v>
      </c>
      <c r="B50" s="71">
        <v>2.6853511262093201</v>
      </c>
      <c r="C50" s="72">
        <v>252.911597487677</v>
      </c>
      <c r="D50" s="72">
        <v>94181.947015876794</v>
      </c>
      <c r="E50" s="72">
        <v>94055.491217132905</v>
      </c>
      <c r="F50" s="72">
        <v>3575955.4166279202</v>
      </c>
      <c r="G50" s="73">
        <v>37.968586655201598</v>
      </c>
    </row>
    <row r="51" spans="1:7" x14ac:dyDescent="0.2">
      <c r="A51" s="70">
        <v>43</v>
      </c>
      <c r="B51" s="71">
        <v>2.84967676559131</v>
      </c>
      <c r="C51" s="72">
        <v>267.667389846189</v>
      </c>
      <c r="D51" s="72">
        <v>93929.035418389103</v>
      </c>
      <c r="E51" s="72">
        <v>93795.201723466002</v>
      </c>
      <c r="F51" s="72">
        <v>3481899.9254107899</v>
      </c>
      <c r="G51" s="73">
        <v>37.069473884207603</v>
      </c>
    </row>
    <row r="52" spans="1:7" ht="17" customHeight="1" x14ac:dyDescent="0.2">
      <c r="A52" s="74">
        <v>44</v>
      </c>
      <c r="B52" s="75">
        <v>3.0227454670957901</v>
      </c>
      <c r="C52" s="76">
        <v>283.11447565027601</v>
      </c>
      <c r="D52" s="76">
        <v>93661.3680285429</v>
      </c>
      <c r="E52" s="76">
        <v>93519.810790717806</v>
      </c>
      <c r="F52" s="76">
        <v>3388104.72368732</v>
      </c>
      <c r="G52" s="77">
        <v>36.173982881125703</v>
      </c>
    </row>
    <row r="53" spans="1:7" x14ac:dyDescent="0.2">
      <c r="A53" s="70">
        <v>45</v>
      </c>
      <c r="B53" s="71">
        <v>3.2079128309410301</v>
      </c>
      <c r="C53" s="72">
        <v>299.54929770318302</v>
      </c>
      <c r="D53" s="72">
        <v>93378.253552892595</v>
      </c>
      <c r="E53" s="72">
        <v>93228.478904041098</v>
      </c>
      <c r="F53" s="72">
        <v>3294584.9128966099</v>
      </c>
      <c r="G53" s="73">
        <v>35.282143192263099</v>
      </c>
    </row>
    <row r="54" spans="1:7" x14ac:dyDescent="0.2">
      <c r="A54" s="70">
        <v>46</v>
      </c>
      <c r="B54" s="71">
        <v>3.4102138518186398</v>
      </c>
      <c r="C54" s="72">
        <v>317.41828656038001</v>
      </c>
      <c r="D54" s="72">
        <v>93078.704255189499</v>
      </c>
      <c r="E54" s="72">
        <v>92919.995111909302</v>
      </c>
      <c r="F54" s="72">
        <v>3201356.43399256</v>
      </c>
      <c r="G54" s="73">
        <v>34.394080360375</v>
      </c>
    </row>
    <row r="55" spans="1:7" x14ac:dyDescent="0.2">
      <c r="A55" s="70">
        <v>47</v>
      </c>
      <c r="B55" s="71">
        <v>3.6360529027112301</v>
      </c>
      <c r="C55" s="72">
        <v>337.28494310544897</v>
      </c>
      <c r="D55" s="72">
        <v>92761.285968629105</v>
      </c>
      <c r="E55" s="72">
        <v>92592.643497076395</v>
      </c>
      <c r="F55" s="72">
        <v>3108436.4388806499</v>
      </c>
      <c r="G55" s="73">
        <v>33.5100619447201</v>
      </c>
    </row>
    <row r="56" spans="1:7" x14ac:dyDescent="0.2">
      <c r="A56" s="70">
        <v>48</v>
      </c>
      <c r="B56" s="71">
        <v>3.8906946061984402</v>
      </c>
      <c r="C56" s="72">
        <v>359.59356227327999</v>
      </c>
      <c r="D56" s="72">
        <v>92424.001025523597</v>
      </c>
      <c r="E56" s="72">
        <v>92244.204244387001</v>
      </c>
      <c r="F56" s="72">
        <v>3015843.79538358</v>
      </c>
      <c r="G56" s="73">
        <v>32.630526291008898</v>
      </c>
    </row>
    <row r="57" spans="1:7" x14ac:dyDescent="0.2">
      <c r="A57" s="70">
        <v>49</v>
      </c>
      <c r="B57" s="71">
        <v>4.1787102665368803</v>
      </c>
      <c r="C57" s="72">
        <v>384.71048464933102</v>
      </c>
      <c r="D57" s="72">
        <v>92064.407463250303</v>
      </c>
      <c r="E57" s="72">
        <v>91872.052220925703</v>
      </c>
      <c r="F57" s="72">
        <v>2923599.5911391899</v>
      </c>
      <c r="G57" s="73">
        <v>31.7560246320622</v>
      </c>
    </row>
    <row r="58" spans="1:7" x14ac:dyDescent="0.2">
      <c r="A58" s="70">
        <v>50</v>
      </c>
      <c r="B58" s="71">
        <v>4.5023666094277699</v>
      </c>
      <c r="C58" s="72">
        <v>412.77560643889598</v>
      </c>
      <c r="D58" s="72">
        <v>91679.696978601001</v>
      </c>
      <c r="E58" s="72">
        <v>91473.309175381597</v>
      </c>
      <c r="F58" s="72">
        <v>2831727.5389182698</v>
      </c>
      <c r="G58" s="73">
        <v>30.887182574122399</v>
      </c>
    </row>
    <row r="59" spans="1:7" x14ac:dyDescent="0.2">
      <c r="A59" s="70">
        <v>51</v>
      </c>
      <c r="B59" s="71">
        <v>4.8619325381813496</v>
      </c>
      <c r="C59" s="72">
        <v>443.73361467896001</v>
      </c>
      <c r="D59" s="72">
        <v>91266.921372162105</v>
      </c>
      <c r="E59" s="72">
        <v>91045.054564822596</v>
      </c>
      <c r="F59" s="72">
        <v>2740254.22974288</v>
      </c>
      <c r="G59" s="73">
        <v>30.024615584093802</v>
      </c>
    </row>
    <row r="60" spans="1:7" x14ac:dyDescent="0.2">
      <c r="A60" s="70">
        <v>52</v>
      </c>
      <c r="B60" s="71">
        <v>5.2563898818740897</v>
      </c>
      <c r="C60" s="72">
        <v>477.40208516798202</v>
      </c>
      <c r="D60" s="72">
        <v>90823.187757483203</v>
      </c>
      <c r="E60" s="72">
        <v>90584.486714899205</v>
      </c>
      <c r="F60" s="72">
        <v>2649209.1751780598</v>
      </c>
      <c r="G60" s="73">
        <v>29.1688635973888</v>
      </c>
    </row>
    <row r="61" spans="1:7" x14ac:dyDescent="0.2">
      <c r="A61" s="70">
        <v>53</v>
      </c>
      <c r="B61" s="71">
        <v>5.6832665648796503</v>
      </c>
      <c r="C61" s="72">
        <v>513.45918298924505</v>
      </c>
      <c r="D61" s="72">
        <v>90345.785672315207</v>
      </c>
      <c r="E61" s="72">
        <v>90089.056080820606</v>
      </c>
      <c r="F61" s="72">
        <v>2558624.6884631598</v>
      </c>
      <c r="G61" s="73">
        <v>28.3203546177938</v>
      </c>
    </row>
    <row r="62" spans="1:7" x14ac:dyDescent="0.2">
      <c r="A62" s="70">
        <v>54</v>
      </c>
      <c r="B62" s="71">
        <v>6.1395826258162298</v>
      </c>
      <c r="C62" s="72">
        <v>551.53299095052398</v>
      </c>
      <c r="D62" s="72">
        <v>89832.326489325904</v>
      </c>
      <c r="E62" s="72">
        <v>89556.559993850693</v>
      </c>
      <c r="F62" s="72">
        <v>2468535.6323823398</v>
      </c>
      <c r="G62" s="73">
        <v>27.4793688291671</v>
      </c>
    </row>
    <row r="63" spans="1:7" ht="15.75" customHeight="1" x14ac:dyDescent="0.2">
      <c r="A63" s="70">
        <v>55</v>
      </c>
      <c r="B63" s="71">
        <v>6.6217915402293404</v>
      </c>
      <c r="C63" s="72">
        <v>591.198803092513</v>
      </c>
      <c r="D63" s="72">
        <v>89280.793498375395</v>
      </c>
      <c r="E63" s="72">
        <v>88985.194096829204</v>
      </c>
      <c r="F63" s="72">
        <v>2378979.0723884902</v>
      </c>
      <c r="G63" s="73">
        <v>26.6460341487868</v>
      </c>
    </row>
    <row r="64" spans="1:7" x14ac:dyDescent="0.2">
      <c r="A64" s="70">
        <v>56</v>
      </c>
      <c r="B64" s="71">
        <v>7.1281752659938604</v>
      </c>
      <c r="C64" s="72">
        <v>632.19497525793804</v>
      </c>
      <c r="D64" s="72">
        <v>88689.594695282896</v>
      </c>
      <c r="E64" s="72">
        <v>88373.497207653898</v>
      </c>
      <c r="F64" s="72">
        <v>2289993.87829166</v>
      </c>
      <c r="G64" s="73">
        <v>25.8203218332382</v>
      </c>
    </row>
    <row r="65" spans="1:7" x14ac:dyDescent="0.2">
      <c r="A65" s="70">
        <v>57</v>
      </c>
      <c r="B65" s="71">
        <v>7.6592508605593297</v>
      </c>
      <c r="C65" s="72">
        <v>674.45371458420402</v>
      </c>
      <c r="D65" s="72">
        <v>88057.399720025001</v>
      </c>
      <c r="E65" s="72">
        <v>87720.172862732899</v>
      </c>
      <c r="F65" s="72">
        <v>2201620.38108401</v>
      </c>
      <c r="G65" s="73">
        <v>25.0021053095364</v>
      </c>
    </row>
    <row r="66" spans="1:7" x14ac:dyDescent="0.2">
      <c r="A66" s="70">
        <v>58</v>
      </c>
      <c r="B66" s="71">
        <v>8.2224316540811895</v>
      </c>
      <c r="C66" s="72">
        <v>718.50030126199999</v>
      </c>
      <c r="D66" s="72">
        <v>87382.946005440797</v>
      </c>
      <c r="E66" s="72">
        <v>87023.695854809703</v>
      </c>
      <c r="F66" s="72">
        <v>2113900.20822128</v>
      </c>
      <c r="G66" s="73">
        <v>24.191221569591601</v>
      </c>
    </row>
    <row r="67" spans="1:7" x14ac:dyDescent="0.2">
      <c r="A67" s="70">
        <v>59</v>
      </c>
      <c r="B67" s="71">
        <v>8.8328679696045196</v>
      </c>
      <c r="C67" s="72">
        <v>765.49560656397102</v>
      </c>
      <c r="D67" s="72">
        <v>86664.445704178797</v>
      </c>
      <c r="E67" s="72">
        <v>86281.697900896805</v>
      </c>
      <c r="F67" s="72">
        <v>2026876.5123664699</v>
      </c>
      <c r="G67" s="73">
        <v>23.387636024178001</v>
      </c>
    </row>
    <row r="68" spans="1:7" x14ac:dyDescent="0.2">
      <c r="A68" s="70">
        <v>60</v>
      </c>
      <c r="B68" s="71">
        <v>9.5138475383356607</v>
      </c>
      <c r="C68" s="72">
        <v>817.22951493180904</v>
      </c>
      <c r="D68" s="72">
        <v>85898.950097614797</v>
      </c>
      <c r="E68" s="72">
        <v>85490.3353401489</v>
      </c>
      <c r="F68" s="72">
        <v>1940594.81446557</v>
      </c>
      <c r="G68" s="73">
        <v>22.591601087793201</v>
      </c>
    </row>
    <row r="69" spans="1:7" x14ac:dyDescent="0.2">
      <c r="A69" s="70">
        <v>61</v>
      </c>
      <c r="B69" s="71">
        <v>10.297596226095401</v>
      </c>
      <c r="C69" s="72">
        <v>876.13720478193102</v>
      </c>
      <c r="D69" s="72">
        <v>85081.720582683003</v>
      </c>
      <c r="E69" s="72">
        <v>84643.651980291994</v>
      </c>
      <c r="F69" s="72">
        <v>1855104.4791254201</v>
      </c>
      <c r="G69" s="73">
        <v>21.803796002487001</v>
      </c>
    </row>
    <row r="70" spans="1:7" x14ac:dyDescent="0.2">
      <c r="A70" s="70">
        <v>62</v>
      </c>
      <c r="B70" s="71">
        <v>11.210041661403601</v>
      </c>
      <c r="C70" s="72">
        <v>943.94809778907802</v>
      </c>
      <c r="D70" s="72">
        <v>84205.583377900999</v>
      </c>
      <c r="E70" s="72">
        <v>83733.609329006504</v>
      </c>
      <c r="F70" s="72">
        <v>1770460.8271451299</v>
      </c>
      <c r="G70" s="73">
        <v>21.0254564617121</v>
      </c>
    </row>
    <row r="71" spans="1:7" x14ac:dyDescent="0.2">
      <c r="A71" s="70">
        <v>63</v>
      </c>
      <c r="B71" s="71">
        <v>12.267955527469701</v>
      </c>
      <c r="C71" s="72">
        <v>1021.45003876081</v>
      </c>
      <c r="D71" s="72">
        <v>83261.635280111994</v>
      </c>
      <c r="E71" s="72">
        <v>82750.910260731602</v>
      </c>
      <c r="F71" s="72">
        <v>1686727.21781612</v>
      </c>
      <c r="G71" s="73">
        <v>20.2581562581802</v>
      </c>
    </row>
    <row r="72" spans="1:7" x14ac:dyDescent="0.2">
      <c r="A72" s="70">
        <v>64</v>
      </c>
      <c r="B72" s="71">
        <v>13.4630203097344</v>
      </c>
      <c r="C72" s="72">
        <v>1107.20128418063</v>
      </c>
      <c r="D72" s="72">
        <v>82240.185241351195</v>
      </c>
      <c r="E72" s="72">
        <v>81686.584599260794</v>
      </c>
      <c r="F72" s="72">
        <v>1603976.3075553901</v>
      </c>
      <c r="G72" s="73">
        <v>19.503559030760702</v>
      </c>
    </row>
    <row r="73" spans="1:7" x14ac:dyDescent="0.2">
      <c r="A73" s="70">
        <v>65</v>
      </c>
      <c r="B73" s="71">
        <v>14.751833477478399</v>
      </c>
      <c r="C73" s="72">
        <v>1196.8602688671201</v>
      </c>
      <c r="D73" s="72">
        <v>81132.983957170494</v>
      </c>
      <c r="E73" s="72">
        <v>80534.553822736998</v>
      </c>
      <c r="F73" s="72">
        <v>1522289.72295613</v>
      </c>
      <c r="G73" s="73">
        <v>18.7628957879786</v>
      </c>
    </row>
    <row r="74" spans="1:7" x14ac:dyDescent="0.2">
      <c r="A74" s="70">
        <v>66</v>
      </c>
      <c r="B74" s="71">
        <v>16.074943177672601</v>
      </c>
      <c r="C74" s="72">
        <v>1284.9686461328799</v>
      </c>
      <c r="D74" s="72">
        <v>79936.1236883034</v>
      </c>
      <c r="E74" s="72">
        <v>79293.639365237002</v>
      </c>
      <c r="F74" s="72">
        <v>1441755.1691333901</v>
      </c>
      <c r="G74" s="73">
        <v>18.036340800753099</v>
      </c>
    </row>
    <row r="75" spans="1:7" x14ac:dyDescent="0.2">
      <c r="A75" s="70">
        <v>67</v>
      </c>
      <c r="B75" s="71">
        <v>17.3594697900166</v>
      </c>
      <c r="C75" s="72">
        <v>1365.34234990447</v>
      </c>
      <c r="D75" s="72">
        <v>78651.155042170503</v>
      </c>
      <c r="E75" s="72">
        <v>77968.483867218296</v>
      </c>
      <c r="F75" s="72">
        <v>1362461.5297681501</v>
      </c>
      <c r="G75" s="73">
        <v>17.3228419727293</v>
      </c>
    </row>
    <row r="76" spans="1:7" x14ac:dyDescent="0.2">
      <c r="A76" s="70">
        <v>68</v>
      </c>
      <c r="B76" s="71">
        <v>18.570291858248101</v>
      </c>
      <c r="C76" s="72">
        <v>1435.2200981972901</v>
      </c>
      <c r="D76" s="72">
        <v>77285.812692266001</v>
      </c>
      <c r="E76" s="72">
        <v>76568.202643167402</v>
      </c>
      <c r="F76" s="72">
        <v>1284493.04590094</v>
      </c>
      <c r="G76" s="73">
        <v>16.620036733203399</v>
      </c>
    </row>
    <row r="77" spans="1:7" x14ac:dyDescent="0.2">
      <c r="A77" s="70">
        <v>69</v>
      </c>
      <c r="B77" s="71">
        <v>19.733285304582701</v>
      </c>
      <c r="C77" s="72">
        <v>1496.78138418043</v>
      </c>
      <c r="D77" s="72">
        <v>75850.592594068803</v>
      </c>
      <c r="E77" s="72">
        <v>75102.201901978595</v>
      </c>
      <c r="F77" s="72">
        <v>1207924.8432577699</v>
      </c>
      <c r="G77" s="73">
        <v>15.9250547945254</v>
      </c>
    </row>
    <row r="78" spans="1:7" x14ac:dyDescent="0.2">
      <c r="A78" s="70">
        <v>70</v>
      </c>
      <c r="B78" s="71">
        <v>20.9322569998305</v>
      </c>
      <c r="C78" s="72">
        <v>1556.3930851622599</v>
      </c>
      <c r="D78" s="72">
        <v>74353.811209888299</v>
      </c>
      <c r="E78" s="72">
        <v>73575.614667307207</v>
      </c>
      <c r="F78" s="72">
        <v>1132822.64135579</v>
      </c>
      <c r="G78" s="73">
        <v>15.235569272407901</v>
      </c>
    </row>
    <row r="79" spans="1:7" x14ac:dyDescent="0.2">
      <c r="A79" s="70">
        <v>71</v>
      </c>
      <c r="B79" s="71">
        <v>22.3220059915996</v>
      </c>
      <c r="C79" s="72">
        <v>1624.9844035531</v>
      </c>
      <c r="D79" s="72">
        <v>72797.4181247261</v>
      </c>
      <c r="E79" s="72">
        <v>71984.925922949493</v>
      </c>
      <c r="F79" s="72">
        <v>1059247.0266884801</v>
      </c>
      <c r="G79" s="73">
        <v>14.5506125625725</v>
      </c>
    </row>
    <row r="80" spans="1:7" x14ac:dyDescent="0.2">
      <c r="A80" s="70">
        <v>72</v>
      </c>
      <c r="B80" s="71">
        <v>24.051259161959901</v>
      </c>
      <c r="C80" s="72">
        <v>1711.78664861535</v>
      </c>
      <c r="D80" s="72">
        <v>71172.433721173002</v>
      </c>
      <c r="E80" s="72">
        <v>70316.540396865297</v>
      </c>
      <c r="F80" s="72">
        <v>987262.10076553398</v>
      </c>
      <c r="G80" s="73">
        <v>13.8714112915298</v>
      </c>
    </row>
    <row r="81" spans="1:7" x14ac:dyDescent="0.2">
      <c r="A81" s="70">
        <v>73</v>
      </c>
      <c r="B81" s="71">
        <v>26.247825604476901</v>
      </c>
      <c r="C81" s="72">
        <v>1823.1909507346099</v>
      </c>
      <c r="D81" s="72">
        <v>69460.647072557593</v>
      </c>
      <c r="E81" s="72">
        <v>68549.051597190293</v>
      </c>
      <c r="F81" s="72">
        <v>916945.56036866899</v>
      </c>
      <c r="G81" s="73">
        <v>13.200936055358699</v>
      </c>
    </row>
    <row r="82" spans="1:7" x14ac:dyDescent="0.2">
      <c r="A82" s="70">
        <v>74</v>
      </c>
      <c r="B82" s="71">
        <v>28.9870110146135</v>
      </c>
      <c r="C82" s="72">
        <v>1960.60768560371</v>
      </c>
      <c r="D82" s="72">
        <v>67637.456121822994</v>
      </c>
      <c r="E82" s="72">
        <v>66657.152279021204</v>
      </c>
      <c r="F82" s="72">
        <v>848396.50877147797</v>
      </c>
      <c r="G82" s="73">
        <v>12.543294165934</v>
      </c>
    </row>
    <row r="83" spans="1:7" x14ac:dyDescent="0.2">
      <c r="A83" s="70">
        <v>75</v>
      </c>
      <c r="B83" s="71">
        <v>32.235492789874797</v>
      </c>
      <c r="C83" s="72">
        <v>2117.1255742274602</v>
      </c>
      <c r="D83" s="72">
        <v>65676.848436219298</v>
      </c>
      <c r="E83" s="72">
        <v>64618.285649105601</v>
      </c>
      <c r="F83" s="72">
        <v>781739.35649245698</v>
      </c>
      <c r="G83" s="73">
        <v>11.902814692023901</v>
      </c>
    </row>
    <row r="84" spans="1:7" x14ac:dyDescent="0.2">
      <c r="A84" s="70">
        <v>76</v>
      </c>
      <c r="B84" s="71">
        <v>35.909420030255603</v>
      </c>
      <c r="C84" s="72">
        <v>2282.3927852579</v>
      </c>
      <c r="D84" s="72">
        <v>63559.722861991802</v>
      </c>
      <c r="E84" s="72">
        <v>62418.5264693629</v>
      </c>
      <c r="F84" s="72">
        <v>717121.070843352</v>
      </c>
      <c r="G84" s="73">
        <v>11.2826336955629</v>
      </c>
    </row>
    <row r="85" spans="1:7" x14ac:dyDescent="0.2">
      <c r="A85" s="70">
        <v>77</v>
      </c>
      <c r="B85" s="71">
        <v>39.859341094658198</v>
      </c>
      <c r="C85" s="72">
        <v>2442.4740008985</v>
      </c>
      <c r="D85" s="72">
        <v>61277.330076733902</v>
      </c>
      <c r="E85" s="72">
        <v>60056.093076284698</v>
      </c>
      <c r="F85" s="72">
        <v>654702.54437398899</v>
      </c>
      <c r="G85" s="73">
        <v>10.6842537616137</v>
      </c>
    </row>
    <row r="86" spans="1:7" x14ac:dyDescent="0.2">
      <c r="A86" s="70">
        <v>78</v>
      </c>
      <c r="B86" s="71">
        <v>43.978563648520797</v>
      </c>
      <c r="C86" s="72">
        <v>2587.4724626826901</v>
      </c>
      <c r="D86" s="72">
        <v>58834.8560758354</v>
      </c>
      <c r="E86" s="72">
        <v>57541.119844494096</v>
      </c>
      <c r="F86" s="72">
        <v>594646.45129770401</v>
      </c>
      <c r="G86" s="73">
        <v>10.107043527585599</v>
      </c>
    </row>
    <row r="87" spans="1:7" x14ac:dyDescent="0.2">
      <c r="A87" s="70">
        <v>79</v>
      </c>
      <c r="B87" s="71">
        <v>48.310090256962098</v>
      </c>
      <c r="C87" s="72">
        <v>2717.3161790693798</v>
      </c>
      <c r="D87" s="72">
        <v>56247.383613152699</v>
      </c>
      <c r="E87" s="72">
        <v>54888.725523618101</v>
      </c>
      <c r="F87" s="72">
        <v>537105.33145320998</v>
      </c>
      <c r="G87" s="73">
        <v>9.5489833828931108</v>
      </c>
    </row>
    <row r="88" spans="1:7" x14ac:dyDescent="0.2">
      <c r="A88" s="70">
        <v>80</v>
      </c>
      <c r="B88" s="71">
        <v>53.020851912438999</v>
      </c>
      <c r="C88" s="72">
        <v>2838.2097782853998</v>
      </c>
      <c r="D88" s="72">
        <v>53530.067434083401</v>
      </c>
      <c r="E88" s="72">
        <v>52110.962544940703</v>
      </c>
      <c r="F88" s="72">
        <v>482216.60592959198</v>
      </c>
      <c r="G88" s="73">
        <v>9.0083317478236093</v>
      </c>
    </row>
    <row r="89" spans="1:7" x14ac:dyDescent="0.2">
      <c r="A89" s="70">
        <v>81</v>
      </c>
      <c r="B89" s="71">
        <v>58.4825119009422</v>
      </c>
      <c r="C89" s="72">
        <v>2964.5871686360802</v>
      </c>
      <c r="D89" s="72">
        <v>50691.857655797998</v>
      </c>
      <c r="E89" s="72">
        <v>49209.564071479901</v>
      </c>
      <c r="F89" s="72">
        <v>430105.64338465099</v>
      </c>
      <c r="G89" s="73">
        <v>8.4847086548909907</v>
      </c>
    </row>
    <row r="90" spans="1:7" x14ac:dyDescent="0.2">
      <c r="A90" s="70">
        <v>82</v>
      </c>
      <c r="B90" s="71">
        <v>65.073245620106803</v>
      </c>
      <c r="C90" s="72">
        <v>3105.76839518836</v>
      </c>
      <c r="D90" s="72">
        <v>47727.270487161899</v>
      </c>
      <c r="E90" s="72">
        <v>46174.386289567701</v>
      </c>
      <c r="F90" s="72">
        <v>380896.07931317098</v>
      </c>
      <c r="G90" s="73">
        <v>7.9806801316163298</v>
      </c>
    </row>
    <row r="91" spans="1:7" x14ac:dyDescent="0.2">
      <c r="A91" s="70">
        <v>83</v>
      </c>
      <c r="B91" s="71">
        <v>73.040782412668705</v>
      </c>
      <c r="C91" s="72">
        <v>3259.18942522629</v>
      </c>
      <c r="D91" s="72">
        <v>44621.502091973503</v>
      </c>
      <c r="E91" s="72">
        <v>42991.907379360397</v>
      </c>
      <c r="F91" s="72">
        <v>334721.69302360399</v>
      </c>
      <c r="G91" s="73">
        <v>7.5013542200725896</v>
      </c>
    </row>
    <row r="92" spans="1:7" x14ac:dyDescent="0.2">
      <c r="A92" s="70">
        <v>84</v>
      </c>
      <c r="B92" s="71">
        <v>82.430983565441693</v>
      </c>
      <c r="C92" s="72">
        <v>3409.5361156612998</v>
      </c>
      <c r="D92" s="72">
        <v>41362.312666747202</v>
      </c>
      <c r="E92" s="72">
        <v>39657.5446089166</v>
      </c>
      <c r="F92" s="72">
        <v>291729.78564424301</v>
      </c>
      <c r="G92" s="73">
        <v>7.0530337119852602</v>
      </c>
    </row>
    <row r="93" spans="1:7" x14ac:dyDescent="0.2">
      <c r="A93" s="70">
        <v>85</v>
      </c>
      <c r="B93" s="71">
        <v>92.772013490945895</v>
      </c>
      <c r="C93" s="72">
        <v>3520.9554982161999</v>
      </c>
      <c r="D93" s="72">
        <v>37952.776551085903</v>
      </c>
      <c r="E93" s="72">
        <v>36192.298801977799</v>
      </c>
      <c r="F93" s="72">
        <v>252072.241035327</v>
      </c>
      <c r="G93" s="73">
        <v>6.64173385828642</v>
      </c>
    </row>
    <row r="94" spans="1:7" x14ac:dyDescent="0.2">
      <c r="A94" s="70">
        <v>86</v>
      </c>
      <c r="B94" s="71">
        <v>103.321099292632</v>
      </c>
      <c r="C94" s="72">
        <v>3557.5336018296798</v>
      </c>
      <c r="D94" s="72">
        <v>34431.821052869702</v>
      </c>
      <c r="E94" s="72">
        <v>32653.054251954902</v>
      </c>
      <c r="F94" s="72">
        <v>215879.94223334899</v>
      </c>
      <c r="G94" s="73">
        <v>6.2697799777091996</v>
      </c>
    </row>
    <row r="95" spans="1:7" x14ac:dyDescent="0.2">
      <c r="A95" s="70">
        <v>87</v>
      </c>
      <c r="B95" s="71">
        <v>113.181126006025</v>
      </c>
      <c r="C95" s="72">
        <v>3494.3866183424102</v>
      </c>
      <c r="D95" s="72">
        <v>30874.287451040102</v>
      </c>
      <c r="E95" s="72">
        <v>29127.0941418689</v>
      </c>
      <c r="F95" s="72">
        <v>183226.88798139399</v>
      </c>
      <c r="G95" s="73">
        <v>5.9346110666343996</v>
      </c>
    </row>
    <row r="96" spans="1:7" x14ac:dyDescent="0.2">
      <c r="A96" s="70">
        <v>88</v>
      </c>
      <c r="B96" s="71">
        <v>121.64666061928</v>
      </c>
      <c r="C96" s="72">
        <v>3330.6735043847102</v>
      </c>
      <c r="D96" s="72">
        <v>27379.9008326976</v>
      </c>
      <c r="E96" s="72">
        <v>25714.564080505301</v>
      </c>
      <c r="F96" s="72">
        <v>154099.79383952499</v>
      </c>
      <c r="G96" s="73">
        <v>5.6282086184729998</v>
      </c>
    </row>
    <row r="97" spans="1:7" x14ac:dyDescent="0.2">
      <c r="A97" s="70">
        <v>89</v>
      </c>
      <c r="B97" s="71">
        <v>128.804200956107</v>
      </c>
      <c r="C97" s="72">
        <v>3097.6415096351202</v>
      </c>
      <c r="D97" s="72">
        <v>24049.2273283129</v>
      </c>
      <c r="E97" s="72">
        <v>22500.406573495398</v>
      </c>
      <c r="F97" s="72">
        <v>128385.22975902</v>
      </c>
      <c r="G97" s="73">
        <v>5.3384347033833004</v>
      </c>
    </row>
    <row r="98" spans="1:7" x14ac:dyDescent="0.2">
      <c r="A98" s="74" t="s">
        <v>223</v>
      </c>
      <c r="B98" s="75">
        <v>1000</v>
      </c>
      <c r="C98" s="76">
        <v>20951.585818677799</v>
      </c>
      <c r="D98" s="76">
        <v>20951.585818677799</v>
      </c>
      <c r="E98" s="76">
        <v>105884.823185524</v>
      </c>
      <c r="F98" s="76">
        <v>105884.823185524</v>
      </c>
      <c r="G98" s="77">
        <v>5.0537856228109801</v>
      </c>
    </row>
    <row r="99" spans="1:7" ht="17.25" customHeight="1" x14ac:dyDescent="0.2">
      <c r="A99" s="59" t="s">
        <v>224</v>
      </c>
      <c r="G99" s="61"/>
    </row>
    <row r="100" spans="1:7" ht="17.25" customHeight="1" x14ac:dyDescent="0.2">
      <c r="A100" s="59"/>
      <c r="G100" s="61"/>
    </row>
    <row r="101" spans="1:7" ht="16.5" customHeight="1" x14ac:dyDescent="0.2">
      <c r="A101" s="59" t="s">
        <v>215</v>
      </c>
      <c r="G101" s="61"/>
    </row>
    <row r="102" spans="1:7" ht="15.75" customHeight="1" x14ac:dyDescent="0.2">
      <c r="A102" s="59" t="s">
        <v>216</v>
      </c>
      <c r="G102" s="61"/>
    </row>
    <row r="103" spans="1:7" ht="16.5" customHeight="1" x14ac:dyDescent="0.2">
      <c r="A103" s="59" t="s">
        <v>217</v>
      </c>
      <c r="G103" s="61"/>
    </row>
    <row r="104" spans="1:7" ht="16.5" customHeight="1" x14ac:dyDescent="0.2">
      <c r="A104" s="59" t="s">
        <v>218</v>
      </c>
      <c r="G104" s="61"/>
    </row>
    <row r="105" spans="1:7" ht="16.5" customHeight="1" x14ac:dyDescent="0.2">
      <c r="A105" s="59" t="s">
        <v>219</v>
      </c>
      <c r="G105" s="61"/>
    </row>
    <row r="106" spans="1:7" ht="16.5" customHeight="1" x14ac:dyDescent="0.2">
      <c r="A106" s="59" t="s">
        <v>220</v>
      </c>
      <c r="G106" s="61"/>
    </row>
    <row r="107" spans="1:7" ht="15.75" customHeight="1" x14ac:dyDescent="0.2">
      <c r="A107" s="59" t="s">
        <v>221</v>
      </c>
      <c r="G107" s="61"/>
    </row>
    <row r="108" spans="1:7" ht="17.25" customHeight="1" x14ac:dyDescent="0.2">
      <c r="A108" s="59" t="s">
        <v>222</v>
      </c>
      <c r="G108" s="61"/>
    </row>
    <row r="109" spans="1:7" x14ac:dyDescent="0.2">
      <c r="G109" s="61"/>
    </row>
    <row r="110" spans="1:7" x14ac:dyDescent="0.2">
      <c r="G110" s="61"/>
    </row>
  </sheetData>
  <mergeCells count="4">
    <mergeCell ref="A2:G2"/>
    <mergeCell ref="D4:D6"/>
    <mergeCell ref="E4:E6"/>
    <mergeCell ref="F4:F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BC3DC-F287-BD41-A31E-7EE8E383891F}">
  <dimension ref="A1:C22"/>
  <sheetViews>
    <sheetView workbookViewId="0">
      <selection activeCell="E6" sqref="E6"/>
    </sheetView>
  </sheetViews>
  <sheetFormatPr baseColWidth="10" defaultRowHeight="16" x14ac:dyDescent="0.2"/>
  <sheetData>
    <row r="1" spans="1:3" x14ac:dyDescent="0.2">
      <c r="A1" t="s">
        <v>225</v>
      </c>
      <c r="B1" t="s">
        <v>226</v>
      </c>
      <c r="C1" t="s">
        <v>227</v>
      </c>
    </row>
    <row r="2" spans="1:3" x14ac:dyDescent="0.2">
      <c r="A2" t="s">
        <v>228</v>
      </c>
      <c r="B2">
        <v>6682042</v>
      </c>
      <c r="C2">
        <v>6413556</v>
      </c>
    </row>
    <row r="3" spans="1:3" x14ac:dyDescent="0.2">
      <c r="A3" s="78">
        <v>45786</v>
      </c>
      <c r="B3">
        <v>7241538</v>
      </c>
      <c r="C3">
        <v>6953921</v>
      </c>
    </row>
    <row r="4" spans="1:3" x14ac:dyDescent="0.2">
      <c r="A4" s="78">
        <v>45944</v>
      </c>
      <c r="B4">
        <v>7342997</v>
      </c>
      <c r="C4">
        <v>7055760</v>
      </c>
    </row>
    <row r="5" spans="1:3" x14ac:dyDescent="0.2">
      <c r="A5" t="s">
        <v>229</v>
      </c>
      <c r="B5">
        <v>7575432</v>
      </c>
      <c r="C5">
        <v>7301316</v>
      </c>
    </row>
    <row r="6" spans="1:3" x14ac:dyDescent="0.2">
      <c r="A6" t="s">
        <v>230</v>
      </c>
      <c r="B6">
        <v>7970234</v>
      </c>
      <c r="C6">
        <v>7760334</v>
      </c>
    </row>
    <row r="7" spans="1:3" x14ac:dyDescent="0.2">
      <c r="A7" t="s">
        <v>231</v>
      </c>
      <c r="B7">
        <v>8241074</v>
      </c>
      <c r="C7">
        <v>8130717</v>
      </c>
    </row>
    <row r="8" spans="1:3" x14ac:dyDescent="0.2">
      <c r="A8" t="s">
        <v>232</v>
      </c>
      <c r="B8">
        <v>8048069</v>
      </c>
      <c r="C8">
        <v>8031559</v>
      </c>
    </row>
    <row r="9" spans="1:3" x14ac:dyDescent="0.2">
      <c r="A9" t="s">
        <v>233</v>
      </c>
      <c r="B9">
        <v>8293365</v>
      </c>
      <c r="C9">
        <v>8382279</v>
      </c>
    </row>
    <row r="10" spans="1:3" x14ac:dyDescent="0.2">
      <c r="A10" t="s">
        <v>234</v>
      </c>
      <c r="B10">
        <v>8156539</v>
      </c>
      <c r="C10">
        <v>8366021</v>
      </c>
    </row>
    <row r="11" spans="1:3" x14ac:dyDescent="0.2">
      <c r="A11" t="s">
        <v>235</v>
      </c>
      <c r="B11">
        <v>7272748</v>
      </c>
      <c r="C11">
        <v>7582165</v>
      </c>
    </row>
    <row r="12" spans="1:3" x14ac:dyDescent="0.2">
      <c r="A12" t="s">
        <v>236</v>
      </c>
      <c r="B12">
        <v>6366856</v>
      </c>
      <c r="C12">
        <v>6747807</v>
      </c>
    </row>
    <row r="13" spans="1:3" x14ac:dyDescent="0.2">
      <c r="A13" t="s">
        <v>237</v>
      </c>
      <c r="B13">
        <v>5724442</v>
      </c>
      <c r="C13">
        <v>6194348</v>
      </c>
    </row>
    <row r="14" spans="1:3" x14ac:dyDescent="0.2">
      <c r="A14" t="s">
        <v>238</v>
      </c>
      <c r="B14">
        <v>5084846</v>
      </c>
      <c r="C14">
        <v>5654490</v>
      </c>
    </row>
    <row r="15" spans="1:3" x14ac:dyDescent="0.2">
      <c r="A15" t="s">
        <v>239</v>
      </c>
      <c r="B15">
        <v>3993485</v>
      </c>
      <c r="C15">
        <v>4640221</v>
      </c>
    </row>
    <row r="16" spans="1:3" x14ac:dyDescent="0.2">
      <c r="A16" t="s">
        <v>240</v>
      </c>
      <c r="B16">
        <v>2877264</v>
      </c>
      <c r="C16">
        <v>3565249</v>
      </c>
    </row>
    <row r="17" spans="1:3" x14ac:dyDescent="0.2">
      <c r="A17" t="s">
        <v>241</v>
      </c>
      <c r="B17">
        <v>1792854</v>
      </c>
      <c r="C17">
        <v>2392455</v>
      </c>
    </row>
    <row r="18" spans="1:3" x14ac:dyDescent="0.2">
      <c r="A18" t="s">
        <v>242</v>
      </c>
      <c r="B18">
        <v>1017685</v>
      </c>
      <c r="C18">
        <v>1461296</v>
      </c>
    </row>
    <row r="19" spans="1:3" x14ac:dyDescent="0.2">
      <c r="A19" t="s">
        <v>243</v>
      </c>
      <c r="B19">
        <v>446366</v>
      </c>
      <c r="C19">
        <v>745742</v>
      </c>
    </row>
    <row r="20" spans="1:3" x14ac:dyDescent="0.2">
      <c r="A20" t="s">
        <v>244</v>
      </c>
      <c r="B20">
        <v>137763</v>
      </c>
      <c r="C20">
        <v>266273</v>
      </c>
    </row>
    <row r="21" spans="1:3" x14ac:dyDescent="0.2">
      <c r="A21" t="s">
        <v>245</v>
      </c>
      <c r="B21">
        <v>26885</v>
      </c>
      <c r="C21">
        <v>52956</v>
      </c>
    </row>
    <row r="22" spans="1:3" x14ac:dyDescent="0.2">
      <c r="A22" t="s">
        <v>246</v>
      </c>
      <c r="B22">
        <v>2629</v>
      </c>
      <c r="C22">
        <v>4986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78A85-9820-DF40-B945-17FF7CFB3F77}">
  <sheetPr>
    <tabColor rgb="FF0070C0"/>
  </sheetPr>
  <dimension ref="A1"/>
  <sheetViews>
    <sheetView workbookViewId="0">
      <selection sqref="A1:XFD1048576"/>
    </sheetView>
  </sheetViews>
  <sheetFormatPr baseColWidth="10" defaultRowHeight="16" x14ac:dyDescent="0.2"/>
  <cols>
    <col min="1" max="16384" width="10.83203125" style="185"/>
  </cols>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76945-0CBD-7042-BA36-229B97540B9B}">
  <dimension ref="A1:F16"/>
  <sheetViews>
    <sheetView zoomScale="130" zoomScaleNormal="130" workbookViewId="0">
      <selection activeCell="C17" sqref="C17"/>
    </sheetView>
  </sheetViews>
  <sheetFormatPr baseColWidth="10" defaultRowHeight="16" x14ac:dyDescent="0.2"/>
  <cols>
    <col min="1" max="1" width="17.1640625" style="8" customWidth="1"/>
    <col min="2" max="2" width="30" style="8" customWidth="1"/>
    <col min="3" max="3" width="9.83203125" style="8" customWidth="1"/>
    <col min="4" max="4" width="24" style="8" customWidth="1"/>
    <col min="5" max="5" width="87.5" style="1" customWidth="1"/>
    <col min="6" max="16384" width="10.83203125" style="1"/>
  </cols>
  <sheetData>
    <row r="1" spans="1:6" x14ac:dyDescent="0.2">
      <c r="A1" s="131" t="s">
        <v>155</v>
      </c>
      <c r="B1" s="131" t="s">
        <v>156</v>
      </c>
      <c r="C1" s="131" t="s">
        <v>154</v>
      </c>
      <c r="D1" s="131" t="s">
        <v>153</v>
      </c>
      <c r="E1" s="132" t="s">
        <v>9</v>
      </c>
    </row>
    <row r="2" spans="1:6" x14ac:dyDescent="0.2">
      <c r="A2" s="12">
        <v>0</v>
      </c>
      <c r="B2" s="12">
        <v>26963.200000000001</v>
      </c>
      <c r="C2" s="12">
        <v>0</v>
      </c>
      <c r="D2" s="12">
        <v>0</v>
      </c>
      <c r="E2" s="103" t="s">
        <v>339</v>
      </c>
      <c r="F2" s="41"/>
    </row>
    <row r="3" spans="1:6" x14ac:dyDescent="0.2">
      <c r="A3" s="12">
        <v>26963.21</v>
      </c>
      <c r="B3" s="12">
        <v>33919.800000000003</v>
      </c>
      <c r="C3" s="12">
        <v>7.4999999999999997E-2</v>
      </c>
      <c r="D3" s="12">
        <v>2022.24</v>
      </c>
      <c r="E3" s="103" t="s">
        <v>339</v>
      </c>
    </row>
    <row r="4" spans="1:6" x14ac:dyDescent="0.2">
      <c r="A4" s="12">
        <v>33919.81</v>
      </c>
      <c r="B4" s="12">
        <v>45012.6</v>
      </c>
      <c r="C4" s="12">
        <v>0.15</v>
      </c>
      <c r="D4" s="12">
        <v>4566.2299999999996</v>
      </c>
      <c r="E4" s="103" t="s">
        <v>339</v>
      </c>
    </row>
    <row r="5" spans="1:6" x14ac:dyDescent="0.2">
      <c r="A5" s="12">
        <v>45012.61</v>
      </c>
      <c r="B5" s="12">
        <v>55976.160000000003</v>
      </c>
      <c r="C5" s="12">
        <v>0.22500000000000001</v>
      </c>
      <c r="D5" s="12">
        <v>7942.17</v>
      </c>
      <c r="E5" s="103" t="s">
        <v>339</v>
      </c>
    </row>
    <row r="6" spans="1:6" x14ac:dyDescent="0.2">
      <c r="A6" s="33">
        <v>55976.17</v>
      </c>
      <c r="B6" s="33" t="s">
        <v>357</v>
      </c>
      <c r="C6" s="33">
        <v>0.27500000000000002</v>
      </c>
      <c r="D6" s="33">
        <v>10740.98</v>
      </c>
      <c r="E6" s="122" t="s">
        <v>339</v>
      </c>
    </row>
    <row r="12" spans="1:6" ht="22" x14ac:dyDescent="0.3">
      <c r="A12" s="111"/>
      <c r="B12" s="111"/>
      <c r="C12" s="111"/>
    </row>
    <row r="13" spans="1:6" ht="22" x14ac:dyDescent="0.3">
      <c r="A13" s="111"/>
      <c r="B13" s="111"/>
      <c r="C13" s="111"/>
    </row>
    <row r="14" spans="1:6" ht="22" x14ac:dyDescent="0.3">
      <c r="A14" s="111"/>
      <c r="B14" s="111"/>
      <c r="C14" s="111"/>
    </row>
    <row r="15" spans="1:6" ht="22" x14ac:dyDescent="0.3">
      <c r="A15" s="111"/>
      <c r="B15" s="111"/>
      <c r="C15" s="111"/>
    </row>
    <row r="16" spans="1:6" ht="22" x14ac:dyDescent="0.3">
      <c r="A16" s="111"/>
      <c r="B16" s="111"/>
      <c r="C16" s="111"/>
    </row>
  </sheetData>
  <pageMargins left="0.7" right="0.7" top="0.75" bottom="0.75" header="0.3" footer="0.3"/>
  <pageSetup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7EF1D-9704-6A46-A966-88FC7DDCF99B}">
  <dimension ref="B1:H18"/>
  <sheetViews>
    <sheetView zoomScale="160" zoomScaleNormal="160" workbookViewId="0">
      <selection activeCell="H7" sqref="H7"/>
    </sheetView>
  </sheetViews>
  <sheetFormatPr baseColWidth="10" defaultRowHeight="16" x14ac:dyDescent="0.2"/>
  <cols>
    <col min="1" max="1" width="2.6640625" style="1" customWidth="1"/>
    <col min="2" max="2" width="19.83203125" style="1" customWidth="1"/>
    <col min="3" max="3" width="17" style="1" customWidth="1"/>
    <col min="4" max="4" width="16.83203125" style="1" customWidth="1"/>
    <col min="5" max="5" width="21" style="1" customWidth="1"/>
    <col min="6" max="6" width="17.1640625" style="1" customWidth="1"/>
    <col min="7" max="7" width="10.83203125" style="1"/>
    <col min="8" max="8" width="17" style="1" customWidth="1"/>
    <col min="9" max="9" width="1.83203125" style="1" customWidth="1"/>
    <col min="10" max="16384" width="10.83203125" style="1"/>
  </cols>
  <sheetData>
    <row r="1" spans="2:8" x14ac:dyDescent="0.2">
      <c r="B1" s="236" t="s">
        <v>541</v>
      </c>
      <c r="C1" s="237"/>
      <c r="D1" s="237"/>
      <c r="E1" s="237"/>
      <c r="F1" s="237"/>
      <c r="G1" s="238"/>
    </row>
    <row r="2" spans="2:8" x14ac:dyDescent="0.2">
      <c r="B2" s="239"/>
      <c r="C2" s="240"/>
      <c r="D2" s="240"/>
      <c r="E2" s="240"/>
      <c r="F2" s="240"/>
      <c r="G2" s="241"/>
    </row>
    <row r="4" spans="2:8" x14ac:dyDescent="0.2">
      <c r="B4" s="4" t="s">
        <v>542</v>
      </c>
      <c r="C4" s="157"/>
      <c r="D4" s="157"/>
      <c r="E4" s="157"/>
      <c r="F4" s="157"/>
    </row>
    <row r="5" spans="2:8" x14ac:dyDescent="0.2">
      <c r="B5" s="158"/>
      <c r="C5" s="94"/>
      <c r="D5" s="94"/>
      <c r="E5" s="159"/>
      <c r="F5" s="159"/>
      <c r="G5" s="160"/>
      <c r="H5" s="14"/>
    </row>
    <row r="6" spans="2:8" ht="48" customHeight="1" x14ac:dyDescent="0.2">
      <c r="B6" s="161" t="s">
        <v>543</v>
      </c>
      <c r="C6" s="161" t="s">
        <v>544</v>
      </c>
      <c r="D6" s="162" t="s">
        <v>545</v>
      </c>
      <c r="E6" s="161" t="s">
        <v>546</v>
      </c>
      <c r="F6" s="163" t="s">
        <v>547</v>
      </c>
      <c r="G6" s="161"/>
      <c r="H6" s="161" t="s">
        <v>548</v>
      </c>
    </row>
    <row r="7" spans="2:8" x14ac:dyDescent="0.2">
      <c r="B7" s="16">
        <v>157.35</v>
      </c>
      <c r="C7" s="16">
        <v>176.23</v>
      </c>
      <c r="D7" s="26">
        <v>220.83</v>
      </c>
      <c r="E7" s="164">
        <v>170</v>
      </c>
      <c r="F7" s="165">
        <v>95</v>
      </c>
      <c r="G7" s="166">
        <f>+F7/D7</f>
        <v>0.43019517275732461</v>
      </c>
      <c r="H7" s="21">
        <f>1-G7</f>
        <v>0.56980482724267545</v>
      </c>
    </row>
    <row r="8" spans="2:8" x14ac:dyDescent="0.2">
      <c r="B8" s="167"/>
      <c r="C8" s="94"/>
      <c r="D8" s="94"/>
      <c r="E8" s="159"/>
      <c r="F8" s="168"/>
      <c r="G8" s="94"/>
      <c r="H8" s="14"/>
    </row>
    <row r="9" spans="2:8" x14ac:dyDescent="0.2">
      <c r="B9" s="169"/>
      <c r="C9" s="4"/>
      <c r="D9" s="4"/>
      <c r="E9" s="170"/>
      <c r="F9" s="170"/>
      <c r="G9" s="4"/>
    </row>
    <row r="10" spans="2:8" x14ac:dyDescent="0.2">
      <c r="B10" s="169"/>
      <c r="C10" s="4"/>
      <c r="D10" s="4"/>
      <c r="E10" s="170"/>
      <c r="F10" s="170"/>
      <c r="G10" s="4"/>
    </row>
    <row r="11" spans="2:8" x14ac:dyDescent="0.2">
      <c r="B11" s="171"/>
      <c r="C11" s="4"/>
      <c r="D11" s="4"/>
      <c r="E11" s="170"/>
      <c r="G11" s="4"/>
    </row>
    <row r="12" spans="2:8" x14ac:dyDescent="0.2">
      <c r="B12" s="169"/>
      <c r="C12" s="4"/>
      <c r="D12" s="4"/>
      <c r="E12" s="170"/>
      <c r="F12" s="170"/>
      <c r="G12" s="4"/>
    </row>
    <row r="13" spans="2:8" x14ac:dyDescent="0.2">
      <c r="B13" s="171"/>
      <c r="C13" s="4"/>
      <c r="D13" s="4"/>
      <c r="E13" s="170"/>
      <c r="F13" s="170"/>
      <c r="G13" s="4"/>
    </row>
    <row r="14" spans="2:8" x14ac:dyDescent="0.2">
      <c r="B14" s="169"/>
      <c r="C14" s="4"/>
      <c r="D14" s="4"/>
      <c r="E14" s="170"/>
      <c r="F14" s="170"/>
      <c r="G14" s="4"/>
    </row>
    <row r="15" spans="2:8" x14ac:dyDescent="0.2">
      <c r="B15" s="169"/>
      <c r="C15" s="4"/>
      <c r="D15" s="4"/>
      <c r="E15" s="170"/>
      <c r="F15" s="170"/>
      <c r="G15" s="4"/>
    </row>
    <row r="16" spans="2:8" x14ac:dyDescent="0.2">
      <c r="B16" s="171"/>
      <c r="C16" s="4"/>
      <c r="D16" s="4"/>
      <c r="E16" s="170"/>
      <c r="F16" s="170"/>
      <c r="G16" s="4"/>
    </row>
    <row r="17" spans="2:7" x14ac:dyDescent="0.2">
      <c r="B17" s="169"/>
      <c r="C17" s="4"/>
      <c r="D17" s="4"/>
      <c r="E17" s="170"/>
      <c r="F17" s="170"/>
      <c r="G17" s="4"/>
    </row>
    <row r="18" spans="2:7" x14ac:dyDescent="0.2">
      <c r="C18" s="4"/>
      <c r="D18" s="4"/>
      <c r="E18" s="4"/>
      <c r="F18" s="4"/>
      <c r="G18" s="4"/>
    </row>
  </sheetData>
  <mergeCells count="1">
    <mergeCell ref="B1:G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7F214-6FB0-6241-841A-DEF603B9C9C3}">
  <dimension ref="A7:R43"/>
  <sheetViews>
    <sheetView topLeftCell="A2" zoomScaleNormal="100" workbookViewId="0">
      <selection activeCell="B28" sqref="B28"/>
    </sheetView>
  </sheetViews>
  <sheetFormatPr baseColWidth="10" defaultRowHeight="16" x14ac:dyDescent="0.2"/>
  <cols>
    <col min="2" max="2" width="21.1640625" customWidth="1"/>
    <col min="3" max="3" width="17.1640625" customWidth="1"/>
    <col min="4" max="4" width="26.5" customWidth="1"/>
    <col min="5" max="5" width="19" customWidth="1"/>
    <col min="6" max="6" width="39.33203125" customWidth="1"/>
    <col min="12" max="12" width="18.5" customWidth="1"/>
  </cols>
  <sheetData>
    <row r="7" spans="2:18" x14ac:dyDescent="0.2">
      <c r="B7" s="242" t="s">
        <v>554</v>
      </c>
      <c r="C7" s="243"/>
      <c r="D7" s="243"/>
      <c r="E7" s="243"/>
      <c r="F7" s="243"/>
      <c r="G7" s="243"/>
      <c r="H7" s="243"/>
      <c r="I7" s="243"/>
      <c r="J7" s="243"/>
    </row>
    <row r="8" spans="2:18" x14ac:dyDescent="0.2">
      <c r="B8" s="243"/>
      <c r="C8" s="243"/>
      <c r="D8" s="243"/>
      <c r="E8" s="243"/>
      <c r="F8" s="243"/>
      <c r="G8" s="243"/>
      <c r="H8" s="243"/>
      <c r="I8" s="243"/>
      <c r="J8" s="243"/>
    </row>
    <row r="9" spans="2:18" x14ac:dyDescent="0.2">
      <c r="B9" s="243"/>
      <c r="C9" s="243"/>
      <c r="D9" s="243"/>
      <c r="E9" s="243"/>
      <c r="F9" s="243"/>
      <c r="G9" s="243"/>
      <c r="H9" s="243"/>
      <c r="I9" s="243"/>
      <c r="J9" s="243"/>
    </row>
    <row r="12" spans="2:18" ht="19" x14ac:dyDescent="0.25">
      <c r="B12" s="172"/>
      <c r="C12" s="172" t="s">
        <v>544</v>
      </c>
      <c r="D12" s="172" t="s">
        <v>555</v>
      </c>
      <c r="E12" s="172"/>
      <c r="F12" s="172"/>
      <c r="G12" s="173"/>
    </row>
    <row r="13" spans="2:18" ht="19" x14ac:dyDescent="0.25">
      <c r="B13" s="174"/>
      <c r="C13" s="174">
        <v>131.91999999999999</v>
      </c>
      <c r="D13" s="175">
        <v>63.85</v>
      </c>
      <c r="E13" s="176"/>
      <c r="F13" s="175"/>
      <c r="G13" s="172"/>
    </row>
    <row r="15" spans="2:18" ht="19" x14ac:dyDescent="0.25">
      <c r="F15" s="177"/>
      <c r="G15" s="178" t="s">
        <v>556</v>
      </c>
      <c r="H15" s="172"/>
      <c r="I15" s="172"/>
      <c r="J15" s="172"/>
      <c r="K15" s="172"/>
      <c r="L15" s="172"/>
      <c r="M15" s="172"/>
      <c r="N15" s="172"/>
      <c r="O15" s="172"/>
      <c r="P15" s="172"/>
      <c r="Q15" s="172"/>
      <c r="R15" s="172"/>
    </row>
    <row r="16" spans="2:18" ht="19" x14ac:dyDescent="0.25">
      <c r="F16" s="177"/>
      <c r="G16" s="172" t="s">
        <v>557</v>
      </c>
      <c r="H16" s="172"/>
      <c r="I16" s="172"/>
      <c r="J16" s="172"/>
      <c r="K16" s="172"/>
      <c r="L16" s="172"/>
      <c r="M16" s="172"/>
      <c r="N16" s="172"/>
      <c r="O16" s="172"/>
      <c r="P16" s="172"/>
      <c r="Q16" s="172"/>
      <c r="R16" s="172"/>
    </row>
    <row r="17" spans="2:18" ht="19" x14ac:dyDescent="0.25">
      <c r="F17" s="177"/>
      <c r="G17" s="172"/>
      <c r="H17" s="172"/>
      <c r="I17" s="172"/>
      <c r="J17" s="172"/>
      <c r="K17" s="172"/>
      <c r="L17" s="172"/>
      <c r="M17" s="172"/>
      <c r="N17" s="172"/>
      <c r="O17" s="172"/>
      <c r="P17" s="172"/>
      <c r="Q17" s="172"/>
      <c r="R17" s="172"/>
    </row>
    <row r="18" spans="2:18" ht="19" x14ac:dyDescent="0.25">
      <c r="F18" s="177"/>
      <c r="G18" s="172"/>
      <c r="H18" s="172"/>
      <c r="I18" s="172"/>
      <c r="J18" s="172"/>
      <c r="K18" s="172"/>
      <c r="L18" s="172"/>
      <c r="M18" s="172"/>
      <c r="N18" s="172"/>
      <c r="O18" s="172"/>
      <c r="P18" s="172"/>
      <c r="Q18" s="172"/>
      <c r="R18" s="172"/>
    </row>
    <row r="19" spans="2:18" ht="19" x14ac:dyDescent="0.25">
      <c r="F19" s="177"/>
      <c r="G19" s="177"/>
      <c r="H19" s="177"/>
      <c r="I19" s="177"/>
      <c r="J19" s="177"/>
      <c r="K19" s="177"/>
      <c r="L19" s="177"/>
      <c r="M19" s="177"/>
      <c r="N19" s="177"/>
      <c r="O19" s="177"/>
      <c r="P19" s="177"/>
      <c r="Q19" s="177"/>
      <c r="R19" s="177"/>
    </row>
    <row r="27" spans="2:18" x14ac:dyDescent="0.2">
      <c r="B27" s="179" t="s">
        <v>558</v>
      </c>
    </row>
    <row r="28" spans="2:18" x14ac:dyDescent="0.2">
      <c r="B28" s="179" t="s">
        <v>559</v>
      </c>
    </row>
    <row r="29" spans="2:18" x14ac:dyDescent="0.2">
      <c r="B29" s="179"/>
    </row>
    <row r="30" spans="2:18" x14ac:dyDescent="0.2">
      <c r="B30" s="180" t="s">
        <v>560</v>
      </c>
    </row>
    <row r="31" spans="2:18" x14ac:dyDescent="0.2">
      <c r="B31" s="179" t="s">
        <v>561</v>
      </c>
    </row>
    <row r="33" spans="1:7" x14ac:dyDescent="0.2">
      <c r="A33" s="181"/>
      <c r="B33" s="182" t="s">
        <v>562</v>
      </c>
      <c r="C33" s="181"/>
      <c r="D33" s="181"/>
      <c r="E33" s="181"/>
      <c r="F33" s="181"/>
      <c r="G33" s="181"/>
    </row>
    <row r="34" spans="1:7" x14ac:dyDescent="0.2">
      <c r="A34" s="181"/>
      <c r="B34" s="181"/>
      <c r="C34" s="181"/>
      <c r="D34" s="181"/>
      <c r="E34" s="181"/>
      <c r="F34" s="181"/>
      <c r="G34" s="181"/>
    </row>
    <row r="35" spans="1:7" x14ac:dyDescent="0.2">
      <c r="A35" s="181"/>
      <c r="B35" s="182" t="s">
        <v>563</v>
      </c>
      <c r="C35" s="181"/>
      <c r="D35" s="181"/>
      <c r="E35" s="181"/>
      <c r="F35" s="181"/>
      <c r="G35" s="181"/>
    </row>
    <row r="36" spans="1:7" x14ac:dyDescent="0.2">
      <c r="A36" s="181"/>
      <c r="B36" s="181"/>
      <c r="C36" s="181"/>
      <c r="D36" s="181"/>
      <c r="E36" s="181"/>
      <c r="F36" s="181"/>
      <c r="G36" s="181"/>
    </row>
    <row r="37" spans="1:7" x14ac:dyDescent="0.2">
      <c r="A37" s="181"/>
      <c r="B37" s="182" t="s">
        <v>564</v>
      </c>
      <c r="C37" s="181"/>
      <c r="D37" s="181"/>
      <c r="E37" s="181"/>
      <c r="F37" s="181"/>
      <c r="G37" s="181"/>
    </row>
    <row r="38" spans="1:7" x14ac:dyDescent="0.2">
      <c r="A38" s="181"/>
      <c r="B38" s="181"/>
      <c r="C38" s="181"/>
      <c r="D38" s="181"/>
      <c r="E38" s="181"/>
      <c r="F38" s="181"/>
      <c r="G38" s="181"/>
    </row>
    <row r="41" spans="1:7" x14ac:dyDescent="0.2">
      <c r="B41" s="183" t="s">
        <v>565</v>
      </c>
    </row>
    <row r="42" spans="1:7" x14ac:dyDescent="0.2">
      <c r="B42" t="s">
        <v>566</v>
      </c>
    </row>
    <row r="43" spans="1:7" x14ac:dyDescent="0.2">
      <c r="B43" s="2" t="s">
        <v>567</v>
      </c>
    </row>
  </sheetData>
  <mergeCells count="1">
    <mergeCell ref="B7:J9"/>
  </mergeCells>
  <hyperlinks>
    <hyperlink ref="B43" r:id="rId1" xr:uid="{FB0CBB35-44A8-654C-8CB7-BEC5556DB35E}"/>
  </hyperlink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08331-0195-FB44-9AC5-5E66F7D735FE}">
  <dimension ref="B1:O32"/>
  <sheetViews>
    <sheetView zoomScale="130" zoomScaleNormal="130" workbookViewId="0">
      <selection activeCell="M10" sqref="M10"/>
    </sheetView>
  </sheetViews>
  <sheetFormatPr baseColWidth="10" defaultRowHeight="16" outlineLevelCol="1" x14ac:dyDescent="0.2"/>
  <cols>
    <col min="1" max="1" width="3" customWidth="1"/>
    <col min="2" max="2" width="15.1640625" style="135" customWidth="1"/>
    <col min="3" max="3" width="27" customWidth="1"/>
    <col min="4" max="4" width="32.33203125" customWidth="1"/>
    <col min="5" max="5" width="18.5" hidden="1" customWidth="1" outlineLevel="1"/>
    <col min="6" max="6" width="28.1640625" hidden="1" customWidth="1" outlineLevel="1"/>
    <col min="7" max="7" width="2.1640625" customWidth="1" outlineLevel="1"/>
  </cols>
  <sheetData>
    <row r="1" spans="2:15" x14ac:dyDescent="0.2">
      <c r="B1" s="244" t="s">
        <v>494</v>
      </c>
      <c r="C1" s="244"/>
      <c r="D1" s="244"/>
      <c r="E1" s="244"/>
      <c r="F1" s="244"/>
      <c r="G1" s="134"/>
    </row>
    <row r="2" spans="2:15" x14ac:dyDescent="0.2">
      <c r="B2" s="244"/>
      <c r="C2" s="244"/>
      <c r="D2" s="244"/>
      <c r="E2" s="244"/>
      <c r="F2" s="244"/>
      <c r="G2" s="134"/>
    </row>
    <row r="3" spans="2:15" x14ac:dyDescent="0.2">
      <c r="B3" s="135" t="s">
        <v>495</v>
      </c>
    </row>
    <row r="4" spans="2:15" x14ac:dyDescent="0.2">
      <c r="B4" s="136"/>
      <c r="C4" s="39"/>
      <c r="D4" s="39"/>
    </row>
    <row r="5" spans="2:15" x14ac:dyDescent="0.2">
      <c r="B5" s="137" t="s">
        <v>496</v>
      </c>
      <c r="C5" s="138" t="s">
        <v>497</v>
      </c>
      <c r="D5" s="138" t="s">
        <v>498</v>
      </c>
      <c r="E5" s="139" t="s">
        <v>499</v>
      </c>
      <c r="F5" s="139" t="s">
        <v>500</v>
      </c>
      <c r="G5" s="139"/>
    </row>
    <row r="6" spans="2:15" x14ac:dyDescent="0.2">
      <c r="B6" s="140">
        <v>0</v>
      </c>
      <c r="C6" s="141">
        <v>761.88</v>
      </c>
      <c r="D6" s="141">
        <v>1022.03</v>
      </c>
      <c r="E6" s="142">
        <f>C6/5.66</f>
        <v>134.60777385159011</v>
      </c>
      <c r="F6" s="142">
        <f>D6/5.66</f>
        <v>180.57067137809187</v>
      </c>
      <c r="G6" s="142"/>
    </row>
    <row r="7" spans="2:15" x14ac:dyDescent="0.2">
      <c r="B7" s="140">
        <v>0.12</v>
      </c>
      <c r="C7" s="141">
        <v>865.77</v>
      </c>
      <c r="D7" s="141">
        <v>1161.4000000000001</v>
      </c>
      <c r="E7" s="142">
        <f t="shared" ref="E7:F18" si="0">C7/5.66</f>
        <v>152.96289752650176</v>
      </c>
      <c r="F7" s="142">
        <f t="shared" si="0"/>
        <v>205.19434628975267</v>
      </c>
      <c r="G7" s="142"/>
      <c r="H7" s="39"/>
      <c r="I7" s="143" t="s">
        <v>73</v>
      </c>
      <c r="J7" s="143" t="s">
        <v>73</v>
      </c>
    </row>
    <row r="8" spans="2:15" x14ac:dyDescent="0.2">
      <c r="B8" s="140">
        <v>0.17</v>
      </c>
      <c r="C8" s="141">
        <v>917.93</v>
      </c>
      <c r="D8" s="141">
        <v>1231.3699999999999</v>
      </c>
      <c r="E8" s="142">
        <f t="shared" si="0"/>
        <v>162.17844522968196</v>
      </c>
      <c r="F8" s="142">
        <f t="shared" si="0"/>
        <v>217.55653710247347</v>
      </c>
      <c r="G8" s="142"/>
      <c r="H8" s="116"/>
      <c r="I8" s="115" t="s">
        <v>501</v>
      </c>
      <c r="J8" s="115" t="s">
        <v>502</v>
      </c>
      <c r="K8" s="139"/>
      <c r="L8" s="202"/>
      <c r="M8" s="207" t="s">
        <v>504</v>
      </c>
      <c r="N8" s="207" t="s">
        <v>503</v>
      </c>
      <c r="O8" s="207" t="s">
        <v>505</v>
      </c>
    </row>
    <row r="9" spans="2:15" x14ac:dyDescent="0.2">
      <c r="B9" s="144">
        <v>0.17499999999999999</v>
      </c>
      <c r="C9" s="141">
        <v>923.49</v>
      </c>
      <c r="D9" s="141">
        <v>1238.83</v>
      </c>
      <c r="E9" s="142">
        <f t="shared" si="0"/>
        <v>163.16077738515901</v>
      </c>
      <c r="F9" s="142">
        <f t="shared" si="0"/>
        <v>218.87455830388691</v>
      </c>
      <c r="G9" s="142"/>
      <c r="H9" t="s">
        <v>503</v>
      </c>
      <c r="I9" s="203">
        <f>+C6</f>
        <v>761.88</v>
      </c>
      <c r="J9" s="203">
        <f>+D6</f>
        <v>1022.03</v>
      </c>
      <c r="L9" t="s">
        <v>501</v>
      </c>
      <c r="M9" s="205">
        <f>I10</f>
        <v>929.12</v>
      </c>
      <c r="N9" s="205">
        <f>I9</f>
        <v>761.88</v>
      </c>
      <c r="O9" s="205">
        <f>I11</f>
        <v>989.45</v>
      </c>
    </row>
    <row r="10" spans="2:15" x14ac:dyDescent="0.2">
      <c r="B10" s="140">
        <v>0.18</v>
      </c>
      <c r="C10" s="141">
        <v>929.12</v>
      </c>
      <c r="D10" s="141">
        <v>1246.3800000000001</v>
      </c>
      <c r="E10" s="142">
        <f>C10/5.66</f>
        <v>164.15547703180212</v>
      </c>
      <c r="F10" s="142">
        <f t="shared" si="0"/>
        <v>220.20848056537105</v>
      </c>
      <c r="G10" s="142"/>
      <c r="H10" t="s">
        <v>504</v>
      </c>
      <c r="I10" s="203">
        <f>+C10</f>
        <v>929.12</v>
      </c>
      <c r="J10" s="203">
        <f>+D10</f>
        <v>1246.3800000000001</v>
      </c>
      <c r="L10" s="39" t="s">
        <v>502</v>
      </c>
      <c r="M10" s="206">
        <f>J10</f>
        <v>1246.3800000000001</v>
      </c>
      <c r="N10" s="206">
        <f>J9</f>
        <v>1022.03</v>
      </c>
      <c r="O10" s="206">
        <f>J11</f>
        <v>1327.31</v>
      </c>
    </row>
    <row r="11" spans="2:15" x14ac:dyDescent="0.2">
      <c r="B11" s="140">
        <v>0.19</v>
      </c>
      <c r="C11" s="141">
        <v>940.59</v>
      </c>
      <c r="D11" s="141">
        <v>1261.77</v>
      </c>
      <c r="E11" s="142">
        <f t="shared" si="0"/>
        <v>166.18197879858658</v>
      </c>
      <c r="F11" s="142">
        <f t="shared" si="0"/>
        <v>222.92756183745581</v>
      </c>
      <c r="G11" s="142"/>
      <c r="H11" s="39" t="s">
        <v>505</v>
      </c>
      <c r="I11" s="204">
        <f>+C18</f>
        <v>989.45</v>
      </c>
      <c r="J11" s="204">
        <f>+D18</f>
        <v>1327.31</v>
      </c>
    </row>
    <row r="12" spans="2:15" x14ac:dyDescent="0.2">
      <c r="B12" s="144">
        <v>0.19500000000000001</v>
      </c>
      <c r="C12" s="141">
        <v>946.43</v>
      </c>
      <c r="D12" s="141">
        <v>1269.6099999999999</v>
      </c>
      <c r="E12" s="142">
        <f t="shared" si="0"/>
        <v>167.21378091872791</v>
      </c>
      <c r="F12" s="142">
        <f t="shared" si="0"/>
        <v>224.3127208480565</v>
      </c>
      <c r="G12" s="142"/>
      <c r="I12" s="145"/>
      <c r="J12" s="145"/>
    </row>
    <row r="13" spans="2:15" x14ac:dyDescent="0.2">
      <c r="B13" s="140">
        <v>0.2</v>
      </c>
      <c r="C13" s="141">
        <v>952.35</v>
      </c>
      <c r="D13" s="141">
        <v>1277.54</v>
      </c>
      <c r="E13" s="142">
        <f t="shared" si="0"/>
        <v>168.25971731448763</v>
      </c>
      <c r="F13" s="142">
        <f t="shared" si="0"/>
        <v>225.71378091872791</v>
      </c>
      <c r="G13" s="142"/>
      <c r="I13" s="145"/>
      <c r="J13" s="145"/>
    </row>
    <row r="14" spans="2:15" x14ac:dyDescent="0.2">
      <c r="B14" s="144">
        <v>0.20499999999999999</v>
      </c>
      <c r="C14" s="141">
        <v>958.34</v>
      </c>
      <c r="D14" s="141">
        <v>1285.58</v>
      </c>
      <c r="E14" s="142">
        <f t="shared" si="0"/>
        <v>169.31802120141342</v>
      </c>
      <c r="F14" s="142">
        <f t="shared" si="0"/>
        <v>227.13427561837455</v>
      </c>
      <c r="G14" s="142"/>
      <c r="I14" s="145"/>
      <c r="J14" s="145"/>
    </row>
    <row r="15" spans="2:15" x14ac:dyDescent="0.2">
      <c r="B15" s="140">
        <v>0.21</v>
      </c>
      <c r="C15" s="141">
        <v>964.41</v>
      </c>
      <c r="D15" s="141">
        <v>1293.72</v>
      </c>
      <c r="E15" s="142">
        <f t="shared" si="0"/>
        <v>170.39045936395758</v>
      </c>
      <c r="F15" s="142">
        <f t="shared" si="0"/>
        <v>228.57243816254416</v>
      </c>
      <c r="G15" s="142"/>
      <c r="I15" s="145"/>
      <c r="J15" s="145"/>
    </row>
    <row r="16" spans="2:15" x14ac:dyDescent="0.2">
      <c r="B16" s="140">
        <v>0.22</v>
      </c>
      <c r="C16" s="141">
        <v>976.77</v>
      </c>
      <c r="D16" s="141">
        <v>1310.3</v>
      </c>
      <c r="E16" s="142">
        <f t="shared" si="0"/>
        <v>172.57420494699645</v>
      </c>
      <c r="F16" s="142">
        <f t="shared" si="0"/>
        <v>231.50176678445229</v>
      </c>
      <c r="G16" s="142"/>
      <c r="I16" s="145"/>
      <c r="J16" s="145"/>
    </row>
    <row r="17" spans="2:10" x14ac:dyDescent="0.2">
      <c r="B17" s="144">
        <v>0.22500000000000001</v>
      </c>
      <c r="C17" s="141">
        <v>983.07</v>
      </c>
      <c r="D17" s="141">
        <v>1318.75</v>
      </c>
      <c r="E17" s="142">
        <f t="shared" si="0"/>
        <v>173.68727915194347</v>
      </c>
      <c r="F17" s="142">
        <f t="shared" si="0"/>
        <v>232.99469964664311</v>
      </c>
      <c r="G17" s="142"/>
      <c r="I17" s="145"/>
      <c r="J17" s="145"/>
    </row>
    <row r="18" spans="2:10" x14ac:dyDescent="0.2">
      <c r="B18" s="146">
        <v>0.23</v>
      </c>
      <c r="C18" s="147">
        <v>989.45</v>
      </c>
      <c r="D18" s="147">
        <v>1327.31</v>
      </c>
      <c r="E18" s="142">
        <f t="shared" si="0"/>
        <v>174.81448763250884</v>
      </c>
      <c r="F18" s="142">
        <f t="shared" si="0"/>
        <v>234.50706713780917</v>
      </c>
      <c r="G18" s="142"/>
      <c r="I18" s="145"/>
      <c r="J18" s="145"/>
    </row>
    <row r="19" spans="2:10" x14ac:dyDescent="0.2">
      <c r="C19" s="84"/>
      <c r="D19" s="84"/>
      <c r="I19" s="145"/>
      <c r="J19" s="145"/>
    </row>
    <row r="20" spans="2:10" x14ac:dyDescent="0.2">
      <c r="B20" s="135" t="s">
        <v>506</v>
      </c>
    </row>
    <row r="21" spans="2:10" x14ac:dyDescent="0.2">
      <c r="B21" s="135" t="s">
        <v>507</v>
      </c>
    </row>
    <row r="23" spans="2:10" x14ac:dyDescent="0.2">
      <c r="B23" s="148" t="s">
        <v>508</v>
      </c>
    </row>
    <row r="24" spans="2:10" x14ac:dyDescent="0.2">
      <c r="B24" s="148" t="s">
        <v>509</v>
      </c>
    </row>
    <row r="25" spans="2:10" x14ac:dyDescent="0.2">
      <c r="B25" s="148"/>
    </row>
    <row r="26" spans="2:10" x14ac:dyDescent="0.2">
      <c r="B26" s="148" t="s">
        <v>510</v>
      </c>
    </row>
    <row r="27" spans="2:10" x14ac:dyDescent="0.2">
      <c r="B27" s="148"/>
    </row>
    <row r="28" spans="2:10" x14ac:dyDescent="0.2">
      <c r="B28" s="148" t="s">
        <v>511</v>
      </c>
    </row>
    <row r="29" spans="2:10" x14ac:dyDescent="0.2">
      <c r="B29" s="148"/>
    </row>
    <row r="30" spans="2:10" x14ac:dyDescent="0.2">
      <c r="B30" s="148" t="s">
        <v>512</v>
      </c>
    </row>
    <row r="32" spans="2:10" x14ac:dyDescent="0.2">
      <c r="B32" s="135" t="s">
        <v>513</v>
      </c>
    </row>
  </sheetData>
  <mergeCells count="1">
    <mergeCell ref="B1:F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85843-4B03-CE47-8C64-BADA8E6F4641}">
  <dimension ref="B2:K4"/>
  <sheetViews>
    <sheetView topLeftCell="D1" zoomScale="170" zoomScaleNormal="170" workbookViewId="0">
      <selection activeCell="K3" sqref="K3"/>
    </sheetView>
  </sheetViews>
  <sheetFormatPr baseColWidth="10" defaultRowHeight="16" x14ac:dyDescent="0.2"/>
  <cols>
    <col min="1" max="1" width="5.1640625" style="185" customWidth="1"/>
    <col min="2" max="2" width="10.6640625" style="185" customWidth="1"/>
    <col min="3" max="3" width="11.83203125" style="185" customWidth="1"/>
    <col min="4" max="4" width="7.33203125" style="189" customWidth="1"/>
    <col min="5" max="5" width="23.83203125" style="194" customWidth="1"/>
    <col min="6" max="7" width="12.6640625" style="189" customWidth="1"/>
    <col min="8" max="8" width="13.83203125" style="189" customWidth="1"/>
    <col min="9" max="9" width="17" style="189" customWidth="1"/>
    <col min="10" max="10" width="14" style="189" customWidth="1"/>
    <col min="11" max="11" width="11" style="189" customWidth="1"/>
    <col min="12" max="16384" width="10.83203125" style="185"/>
  </cols>
  <sheetData>
    <row r="2" spans="2:11" s="184" customFormat="1" ht="34" x14ac:dyDescent="0.2">
      <c r="B2" s="186" t="s">
        <v>568</v>
      </c>
      <c r="C2" s="186" t="s">
        <v>572</v>
      </c>
      <c r="D2" s="192" t="s">
        <v>66</v>
      </c>
      <c r="E2" s="193" t="s">
        <v>18</v>
      </c>
      <c r="F2" s="188" t="s">
        <v>543</v>
      </c>
      <c r="G2" s="188" t="s">
        <v>544</v>
      </c>
      <c r="H2" s="188" t="s">
        <v>545</v>
      </c>
      <c r="I2" s="188" t="s">
        <v>575</v>
      </c>
      <c r="J2" s="188" t="s">
        <v>547</v>
      </c>
      <c r="K2" s="188" t="s">
        <v>571</v>
      </c>
    </row>
    <row r="3" spans="2:11" x14ac:dyDescent="0.2">
      <c r="B3" s="185" t="s">
        <v>569</v>
      </c>
      <c r="C3" s="185" t="s">
        <v>573</v>
      </c>
      <c r="D3" s="189">
        <v>2025</v>
      </c>
      <c r="E3" s="194" t="s">
        <v>581</v>
      </c>
      <c r="F3" s="190">
        <f>qdenga_price!B7</f>
        <v>157.35</v>
      </c>
      <c r="G3" s="190">
        <f>qdenga_price!C7</f>
        <v>176.23</v>
      </c>
      <c r="H3" s="190">
        <f>qdenga_price!D7</f>
        <v>220.83</v>
      </c>
      <c r="I3" s="191">
        <f>qdenga_price!E7</f>
        <v>170</v>
      </c>
      <c r="J3" s="191">
        <f>qdenga_price!F7</f>
        <v>95</v>
      </c>
      <c r="K3" s="189">
        <f>1-J3/H3</f>
        <v>0.56980482724267545</v>
      </c>
    </row>
    <row r="4" spans="2:11" x14ac:dyDescent="0.2">
      <c r="B4" s="187" t="s">
        <v>570</v>
      </c>
      <c r="C4" s="187" t="s">
        <v>574</v>
      </c>
      <c r="D4" s="195">
        <v>2023</v>
      </c>
      <c r="E4" s="196" t="s">
        <v>580</v>
      </c>
      <c r="F4" s="195"/>
      <c r="G4" s="197">
        <f>'pneumo-13_price'!$C$13</f>
        <v>131.91999999999999</v>
      </c>
      <c r="H4" s="198">
        <f>+(H3/G3)*G4</f>
        <v>165.30609771321568</v>
      </c>
      <c r="I4" s="199">
        <f>'pneumo-13_price'!$D$13</f>
        <v>63.85</v>
      </c>
      <c r="J4" s="200">
        <v>76.75</v>
      </c>
      <c r="K4" s="195">
        <f>1-J4/H4</f>
        <v>0.53570980706863491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4AD6A-461B-D849-A92D-B7C5AF1B5759}">
  <sheetPr>
    <tabColor rgb="FF0070C0"/>
  </sheetPr>
  <dimension ref="A1"/>
  <sheetViews>
    <sheetView workbookViewId="0">
      <selection sqref="A1:XFD1048576"/>
    </sheetView>
  </sheetViews>
  <sheetFormatPr baseColWidth="10" defaultRowHeight="16" x14ac:dyDescent="0.2"/>
  <cols>
    <col min="1" max="16384" width="10.83203125" style="185"/>
  </cols>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A48D4-97AC-A244-BE60-E6059E1509E8}">
  <dimension ref="A1:D37"/>
  <sheetViews>
    <sheetView workbookViewId="0">
      <selection activeCell="H18" sqref="H18"/>
    </sheetView>
  </sheetViews>
  <sheetFormatPr baseColWidth="10" defaultRowHeight="16" x14ac:dyDescent="0.2"/>
  <cols>
    <col min="1" max="1" width="26.5" customWidth="1"/>
    <col min="2" max="4" width="10.83203125" style="84"/>
  </cols>
  <sheetData>
    <row r="1" spans="1:4" x14ac:dyDescent="0.2">
      <c r="A1" s="245" t="s">
        <v>3574</v>
      </c>
      <c r="B1" s="246"/>
      <c r="C1" s="246"/>
    </row>
    <row r="2" spans="1:4" x14ac:dyDescent="0.2">
      <c r="A2" s="245"/>
      <c r="B2" s="246"/>
      <c r="C2" s="246"/>
    </row>
    <row r="3" spans="1:4" x14ac:dyDescent="0.2">
      <c r="A3" s="245"/>
      <c r="B3" s="246" t="s">
        <v>66</v>
      </c>
      <c r="C3" s="246" t="s">
        <v>3575</v>
      </c>
      <c r="D3" s="84" t="s">
        <v>3609</v>
      </c>
    </row>
    <row r="4" spans="1:4" x14ac:dyDescent="0.2">
      <c r="A4" s="245" t="s">
        <v>3576</v>
      </c>
      <c r="B4" s="246">
        <v>1995</v>
      </c>
      <c r="C4" s="246">
        <v>22.41</v>
      </c>
    </row>
    <row r="5" spans="1:4" x14ac:dyDescent="0.2">
      <c r="A5" s="245" t="s">
        <v>3577</v>
      </c>
      <c r="B5" s="246">
        <f>+B4+1</f>
        <v>1996</v>
      </c>
      <c r="C5" s="246">
        <v>9.56</v>
      </c>
    </row>
    <row r="6" spans="1:4" x14ac:dyDescent="0.2">
      <c r="A6" s="245" t="s">
        <v>3578</v>
      </c>
      <c r="B6" s="246">
        <f t="shared" ref="B6:B34" si="0">+B5+1</f>
        <v>1997</v>
      </c>
      <c r="C6" s="246">
        <v>5.22</v>
      </c>
    </row>
    <row r="7" spans="1:4" x14ac:dyDescent="0.2">
      <c r="A7" s="245" t="s">
        <v>3579</v>
      </c>
      <c r="B7" s="246">
        <f t="shared" si="0"/>
        <v>1998</v>
      </c>
      <c r="C7" s="246">
        <v>1.65</v>
      </c>
    </row>
    <row r="8" spans="1:4" x14ac:dyDescent="0.2">
      <c r="A8" s="245" t="s">
        <v>3580</v>
      </c>
      <c r="B8" s="246">
        <f t="shared" si="0"/>
        <v>1999</v>
      </c>
      <c r="C8" s="246">
        <v>8.94</v>
      </c>
    </row>
    <row r="9" spans="1:4" x14ac:dyDescent="0.2">
      <c r="A9" s="245" t="s">
        <v>3581</v>
      </c>
      <c r="B9" s="246">
        <f t="shared" si="0"/>
        <v>2000</v>
      </c>
      <c r="C9" s="246">
        <v>5.97</v>
      </c>
    </row>
    <row r="10" spans="1:4" x14ac:dyDescent="0.2">
      <c r="A10" s="245" t="s">
        <v>3582</v>
      </c>
      <c r="B10" s="246">
        <f t="shared" si="0"/>
        <v>2001</v>
      </c>
      <c r="C10" s="246">
        <v>7.67</v>
      </c>
    </row>
    <row r="11" spans="1:4" x14ac:dyDescent="0.2">
      <c r="A11" s="245" t="s">
        <v>3583</v>
      </c>
      <c r="B11" s="246">
        <f t="shared" si="0"/>
        <v>2002</v>
      </c>
      <c r="C11" s="246">
        <v>12.53</v>
      </c>
    </row>
    <row r="12" spans="1:4" x14ac:dyDescent="0.2">
      <c r="A12" s="245" t="s">
        <v>3584</v>
      </c>
      <c r="B12" s="246">
        <f t="shared" si="0"/>
        <v>2003</v>
      </c>
      <c r="C12" s="246">
        <v>9.3000000000000007</v>
      </c>
    </row>
    <row r="13" spans="1:4" x14ac:dyDescent="0.2">
      <c r="A13" s="245" t="s">
        <v>3585</v>
      </c>
      <c r="B13" s="246">
        <f t="shared" si="0"/>
        <v>2004</v>
      </c>
      <c r="C13" s="246">
        <v>7.6</v>
      </c>
    </row>
    <row r="14" spans="1:4" x14ac:dyDescent="0.2">
      <c r="A14" s="245" t="s">
        <v>3586</v>
      </c>
      <c r="B14" s="246">
        <f t="shared" si="0"/>
        <v>2005</v>
      </c>
      <c r="C14" s="246">
        <v>5.69</v>
      </c>
    </row>
    <row r="15" spans="1:4" x14ac:dyDescent="0.2">
      <c r="A15" s="245" t="s">
        <v>3587</v>
      </c>
      <c r="B15" s="246">
        <f t="shared" si="0"/>
        <v>2006</v>
      </c>
      <c r="C15" s="246">
        <v>3.14</v>
      </c>
    </row>
    <row r="16" spans="1:4" x14ac:dyDescent="0.2">
      <c r="A16" s="245" t="s">
        <v>3588</v>
      </c>
      <c r="B16" s="246">
        <f t="shared" si="0"/>
        <v>2007</v>
      </c>
      <c r="C16" s="246">
        <v>4.46</v>
      </c>
    </row>
    <row r="17" spans="1:4" x14ac:dyDescent="0.2">
      <c r="A17" s="245" t="s">
        <v>3589</v>
      </c>
      <c r="B17" s="246">
        <f t="shared" si="0"/>
        <v>2008</v>
      </c>
      <c r="C17" s="246">
        <v>5.9</v>
      </c>
    </row>
    <row r="18" spans="1:4" x14ac:dyDescent="0.2">
      <c r="A18" s="245" t="s">
        <v>3590</v>
      </c>
      <c r="B18" s="246">
        <f t="shared" si="0"/>
        <v>2009</v>
      </c>
      <c r="C18" s="246">
        <v>4.3099999999999996</v>
      </c>
    </row>
    <row r="19" spans="1:4" x14ac:dyDescent="0.2">
      <c r="A19" s="245" t="s">
        <v>3591</v>
      </c>
      <c r="B19" s="246">
        <f t="shared" si="0"/>
        <v>2010</v>
      </c>
      <c r="C19" s="246">
        <v>5.91</v>
      </c>
      <c r="D19" s="84">
        <f>D18+C19/100</f>
        <v>5.91E-2</v>
      </c>
    </row>
    <row r="20" spans="1:4" x14ac:dyDescent="0.2">
      <c r="A20" s="245" t="s">
        <v>3592</v>
      </c>
      <c r="B20" s="246">
        <f t="shared" si="0"/>
        <v>2011</v>
      </c>
      <c r="C20" s="246">
        <v>6.5</v>
      </c>
      <c r="D20" s="84">
        <f t="shared" ref="D6:D34" si="1">D19+C20/100</f>
        <v>0.1241</v>
      </c>
    </row>
    <row r="21" spans="1:4" x14ac:dyDescent="0.2">
      <c r="A21" s="245" t="s">
        <v>3593</v>
      </c>
      <c r="B21" s="246">
        <f t="shared" si="0"/>
        <v>2012</v>
      </c>
      <c r="C21" s="246">
        <v>5.84</v>
      </c>
      <c r="D21" s="84">
        <f t="shared" si="1"/>
        <v>0.1825</v>
      </c>
    </row>
    <row r="22" spans="1:4" x14ac:dyDescent="0.2">
      <c r="A22" s="245" t="s">
        <v>3594</v>
      </c>
      <c r="B22" s="246">
        <f t="shared" si="0"/>
        <v>2013</v>
      </c>
      <c r="C22" s="246">
        <v>5.91</v>
      </c>
      <c r="D22" s="84">
        <f t="shared" si="1"/>
        <v>0.24159999999999998</v>
      </c>
    </row>
    <row r="23" spans="1:4" x14ac:dyDescent="0.2">
      <c r="A23" s="245" t="s">
        <v>3595</v>
      </c>
      <c r="B23" s="246">
        <f t="shared" si="0"/>
        <v>2014</v>
      </c>
      <c r="C23" s="246">
        <v>6.41</v>
      </c>
      <c r="D23" s="84">
        <f t="shared" si="1"/>
        <v>0.30569999999999997</v>
      </c>
    </row>
    <row r="24" spans="1:4" x14ac:dyDescent="0.2">
      <c r="A24" s="245" t="s">
        <v>3596</v>
      </c>
      <c r="B24" s="246">
        <f t="shared" si="0"/>
        <v>2015</v>
      </c>
      <c r="C24" s="246">
        <v>10.67</v>
      </c>
      <c r="D24" s="84">
        <f t="shared" si="1"/>
        <v>0.41239999999999999</v>
      </c>
    </row>
    <row r="25" spans="1:4" x14ac:dyDescent="0.2">
      <c r="A25" s="245" t="s">
        <v>3597</v>
      </c>
      <c r="B25" s="246">
        <f t="shared" si="0"/>
        <v>2016</v>
      </c>
      <c r="C25" s="246">
        <v>6.29</v>
      </c>
      <c r="D25" s="84">
        <f t="shared" si="1"/>
        <v>0.4753</v>
      </c>
    </row>
    <row r="26" spans="1:4" x14ac:dyDescent="0.2">
      <c r="A26" s="245" t="s">
        <v>3598</v>
      </c>
      <c r="B26" s="246">
        <f t="shared" si="0"/>
        <v>2017</v>
      </c>
      <c r="C26" s="246">
        <v>2.95</v>
      </c>
      <c r="D26" s="84">
        <f t="shared" si="1"/>
        <v>0.50480000000000003</v>
      </c>
    </row>
    <row r="27" spans="1:4" x14ac:dyDescent="0.2">
      <c r="A27" s="245" t="s">
        <v>3599</v>
      </c>
      <c r="B27" s="246">
        <f t="shared" si="0"/>
        <v>2018</v>
      </c>
      <c r="C27" s="246">
        <v>3.75</v>
      </c>
      <c r="D27" s="84">
        <f t="shared" si="1"/>
        <v>0.5423</v>
      </c>
    </row>
    <row r="28" spans="1:4" x14ac:dyDescent="0.2">
      <c r="A28" s="245" t="s">
        <v>3600</v>
      </c>
      <c r="B28" s="246">
        <f t="shared" si="0"/>
        <v>2019</v>
      </c>
      <c r="C28" s="246">
        <v>4.3099999999999996</v>
      </c>
      <c r="D28" s="84">
        <f t="shared" si="1"/>
        <v>0.58540000000000003</v>
      </c>
    </row>
    <row r="29" spans="1:4" x14ac:dyDescent="0.2">
      <c r="A29" s="245" t="s">
        <v>3601</v>
      </c>
      <c r="B29" s="246">
        <f t="shared" si="0"/>
        <v>2020</v>
      </c>
      <c r="C29" s="246">
        <v>4.5199999999999996</v>
      </c>
      <c r="D29" s="84">
        <f t="shared" si="1"/>
        <v>0.63060000000000005</v>
      </c>
    </row>
    <row r="30" spans="1:4" x14ac:dyDescent="0.2">
      <c r="A30" s="245" t="s">
        <v>3602</v>
      </c>
      <c r="B30" s="246">
        <f t="shared" si="0"/>
        <v>2021</v>
      </c>
      <c r="C30" s="246">
        <v>10.06</v>
      </c>
      <c r="D30" s="84">
        <f t="shared" si="1"/>
        <v>0.73120000000000007</v>
      </c>
    </row>
    <row r="31" spans="1:4" x14ac:dyDescent="0.2">
      <c r="A31" s="245" t="s">
        <v>3603</v>
      </c>
      <c r="B31" s="246">
        <f t="shared" si="0"/>
        <v>2022</v>
      </c>
      <c r="C31" s="246">
        <v>5.79</v>
      </c>
      <c r="D31" s="84">
        <f t="shared" si="1"/>
        <v>0.78910000000000002</v>
      </c>
    </row>
    <row r="32" spans="1:4" x14ac:dyDescent="0.2">
      <c r="A32" s="245" t="s">
        <v>3604</v>
      </c>
      <c r="B32" s="246">
        <f t="shared" si="0"/>
        <v>2023</v>
      </c>
      <c r="C32" s="246">
        <v>4.62</v>
      </c>
      <c r="D32" s="84">
        <f t="shared" si="1"/>
        <v>0.83530000000000004</v>
      </c>
    </row>
    <row r="33" spans="1:4" x14ac:dyDescent="0.2">
      <c r="A33" s="245" t="s">
        <v>3605</v>
      </c>
      <c r="B33" s="246">
        <f t="shared" si="0"/>
        <v>2024</v>
      </c>
      <c r="C33" s="246">
        <v>4.83</v>
      </c>
      <c r="D33" s="84">
        <f t="shared" si="1"/>
        <v>0.88360000000000005</v>
      </c>
    </row>
    <row r="34" spans="1:4" x14ac:dyDescent="0.2">
      <c r="A34" s="245" t="s">
        <v>3607</v>
      </c>
      <c r="B34" s="246">
        <f t="shared" si="0"/>
        <v>2025</v>
      </c>
      <c r="C34" s="246">
        <v>4.26</v>
      </c>
      <c r="D34" s="84">
        <f t="shared" si="1"/>
        <v>0.92620000000000002</v>
      </c>
    </row>
    <row r="35" spans="1:4" x14ac:dyDescent="0.2">
      <c r="A35" s="245"/>
      <c r="B35" s="246"/>
      <c r="C35" s="246"/>
    </row>
    <row r="36" spans="1:4" x14ac:dyDescent="0.2">
      <c r="A36" s="245" t="s">
        <v>3606</v>
      </c>
      <c r="B36" s="246"/>
      <c r="C36" s="246"/>
    </row>
    <row r="37" spans="1:4" x14ac:dyDescent="0.2">
      <c r="A37" s="2" t="s">
        <v>3608</v>
      </c>
    </row>
  </sheetData>
  <hyperlinks>
    <hyperlink ref="A37" r:id="rId1" xr:uid="{ADC6BD3E-E468-D142-82A6-94E23E49F3D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FFC87-3C43-6E48-8372-30EF4D847808}">
  <dimension ref="A1:G546"/>
  <sheetViews>
    <sheetView zoomScale="130" zoomScaleNormal="130" workbookViewId="0">
      <selection activeCell="N23" sqref="N23"/>
    </sheetView>
  </sheetViews>
  <sheetFormatPr baseColWidth="10" defaultColWidth="8.83203125" defaultRowHeight="15" x14ac:dyDescent="0.2"/>
  <cols>
    <col min="1" max="1" width="16.5" style="149" bestFit="1" customWidth="1"/>
    <col min="2" max="2" width="10" style="150" customWidth="1"/>
    <col min="3" max="16384" width="8.83203125" style="149"/>
  </cols>
  <sheetData>
    <row r="1" spans="1:7" x14ac:dyDescent="0.2">
      <c r="A1" s="154" t="s">
        <v>341</v>
      </c>
      <c r="B1" s="154" t="s">
        <v>517</v>
      </c>
      <c r="E1" s="149" t="s">
        <v>343</v>
      </c>
    </row>
    <row r="2" spans="1:7" x14ac:dyDescent="0.2">
      <c r="A2" s="152">
        <v>29190</v>
      </c>
      <c r="B2" s="151">
        <v>1.7675380000000001E-10</v>
      </c>
      <c r="E2" s="149" t="s">
        <v>344</v>
      </c>
    </row>
    <row r="3" spans="1:7" x14ac:dyDescent="0.2">
      <c r="A3" s="152">
        <v>29221</v>
      </c>
      <c r="B3" s="151">
        <v>1.8844719999999999E-10</v>
      </c>
      <c r="E3" s="149" t="s">
        <v>345</v>
      </c>
    </row>
    <row r="4" spans="1:7" x14ac:dyDescent="0.2">
      <c r="A4" s="152">
        <v>29252</v>
      </c>
      <c r="B4" s="151">
        <v>1.971477E-10</v>
      </c>
      <c r="E4" s="149" t="s">
        <v>346</v>
      </c>
    </row>
    <row r="5" spans="1:7" x14ac:dyDescent="0.2">
      <c r="A5" s="152">
        <v>29281</v>
      </c>
      <c r="B5" s="151">
        <v>2.0905219999999999E-10</v>
      </c>
      <c r="E5" s="149" t="s">
        <v>347</v>
      </c>
    </row>
    <row r="6" spans="1:7" x14ac:dyDescent="0.2">
      <c r="A6" s="152">
        <v>29312</v>
      </c>
      <c r="B6" s="151">
        <v>2.2010289999999999E-10</v>
      </c>
      <c r="E6" s="149" t="s">
        <v>518</v>
      </c>
    </row>
    <row r="7" spans="1:7" x14ac:dyDescent="0.2">
      <c r="A7" s="152">
        <v>29342</v>
      </c>
      <c r="B7" s="151">
        <v>2.326548E-10</v>
      </c>
    </row>
    <row r="8" spans="1:7" x14ac:dyDescent="0.2">
      <c r="A8" s="152">
        <v>29373</v>
      </c>
      <c r="B8" s="151">
        <v>2.4499789999999998E-10</v>
      </c>
      <c r="E8" s="149" t="s">
        <v>517</v>
      </c>
      <c r="F8" s="149" t="s">
        <v>516</v>
      </c>
      <c r="G8" s="149" t="s">
        <v>515</v>
      </c>
    </row>
    <row r="9" spans="1:7" x14ac:dyDescent="0.2">
      <c r="A9" s="152">
        <v>29403</v>
      </c>
      <c r="B9" s="151">
        <v>2.5858449999999999E-10</v>
      </c>
      <c r="E9" s="153" t="s">
        <v>514</v>
      </c>
    </row>
    <row r="10" spans="1:7" x14ac:dyDescent="0.2">
      <c r="A10" s="152">
        <v>29434</v>
      </c>
      <c r="B10" s="151">
        <v>2.7137299999999999E-10</v>
      </c>
    </row>
    <row r="11" spans="1:7" x14ac:dyDescent="0.2">
      <c r="A11" s="152">
        <v>29465</v>
      </c>
      <c r="B11" s="151">
        <v>2.8285299999999998E-10</v>
      </c>
    </row>
    <row r="12" spans="1:7" x14ac:dyDescent="0.2">
      <c r="A12" s="152">
        <v>29495</v>
      </c>
      <c r="B12" s="151">
        <v>3.0966889999999999E-10</v>
      </c>
    </row>
    <row r="13" spans="1:7" x14ac:dyDescent="0.2">
      <c r="A13" s="152">
        <v>29526</v>
      </c>
      <c r="B13" s="151">
        <v>3.3033430000000001E-10</v>
      </c>
    </row>
    <row r="14" spans="1:7" x14ac:dyDescent="0.2">
      <c r="A14" s="152">
        <v>29556</v>
      </c>
      <c r="B14" s="151">
        <v>3.5218279999999998E-10</v>
      </c>
      <c r="C14" s="151"/>
    </row>
    <row r="15" spans="1:7" x14ac:dyDescent="0.2">
      <c r="A15" s="152">
        <v>29587</v>
      </c>
      <c r="B15" s="151">
        <v>3.762634E-10</v>
      </c>
    </row>
    <row r="16" spans="1:7" x14ac:dyDescent="0.2">
      <c r="A16" s="152">
        <v>29618</v>
      </c>
      <c r="B16" s="151">
        <v>4.0034859999999999E-10</v>
      </c>
    </row>
    <row r="17" spans="1:3" x14ac:dyDescent="0.2">
      <c r="A17" s="152">
        <v>29646</v>
      </c>
      <c r="B17" s="151">
        <v>4.2025290000000002E-10</v>
      </c>
    </row>
    <row r="18" spans="1:3" x14ac:dyDescent="0.2">
      <c r="A18" s="152">
        <v>29677</v>
      </c>
      <c r="B18" s="151">
        <v>4.4740989999999998E-10</v>
      </c>
    </row>
    <row r="19" spans="1:3" x14ac:dyDescent="0.2">
      <c r="A19" s="152">
        <v>29707</v>
      </c>
      <c r="B19" s="151">
        <v>4.7228390000000005E-10</v>
      </c>
    </row>
    <row r="20" spans="1:3" x14ac:dyDescent="0.2">
      <c r="A20" s="152">
        <v>29738</v>
      </c>
      <c r="B20" s="151">
        <v>4.9834350000000004E-10</v>
      </c>
    </row>
    <row r="21" spans="1:3" x14ac:dyDescent="0.2">
      <c r="A21" s="152">
        <v>29768</v>
      </c>
      <c r="B21" s="151">
        <v>5.2951900000000004E-10</v>
      </c>
    </row>
    <row r="22" spans="1:3" x14ac:dyDescent="0.2">
      <c r="A22" s="152">
        <v>29799</v>
      </c>
      <c r="B22" s="151">
        <v>5.5862029999999997E-10</v>
      </c>
    </row>
    <row r="23" spans="1:3" x14ac:dyDescent="0.2">
      <c r="A23" s="152">
        <v>29830</v>
      </c>
      <c r="B23" s="151">
        <v>5.8798600000000002E-10</v>
      </c>
    </row>
    <row r="24" spans="1:3" x14ac:dyDescent="0.2">
      <c r="A24" s="152">
        <v>29860</v>
      </c>
      <c r="B24" s="151">
        <v>6.1784140000000004E-10</v>
      </c>
    </row>
    <row r="25" spans="1:3" x14ac:dyDescent="0.2">
      <c r="A25" s="152">
        <v>29891</v>
      </c>
      <c r="B25" s="151">
        <v>6.504112E-10</v>
      </c>
    </row>
    <row r="26" spans="1:3" x14ac:dyDescent="0.2">
      <c r="A26" s="152">
        <v>29921</v>
      </c>
      <c r="B26" s="151">
        <v>6.8895080000000003E-10</v>
      </c>
    </row>
    <row r="27" spans="1:3" x14ac:dyDescent="0.2">
      <c r="A27" s="152">
        <v>29952</v>
      </c>
      <c r="B27" s="151">
        <v>7.3693559999999998E-10</v>
      </c>
      <c r="C27" s="151"/>
    </row>
    <row r="28" spans="1:3" x14ac:dyDescent="0.2">
      <c r="A28" s="152">
        <v>29983</v>
      </c>
      <c r="B28" s="151">
        <v>7.8584369999999999E-10</v>
      </c>
    </row>
    <row r="29" spans="1:3" x14ac:dyDescent="0.2">
      <c r="A29" s="152">
        <v>30011</v>
      </c>
      <c r="B29" s="151">
        <v>8.3073579999999997E-10</v>
      </c>
    </row>
    <row r="30" spans="1:3" x14ac:dyDescent="0.2">
      <c r="A30" s="152">
        <v>30042</v>
      </c>
      <c r="B30" s="151">
        <v>8.7964389999999998E-10</v>
      </c>
    </row>
    <row r="31" spans="1:3" x14ac:dyDescent="0.2">
      <c r="A31" s="152">
        <v>30072</v>
      </c>
      <c r="B31" s="151">
        <v>9.3821540000000008E-10</v>
      </c>
    </row>
    <row r="32" spans="1:3" x14ac:dyDescent="0.2">
      <c r="A32" s="152">
        <v>30103</v>
      </c>
      <c r="B32" s="151">
        <v>1.004875E-9</v>
      </c>
    </row>
    <row r="33" spans="1:3" x14ac:dyDescent="0.2">
      <c r="A33" s="152">
        <v>30133</v>
      </c>
      <c r="B33" s="151">
        <v>1.068764E-9</v>
      </c>
    </row>
    <row r="34" spans="1:3" x14ac:dyDescent="0.2">
      <c r="A34" s="152">
        <v>30164</v>
      </c>
      <c r="B34" s="151">
        <v>1.1325999E-9</v>
      </c>
    </row>
    <row r="35" spans="1:3" x14ac:dyDescent="0.2">
      <c r="A35" s="152">
        <v>30195</v>
      </c>
      <c r="B35" s="151">
        <v>1.1901389E-9</v>
      </c>
    </row>
    <row r="36" spans="1:3" x14ac:dyDescent="0.2">
      <c r="A36" s="152">
        <v>30225</v>
      </c>
      <c r="B36" s="151">
        <v>1.24301E-9</v>
      </c>
    </row>
    <row r="37" spans="1:3" x14ac:dyDescent="0.2">
      <c r="A37" s="152">
        <v>30256</v>
      </c>
      <c r="B37" s="151">
        <v>1.308746E-9</v>
      </c>
    </row>
    <row r="38" spans="1:3" x14ac:dyDescent="0.2">
      <c r="A38" s="152">
        <v>30286</v>
      </c>
      <c r="B38" s="151">
        <v>1.4109050000000001E-9</v>
      </c>
    </row>
    <row r="39" spans="1:3" x14ac:dyDescent="0.2">
      <c r="A39" s="152">
        <v>30317</v>
      </c>
      <c r="B39" s="151">
        <v>1.5328229E-9</v>
      </c>
    </row>
    <row r="40" spans="1:3" x14ac:dyDescent="0.2">
      <c r="A40" s="152">
        <v>30348</v>
      </c>
      <c r="B40" s="151">
        <v>1.653275E-9</v>
      </c>
      <c r="C40" s="151"/>
    </row>
    <row r="41" spans="1:3" x14ac:dyDescent="0.2">
      <c r="A41" s="152">
        <v>30376</v>
      </c>
      <c r="B41" s="151">
        <v>1.774705E-9</v>
      </c>
    </row>
    <row r="42" spans="1:3" x14ac:dyDescent="0.2">
      <c r="A42" s="152">
        <v>30407</v>
      </c>
      <c r="B42" s="151">
        <v>1.8914670000000002E-9</v>
      </c>
    </row>
    <row r="43" spans="1:3" x14ac:dyDescent="0.2">
      <c r="A43" s="152">
        <v>30437</v>
      </c>
      <c r="B43" s="151">
        <v>2.01409E-9</v>
      </c>
    </row>
    <row r="44" spans="1:3" x14ac:dyDescent="0.2">
      <c r="A44" s="152">
        <v>30468</v>
      </c>
      <c r="B44" s="151">
        <v>2.2130899999999999E-9</v>
      </c>
    </row>
    <row r="45" spans="1:3" x14ac:dyDescent="0.2">
      <c r="A45" s="152">
        <v>30498</v>
      </c>
      <c r="B45" s="151">
        <v>2.436134E-9</v>
      </c>
    </row>
    <row r="46" spans="1:3" x14ac:dyDescent="0.2">
      <c r="A46" s="152">
        <v>30529</v>
      </c>
      <c r="B46" s="151">
        <v>2.6580959000000001E-9</v>
      </c>
    </row>
    <row r="47" spans="1:3" x14ac:dyDescent="0.2">
      <c r="A47" s="152">
        <v>30560</v>
      </c>
      <c r="B47" s="151">
        <v>2.9318960000000001E-9</v>
      </c>
    </row>
    <row r="48" spans="1:3" x14ac:dyDescent="0.2">
      <c r="A48" s="152">
        <v>30590</v>
      </c>
      <c r="B48" s="151">
        <v>3.1918539999999999E-9</v>
      </c>
    </row>
    <row r="49" spans="1:3" x14ac:dyDescent="0.2">
      <c r="A49" s="152">
        <v>30621</v>
      </c>
      <c r="B49" s="151">
        <v>3.4275479E-9</v>
      </c>
    </row>
    <row r="50" spans="1:3" x14ac:dyDescent="0.2">
      <c r="A50" s="152">
        <v>30651</v>
      </c>
      <c r="B50" s="151">
        <v>3.7249599999999999E-9</v>
      </c>
    </row>
    <row r="51" spans="1:3" x14ac:dyDescent="0.2">
      <c r="A51" s="152">
        <v>30682</v>
      </c>
      <c r="B51" s="151">
        <v>4.0851239999999997E-9</v>
      </c>
    </row>
    <row r="52" spans="1:3" x14ac:dyDescent="0.2">
      <c r="A52" s="152">
        <v>30713</v>
      </c>
      <c r="B52" s="151">
        <v>4.4732400000000002E-9</v>
      </c>
    </row>
    <row r="53" spans="1:3" x14ac:dyDescent="0.2">
      <c r="A53" s="152">
        <v>30742</v>
      </c>
      <c r="B53" s="151">
        <v>4.873083E-9</v>
      </c>
      <c r="C53" s="151"/>
    </row>
    <row r="54" spans="1:3" x14ac:dyDescent="0.2">
      <c r="A54" s="152">
        <v>30773</v>
      </c>
      <c r="B54" s="151">
        <v>5.3381219000000004E-9</v>
      </c>
    </row>
    <row r="55" spans="1:3" x14ac:dyDescent="0.2">
      <c r="A55" s="152">
        <v>30803</v>
      </c>
      <c r="B55" s="151">
        <v>5.8212330000000003E-9</v>
      </c>
    </row>
    <row r="56" spans="1:3" x14ac:dyDescent="0.2">
      <c r="A56" s="152">
        <v>30834</v>
      </c>
      <c r="B56" s="151">
        <v>6.4080248999999999E-9</v>
      </c>
    </row>
    <row r="57" spans="1:3" x14ac:dyDescent="0.2">
      <c r="A57" s="152">
        <v>30864</v>
      </c>
      <c r="B57" s="151">
        <v>7.0311840000000001E-9</v>
      </c>
    </row>
    <row r="58" spans="1:3" x14ac:dyDescent="0.2">
      <c r="A58" s="152">
        <v>30895</v>
      </c>
      <c r="B58" s="151">
        <v>7.6885439000000004E-9</v>
      </c>
    </row>
    <row r="59" spans="1:3" x14ac:dyDescent="0.2">
      <c r="A59" s="152">
        <v>30926</v>
      </c>
      <c r="B59" s="151">
        <v>8.5917990000000006E-9</v>
      </c>
    </row>
    <row r="60" spans="1:3" x14ac:dyDescent="0.2">
      <c r="A60" s="152">
        <v>30956</v>
      </c>
      <c r="B60" s="151">
        <v>9.4885419999999994E-9</v>
      </c>
    </row>
    <row r="61" spans="1:3" x14ac:dyDescent="0.2">
      <c r="A61" s="152">
        <v>30987</v>
      </c>
      <c r="B61" s="151">
        <v>1.0487340000000001E-8</v>
      </c>
    </row>
    <row r="62" spans="1:3" x14ac:dyDescent="0.2">
      <c r="A62" s="152">
        <v>31017</v>
      </c>
      <c r="B62" s="151">
        <v>1.1743429999999999E-8</v>
      </c>
    </row>
    <row r="63" spans="1:3" x14ac:dyDescent="0.2">
      <c r="A63" s="152">
        <v>31048</v>
      </c>
      <c r="B63" s="151">
        <v>1.3124369999999999E-8</v>
      </c>
    </row>
    <row r="64" spans="1:3" x14ac:dyDescent="0.2">
      <c r="A64" s="152">
        <v>31079</v>
      </c>
      <c r="B64" s="151">
        <v>1.455037E-8</v>
      </c>
    </row>
    <row r="65" spans="1:3" x14ac:dyDescent="0.2">
      <c r="A65" s="152">
        <v>31107</v>
      </c>
      <c r="B65" s="151">
        <v>1.6029020000000001E-8</v>
      </c>
    </row>
    <row r="66" spans="1:3" x14ac:dyDescent="0.2">
      <c r="A66" s="152">
        <v>31138</v>
      </c>
      <c r="B66" s="151">
        <v>1.7342649999999999E-8</v>
      </c>
      <c r="C66" s="151"/>
    </row>
    <row r="67" spans="1:3" x14ac:dyDescent="0.2">
      <c r="A67" s="152">
        <v>31168</v>
      </c>
      <c r="B67" s="151">
        <v>1.8590599999999999E-8</v>
      </c>
    </row>
    <row r="68" spans="1:3" x14ac:dyDescent="0.2">
      <c r="A68" s="152">
        <v>31199</v>
      </c>
      <c r="B68" s="151">
        <v>2.0169669999999999E-8</v>
      </c>
    </row>
    <row r="69" spans="1:3" x14ac:dyDescent="0.2">
      <c r="A69" s="152">
        <v>31229</v>
      </c>
      <c r="B69" s="151">
        <v>2.224977E-8</v>
      </c>
    </row>
    <row r="70" spans="1:3" x14ac:dyDescent="0.2">
      <c r="A70" s="152">
        <v>31260</v>
      </c>
      <c r="B70" s="151">
        <v>2.493077E-8</v>
      </c>
    </row>
    <row r="71" spans="1:3" x14ac:dyDescent="0.2">
      <c r="A71" s="152">
        <v>31291</v>
      </c>
      <c r="B71" s="151">
        <v>2.7702419899999999E-8</v>
      </c>
    </row>
    <row r="72" spans="1:3" x14ac:dyDescent="0.2">
      <c r="A72" s="152">
        <v>31321</v>
      </c>
      <c r="B72" s="151">
        <v>3.064344E-8</v>
      </c>
    </row>
    <row r="73" spans="1:3" x14ac:dyDescent="0.2">
      <c r="A73" s="152">
        <v>31352</v>
      </c>
      <c r="B73" s="151">
        <v>3.4925229999999997E-8</v>
      </c>
    </row>
    <row r="74" spans="1:3" x14ac:dyDescent="0.2">
      <c r="A74" s="152">
        <v>31382</v>
      </c>
      <c r="B74" s="151">
        <v>4.0189519999999997E-8</v>
      </c>
    </row>
    <row r="75" spans="1:3" x14ac:dyDescent="0.2">
      <c r="A75" s="152">
        <v>31413</v>
      </c>
      <c r="B75" s="151">
        <v>4.59657E-8</v>
      </c>
    </row>
    <row r="76" spans="1:3" x14ac:dyDescent="0.2">
      <c r="A76" s="152">
        <v>31444</v>
      </c>
      <c r="B76" s="151">
        <v>5.1810820000000002E-8</v>
      </c>
    </row>
    <row r="77" spans="1:3" x14ac:dyDescent="0.2">
      <c r="A77" s="152">
        <v>31472</v>
      </c>
      <c r="B77" s="151">
        <v>5.4282290000000002E-8</v>
      </c>
    </row>
    <row r="78" spans="1:3" x14ac:dyDescent="0.2">
      <c r="A78" s="152">
        <v>31503</v>
      </c>
      <c r="B78" s="151">
        <v>5.4705690000000001E-8</v>
      </c>
    </row>
    <row r="79" spans="1:3" x14ac:dyDescent="0.2">
      <c r="A79" s="152">
        <v>31533</v>
      </c>
      <c r="B79" s="151">
        <v>5.5471069999999997E-8</v>
      </c>
      <c r="C79" s="151"/>
    </row>
    <row r="80" spans="1:3" x14ac:dyDescent="0.2">
      <c r="A80" s="152">
        <v>31564</v>
      </c>
      <c r="B80" s="151">
        <v>5.617675E-8</v>
      </c>
    </row>
    <row r="81" spans="1:3" x14ac:dyDescent="0.2">
      <c r="A81" s="152">
        <v>31594</v>
      </c>
      <c r="B81" s="151">
        <v>5.7137539999999997E-8</v>
      </c>
    </row>
    <row r="82" spans="1:3" x14ac:dyDescent="0.2">
      <c r="A82" s="152">
        <v>31625</v>
      </c>
      <c r="B82" s="151">
        <v>5.9167699899999999E-8</v>
      </c>
    </row>
    <row r="83" spans="1:3" x14ac:dyDescent="0.2">
      <c r="A83" s="152">
        <v>31656</v>
      </c>
      <c r="B83" s="151">
        <v>6.018278E-8</v>
      </c>
    </row>
    <row r="84" spans="1:3" x14ac:dyDescent="0.2">
      <c r="A84" s="152">
        <v>31686</v>
      </c>
      <c r="B84" s="151">
        <v>6.132813E-8</v>
      </c>
    </row>
    <row r="85" spans="1:3" x14ac:dyDescent="0.2">
      <c r="A85" s="152">
        <v>31717</v>
      </c>
      <c r="B85" s="151">
        <v>6.4671919999999999E-8</v>
      </c>
    </row>
    <row r="86" spans="1:3" x14ac:dyDescent="0.2">
      <c r="A86" s="152">
        <v>31747</v>
      </c>
      <c r="B86" s="151">
        <v>7.2206299999999995E-8</v>
      </c>
    </row>
    <row r="87" spans="1:3" x14ac:dyDescent="0.2">
      <c r="A87" s="152">
        <v>31778</v>
      </c>
      <c r="B87" s="151">
        <v>8.1743699899999996E-8</v>
      </c>
    </row>
    <row r="88" spans="1:3" x14ac:dyDescent="0.2">
      <c r="A88" s="152">
        <v>31809</v>
      </c>
      <c r="B88" s="151">
        <v>9.2073630000000002E-8</v>
      </c>
    </row>
    <row r="89" spans="1:3" x14ac:dyDescent="0.2">
      <c r="A89" s="152">
        <v>31837</v>
      </c>
      <c r="B89" s="151">
        <v>1.071478E-7</v>
      </c>
    </row>
    <row r="90" spans="1:3" x14ac:dyDescent="0.2">
      <c r="A90" s="152">
        <v>31868</v>
      </c>
      <c r="B90" s="151">
        <v>1.276122E-7</v>
      </c>
    </row>
    <row r="91" spans="1:3" x14ac:dyDescent="0.2">
      <c r="A91" s="152">
        <v>31898</v>
      </c>
      <c r="B91" s="151">
        <v>1.549867999E-7</v>
      </c>
    </row>
    <row r="92" spans="1:3" x14ac:dyDescent="0.2">
      <c r="A92" s="152">
        <v>31929</v>
      </c>
      <c r="B92" s="151">
        <v>1.8553689989999999E-7</v>
      </c>
      <c r="C92" s="151"/>
    </row>
    <row r="93" spans="1:3" x14ac:dyDescent="0.2">
      <c r="A93" s="152">
        <v>31959</v>
      </c>
      <c r="B93" s="151">
        <v>2.0262489989999999E-7</v>
      </c>
    </row>
    <row r="94" spans="1:3" x14ac:dyDescent="0.2">
      <c r="A94" s="152">
        <v>31990</v>
      </c>
      <c r="B94" s="151">
        <v>2.1249350000000001E-7</v>
      </c>
    </row>
    <row r="95" spans="1:3" x14ac:dyDescent="0.2">
      <c r="A95" s="152">
        <v>32021</v>
      </c>
      <c r="B95" s="151">
        <v>2.2902779999999999E-7</v>
      </c>
    </row>
    <row r="96" spans="1:3" x14ac:dyDescent="0.2">
      <c r="A96" s="152">
        <v>32051</v>
      </c>
      <c r="B96" s="151">
        <v>2.5472510000000002E-7</v>
      </c>
    </row>
    <row r="97" spans="1:3" x14ac:dyDescent="0.2">
      <c r="A97" s="152">
        <v>32082</v>
      </c>
      <c r="B97" s="151">
        <v>2.9313519999999999E-7</v>
      </c>
    </row>
    <row r="98" spans="1:3" x14ac:dyDescent="0.2">
      <c r="A98" s="152">
        <v>32112</v>
      </c>
      <c r="B98" s="151">
        <v>3.3461229999999998E-7</v>
      </c>
    </row>
    <row r="99" spans="1:3" x14ac:dyDescent="0.2">
      <c r="A99" s="152">
        <v>32143</v>
      </c>
      <c r="B99" s="151">
        <v>3.9781859989999998E-7</v>
      </c>
    </row>
    <row r="100" spans="1:3" x14ac:dyDescent="0.2">
      <c r="A100" s="152">
        <v>32174</v>
      </c>
      <c r="B100" s="151">
        <v>4.602758E-7</v>
      </c>
    </row>
    <row r="101" spans="1:3" x14ac:dyDescent="0.2">
      <c r="A101" s="152">
        <v>32203</v>
      </c>
      <c r="B101" s="151">
        <v>5.4128669989999997E-7</v>
      </c>
    </row>
    <row r="102" spans="1:3" x14ac:dyDescent="0.2">
      <c r="A102" s="152">
        <v>32234</v>
      </c>
      <c r="B102" s="151">
        <v>6.4569880000000001E-7</v>
      </c>
    </row>
    <row r="103" spans="1:3" x14ac:dyDescent="0.2">
      <c r="A103" s="152">
        <v>32264</v>
      </c>
      <c r="B103" s="151">
        <v>7.5817709989999997E-7</v>
      </c>
    </row>
    <row r="104" spans="1:3" x14ac:dyDescent="0.2">
      <c r="A104" s="152">
        <v>32295</v>
      </c>
      <c r="B104" s="151">
        <v>9.2497569999999998E-7</v>
      </c>
    </row>
    <row r="105" spans="1:3" x14ac:dyDescent="0.2">
      <c r="A105" s="152">
        <v>32325</v>
      </c>
      <c r="B105" s="151">
        <v>1.127639E-6</v>
      </c>
      <c r="C105" s="151"/>
    </row>
    <row r="106" spans="1:3" x14ac:dyDescent="0.2">
      <c r="A106" s="152">
        <v>32356</v>
      </c>
      <c r="B106" s="151">
        <v>1.371095E-6</v>
      </c>
    </row>
    <row r="107" spans="1:3" x14ac:dyDescent="0.2">
      <c r="A107" s="152">
        <v>32387</v>
      </c>
      <c r="B107" s="151">
        <v>1.747461E-6</v>
      </c>
    </row>
    <row r="108" spans="1:3" x14ac:dyDescent="0.2">
      <c r="A108" s="152">
        <v>32417</v>
      </c>
      <c r="B108" s="151">
        <v>2.1951599999999999E-6</v>
      </c>
    </row>
    <row r="109" spans="1:3" x14ac:dyDescent="0.2">
      <c r="A109" s="152">
        <v>32448</v>
      </c>
      <c r="B109" s="151">
        <v>2.80849E-6</v>
      </c>
    </row>
    <row r="110" spans="1:3" x14ac:dyDescent="0.2">
      <c r="A110" s="152">
        <v>32478</v>
      </c>
      <c r="B110" s="151">
        <v>3.614527E-6</v>
      </c>
    </row>
    <row r="111" spans="1:3" x14ac:dyDescent="0.2">
      <c r="A111" s="152">
        <v>32509</v>
      </c>
      <c r="B111" s="151">
        <v>4.9696139999999998E-6</v>
      </c>
    </row>
    <row r="112" spans="1:3" x14ac:dyDescent="0.2">
      <c r="A112" s="152">
        <v>32540</v>
      </c>
      <c r="B112" s="151">
        <v>5.8035149999999998E-6</v>
      </c>
    </row>
    <row r="113" spans="1:3" x14ac:dyDescent="0.2">
      <c r="A113" s="152">
        <v>32568</v>
      </c>
      <c r="B113" s="151">
        <v>6.1993150000000003E-6</v>
      </c>
    </row>
    <row r="114" spans="1:3" x14ac:dyDescent="0.2">
      <c r="A114" s="152">
        <v>32599</v>
      </c>
      <c r="B114" s="151">
        <v>6.715718E-6</v>
      </c>
    </row>
    <row r="115" spans="1:3" x14ac:dyDescent="0.2">
      <c r="A115" s="152">
        <v>32629</v>
      </c>
      <c r="B115" s="151">
        <v>7.9191729999999998E-6</v>
      </c>
    </row>
    <row r="116" spans="1:3" x14ac:dyDescent="0.2">
      <c r="A116" s="152">
        <v>32660</v>
      </c>
      <c r="B116" s="151">
        <v>1.0188019999999999E-5</v>
      </c>
    </row>
    <row r="117" spans="1:3" x14ac:dyDescent="0.2">
      <c r="A117" s="152">
        <v>32690</v>
      </c>
      <c r="B117" s="151">
        <v>1.3014169999999999E-5</v>
      </c>
    </row>
    <row r="118" spans="1:3" x14ac:dyDescent="0.2">
      <c r="A118" s="152">
        <v>32721</v>
      </c>
      <c r="B118" s="151">
        <v>1.7401249999999999E-5</v>
      </c>
      <c r="C118" s="151"/>
    </row>
    <row r="119" spans="1:3" x14ac:dyDescent="0.2">
      <c r="A119" s="152">
        <v>32752</v>
      </c>
      <c r="B119" s="151">
        <v>2.3937149999999998E-5</v>
      </c>
    </row>
    <row r="120" spans="1:3" x14ac:dyDescent="0.2">
      <c r="A120" s="152">
        <v>32782</v>
      </c>
      <c r="B120" s="151">
        <v>3.3456959999999999E-5</v>
      </c>
    </row>
    <row r="121" spans="1:3" x14ac:dyDescent="0.2">
      <c r="A121" s="152">
        <v>32813</v>
      </c>
      <c r="B121" s="151">
        <v>4.9456080000000001E-5</v>
      </c>
    </row>
    <row r="122" spans="1:3" x14ac:dyDescent="0.2">
      <c r="A122" s="152">
        <v>32843</v>
      </c>
      <c r="B122" s="151">
        <v>7.49259599999E-5</v>
      </c>
    </row>
    <row r="123" spans="1:3" x14ac:dyDescent="0.2">
      <c r="A123" s="152">
        <v>32874</v>
      </c>
      <c r="B123" s="151">
        <v>1.255385E-4</v>
      </c>
    </row>
    <row r="124" spans="1:3" x14ac:dyDescent="0.2">
      <c r="A124" s="152">
        <v>32905</v>
      </c>
      <c r="B124" s="151">
        <v>2.2060869999989999E-4</v>
      </c>
    </row>
    <row r="125" spans="1:3" x14ac:dyDescent="0.2">
      <c r="A125" s="152">
        <v>32933</v>
      </c>
      <c r="B125" s="151">
        <v>4.0236820000000002E-4</v>
      </c>
    </row>
    <row r="126" spans="1:3" x14ac:dyDescent="0.2">
      <c r="A126" s="152">
        <v>32964</v>
      </c>
      <c r="B126" s="151">
        <v>4.6481579999999999E-4</v>
      </c>
    </row>
    <row r="127" spans="1:3" x14ac:dyDescent="0.2">
      <c r="A127" s="152">
        <v>32994</v>
      </c>
      <c r="B127" s="151">
        <v>5.0009529999999998E-4</v>
      </c>
    </row>
    <row r="128" spans="1:3" x14ac:dyDescent="0.2">
      <c r="A128" s="152">
        <v>33025</v>
      </c>
      <c r="B128" s="151">
        <v>5.588565E-4</v>
      </c>
    </row>
    <row r="129" spans="1:3" x14ac:dyDescent="0.2">
      <c r="A129" s="152">
        <v>33055</v>
      </c>
      <c r="B129" s="151">
        <v>6.3106070000000004E-4</v>
      </c>
    </row>
    <row r="130" spans="1:3" x14ac:dyDescent="0.2">
      <c r="A130" s="152">
        <v>33086</v>
      </c>
      <c r="B130" s="151">
        <v>7.1234140000000004E-4</v>
      </c>
    </row>
    <row r="131" spans="1:3" x14ac:dyDescent="0.2">
      <c r="A131" s="152">
        <v>33117</v>
      </c>
      <c r="B131" s="151">
        <v>8.1498979999999996E-4</v>
      </c>
      <c r="C131" s="151"/>
    </row>
    <row r="132" spans="1:3" x14ac:dyDescent="0.2">
      <c r="A132" s="152">
        <v>33147</v>
      </c>
      <c r="B132" s="151">
        <v>9.3202230000000001E-4</v>
      </c>
    </row>
    <row r="133" spans="1:3" x14ac:dyDescent="0.2">
      <c r="A133" s="152">
        <v>33178</v>
      </c>
      <c r="B133" s="151">
        <v>1.088695E-3</v>
      </c>
    </row>
    <row r="134" spans="1:3" x14ac:dyDescent="0.2">
      <c r="A134" s="152">
        <v>33208</v>
      </c>
      <c r="B134" s="151">
        <v>1.2894510000000001E-3</v>
      </c>
    </row>
    <row r="135" spans="1:3" x14ac:dyDescent="0.2">
      <c r="A135" s="152">
        <v>33239</v>
      </c>
      <c r="B135" s="151">
        <v>1.557012E-3</v>
      </c>
    </row>
    <row r="136" spans="1:3" x14ac:dyDescent="0.2">
      <c r="A136" s="152">
        <v>33270</v>
      </c>
      <c r="B136" s="151">
        <v>1.879632E-3</v>
      </c>
    </row>
    <row r="137" spans="1:3" x14ac:dyDescent="0.2">
      <c r="A137" s="152">
        <v>33298</v>
      </c>
      <c r="B137" s="151">
        <v>2.1037389999999999E-3</v>
      </c>
    </row>
    <row r="138" spans="1:3" x14ac:dyDescent="0.2">
      <c r="A138" s="152">
        <v>33329</v>
      </c>
      <c r="B138" s="151">
        <v>2.2087000000000001E-3</v>
      </c>
    </row>
    <row r="139" spans="1:3" x14ac:dyDescent="0.2">
      <c r="A139" s="152">
        <v>33359</v>
      </c>
      <c r="B139" s="151">
        <v>2.372847E-3</v>
      </c>
    </row>
    <row r="140" spans="1:3" x14ac:dyDescent="0.2">
      <c r="A140" s="152">
        <v>33390</v>
      </c>
      <c r="B140" s="151">
        <v>2.6383449999999998E-3</v>
      </c>
    </row>
    <row r="141" spans="1:3" x14ac:dyDescent="0.2">
      <c r="A141" s="152">
        <v>33420</v>
      </c>
      <c r="B141" s="151">
        <v>2.9657359999998999E-3</v>
      </c>
    </row>
    <row r="142" spans="1:3" x14ac:dyDescent="0.2">
      <c r="A142" s="152">
        <v>33451</v>
      </c>
      <c r="B142" s="151">
        <v>3.4292939999999998E-3</v>
      </c>
    </row>
    <row r="143" spans="1:3" x14ac:dyDescent="0.2">
      <c r="A143" s="152">
        <v>33482</v>
      </c>
      <c r="B143" s="151">
        <v>3.9653190000000001E-3</v>
      </c>
    </row>
    <row r="144" spans="1:3" x14ac:dyDescent="0.2">
      <c r="A144" s="152">
        <v>33512</v>
      </c>
      <c r="B144" s="151">
        <v>4.7674859999999996E-3</v>
      </c>
      <c r="C144" s="151"/>
    </row>
    <row r="145" spans="1:3" x14ac:dyDescent="0.2">
      <c r="A145" s="152">
        <v>33543</v>
      </c>
      <c r="B145" s="151">
        <v>5.969383E-3</v>
      </c>
    </row>
    <row r="146" spans="1:3" x14ac:dyDescent="0.2">
      <c r="A146" s="152">
        <v>33573</v>
      </c>
      <c r="B146" s="151">
        <v>7.3846839999999999E-3</v>
      </c>
    </row>
    <row r="147" spans="1:3" x14ac:dyDescent="0.2">
      <c r="A147" s="152">
        <v>33604</v>
      </c>
      <c r="B147" s="151">
        <v>9.3002919999999999E-3</v>
      </c>
    </row>
    <row r="148" spans="1:3" x14ac:dyDescent="0.2">
      <c r="A148" s="152">
        <v>33635</v>
      </c>
      <c r="B148" s="151">
        <v>1.156212E-2</v>
      </c>
    </row>
    <row r="149" spans="1:3" x14ac:dyDescent="0.2">
      <c r="A149" s="152">
        <v>33664</v>
      </c>
      <c r="B149" s="151">
        <v>1.4036440000000001E-2</v>
      </c>
    </row>
    <row r="150" spans="1:3" x14ac:dyDescent="0.2">
      <c r="A150" s="152">
        <v>33695</v>
      </c>
      <c r="B150" s="151">
        <v>1.6833910000000001E-2</v>
      </c>
    </row>
    <row r="151" spans="1:3" x14ac:dyDescent="0.2">
      <c r="A151" s="152">
        <v>33725</v>
      </c>
      <c r="B151" s="151">
        <v>2.1018820000000001E-2</v>
      </c>
    </row>
    <row r="152" spans="1:3" x14ac:dyDescent="0.2">
      <c r="A152" s="152">
        <v>33756</v>
      </c>
      <c r="B152" s="151">
        <v>2.5266790000000001E-2</v>
      </c>
    </row>
    <row r="153" spans="1:3" x14ac:dyDescent="0.2">
      <c r="A153" s="152">
        <v>33786</v>
      </c>
      <c r="B153" s="151">
        <v>3.0782540000000001E-2</v>
      </c>
    </row>
    <row r="154" spans="1:3" x14ac:dyDescent="0.2">
      <c r="A154" s="152">
        <v>33817</v>
      </c>
      <c r="B154" s="151">
        <v>3.7597800000000001E-2</v>
      </c>
    </row>
    <row r="155" spans="1:3" x14ac:dyDescent="0.2">
      <c r="A155" s="152">
        <v>33848</v>
      </c>
      <c r="B155" s="151">
        <v>4.6858120000000003E-2</v>
      </c>
    </row>
    <row r="156" spans="1:3" x14ac:dyDescent="0.2">
      <c r="A156" s="152">
        <v>33878</v>
      </c>
      <c r="B156" s="151">
        <v>5.8685090000000002E-2</v>
      </c>
    </row>
    <row r="157" spans="1:3" x14ac:dyDescent="0.2">
      <c r="A157" s="152">
        <v>33909</v>
      </c>
      <c r="B157" s="151">
        <v>7.18834E-2</v>
      </c>
      <c r="C157" s="151"/>
    </row>
    <row r="158" spans="1:3" x14ac:dyDescent="0.2">
      <c r="A158" s="152">
        <v>33939</v>
      </c>
      <c r="B158" s="151">
        <v>9.0026739999999994E-2</v>
      </c>
    </row>
    <row r="159" spans="1:3" x14ac:dyDescent="0.2">
      <c r="A159" s="152">
        <v>33970</v>
      </c>
      <c r="B159" s="151">
        <v>0.1173498</v>
      </c>
    </row>
    <row r="160" spans="1:3" x14ac:dyDescent="0.2">
      <c r="A160" s="152">
        <v>34001</v>
      </c>
      <c r="B160" s="151">
        <v>0.1466637999999999</v>
      </c>
    </row>
    <row r="161" spans="1:3" x14ac:dyDescent="0.2">
      <c r="A161" s="152">
        <v>34029</v>
      </c>
      <c r="B161" s="151">
        <v>0.18664439999999999</v>
      </c>
    </row>
    <row r="162" spans="1:3" x14ac:dyDescent="0.2">
      <c r="A162" s="152">
        <v>34060</v>
      </c>
      <c r="B162" s="151">
        <v>0.23843809999999999</v>
      </c>
    </row>
    <row r="163" spans="1:3" x14ac:dyDescent="0.2">
      <c r="A163" s="152">
        <v>34090</v>
      </c>
      <c r="B163" s="151">
        <v>0.3044616</v>
      </c>
    </row>
    <row r="164" spans="1:3" x14ac:dyDescent="0.2">
      <c r="A164" s="152">
        <v>34121</v>
      </c>
      <c r="B164" s="151">
        <v>0.3960132999999999</v>
      </c>
    </row>
    <row r="165" spans="1:3" x14ac:dyDescent="0.2">
      <c r="A165" s="152">
        <v>34151</v>
      </c>
      <c r="B165" s="151">
        <v>0.51766850000000009</v>
      </c>
    </row>
    <row r="166" spans="1:3" x14ac:dyDescent="0.2">
      <c r="A166" s="152">
        <v>34182</v>
      </c>
      <c r="B166" s="151">
        <v>0.68829209999999996</v>
      </c>
    </row>
    <row r="167" spans="1:3" x14ac:dyDescent="0.2">
      <c r="A167" s="152">
        <v>34213</v>
      </c>
      <c r="B167" s="151">
        <v>0.93394359999999998</v>
      </c>
    </row>
    <row r="168" spans="1:3" x14ac:dyDescent="0.2">
      <c r="A168" s="152">
        <v>34243</v>
      </c>
      <c r="B168" s="151">
        <v>1.250737</v>
      </c>
    </row>
    <row r="169" spans="1:3" x14ac:dyDescent="0.2">
      <c r="A169" s="152">
        <v>34274</v>
      </c>
      <c r="B169" s="151">
        <v>1.6954990000000001</v>
      </c>
    </row>
    <row r="170" spans="1:3" x14ac:dyDescent="0.2">
      <c r="A170" s="152">
        <v>34304</v>
      </c>
      <c r="B170" s="151">
        <v>2.320122</v>
      </c>
      <c r="C170" s="151"/>
    </row>
    <row r="171" spans="1:3" x14ac:dyDescent="0.2">
      <c r="A171" s="152">
        <v>34335</v>
      </c>
      <c r="B171" s="151">
        <v>3.2785639999999998</v>
      </c>
    </row>
    <row r="172" spans="1:3" x14ac:dyDescent="0.2">
      <c r="A172" s="152">
        <v>34366</v>
      </c>
      <c r="B172" s="151">
        <v>4.5989449999999996</v>
      </c>
    </row>
    <row r="173" spans="1:3" x14ac:dyDescent="0.2">
      <c r="A173" s="152">
        <v>34394</v>
      </c>
      <c r="B173" s="151">
        <v>6.565016</v>
      </c>
    </row>
    <row r="174" spans="1:3" x14ac:dyDescent="0.2">
      <c r="A174" s="152">
        <v>34425</v>
      </c>
      <c r="B174" s="151">
        <v>9.3670259999999992</v>
      </c>
    </row>
    <row r="175" spans="1:3" x14ac:dyDescent="0.2">
      <c r="A175" s="152">
        <v>34455</v>
      </c>
      <c r="B175" s="151">
        <v>13.49127</v>
      </c>
    </row>
    <row r="176" spans="1:3" x14ac:dyDescent="0.2">
      <c r="A176" s="152">
        <v>34486</v>
      </c>
      <c r="B176" s="151">
        <v>19.890170000000001</v>
      </c>
    </row>
    <row r="177" spans="1:3" x14ac:dyDescent="0.2">
      <c r="A177" s="152">
        <v>34516</v>
      </c>
      <c r="B177" s="151">
        <v>21.250689999999999</v>
      </c>
    </row>
    <row r="178" spans="1:3" x14ac:dyDescent="0.2">
      <c r="A178" s="152">
        <v>34547</v>
      </c>
      <c r="B178" s="151">
        <v>21.646039999999999</v>
      </c>
    </row>
    <row r="179" spans="1:3" x14ac:dyDescent="0.2">
      <c r="A179" s="152">
        <v>34578</v>
      </c>
      <c r="B179" s="151">
        <v>21.977119999999999</v>
      </c>
    </row>
    <row r="180" spans="1:3" x14ac:dyDescent="0.2">
      <c r="A180" s="152">
        <v>34608</v>
      </c>
      <c r="B180" s="151">
        <v>22.552969999999998</v>
      </c>
    </row>
    <row r="181" spans="1:3" x14ac:dyDescent="0.2">
      <c r="A181" s="152">
        <v>34639</v>
      </c>
      <c r="B181" s="151">
        <v>23.186599999999999</v>
      </c>
    </row>
    <row r="182" spans="1:3" x14ac:dyDescent="0.2">
      <c r="A182" s="152">
        <v>34669</v>
      </c>
      <c r="B182" s="151">
        <v>23.583110000000001</v>
      </c>
    </row>
    <row r="183" spans="1:3" x14ac:dyDescent="0.2">
      <c r="A183" s="152">
        <v>34700</v>
      </c>
      <c r="B183" s="151">
        <v>23.984020000000001</v>
      </c>
      <c r="C183" s="151"/>
    </row>
    <row r="184" spans="1:3" x14ac:dyDescent="0.2">
      <c r="A184" s="152">
        <v>34731</v>
      </c>
      <c r="B184" s="151">
        <v>24.228570000000001</v>
      </c>
    </row>
    <row r="185" spans="1:3" x14ac:dyDescent="0.2">
      <c r="A185" s="152">
        <v>34759</v>
      </c>
      <c r="B185" s="151">
        <v>24.604189999999999</v>
      </c>
    </row>
    <row r="186" spans="1:3" x14ac:dyDescent="0.2">
      <c r="A186" s="152">
        <v>34790</v>
      </c>
      <c r="B186" s="151">
        <v>25.202089999999998</v>
      </c>
    </row>
    <row r="187" spans="1:3" x14ac:dyDescent="0.2">
      <c r="A187" s="152">
        <v>34820</v>
      </c>
      <c r="B187" s="151">
        <v>25.874919999999999</v>
      </c>
    </row>
    <row r="188" spans="1:3" x14ac:dyDescent="0.2">
      <c r="A188" s="152">
        <v>34851</v>
      </c>
      <c r="B188" s="151">
        <v>26.459589999999999</v>
      </c>
    </row>
    <row r="189" spans="1:3" x14ac:dyDescent="0.2">
      <c r="A189" s="152">
        <v>34881</v>
      </c>
      <c r="B189" s="151">
        <v>27.083939999999998</v>
      </c>
    </row>
    <row r="190" spans="1:3" x14ac:dyDescent="0.2">
      <c r="A190" s="152">
        <v>34912</v>
      </c>
      <c r="B190" s="151">
        <v>27.352139999999999</v>
      </c>
    </row>
    <row r="191" spans="1:3" x14ac:dyDescent="0.2">
      <c r="A191" s="152">
        <v>34943</v>
      </c>
      <c r="B191" s="151">
        <v>27.622900000000001</v>
      </c>
    </row>
    <row r="192" spans="1:3" x14ac:dyDescent="0.2">
      <c r="A192" s="152">
        <v>34973</v>
      </c>
      <c r="B192" s="151">
        <v>28.012450000000001</v>
      </c>
    </row>
    <row r="193" spans="1:3" x14ac:dyDescent="0.2">
      <c r="A193" s="152">
        <v>35004</v>
      </c>
      <c r="B193" s="151">
        <v>28.42427</v>
      </c>
    </row>
    <row r="194" spans="1:3" x14ac:dyDescent="0.2">
      <c r="A194" s="152">
        <v>35034</v>
      </c>
      <c r="B194" s="151">
        <v>28.867650000000001</v>
      </c>
    </row>
    <row r="195" spans="1:3" x14ac:dyDescent="0.2">
      <c r="A195" s="152">
        <v>35065</v>
      </c>
      <c r="B195" s="151">
        <v>29.25441</v>
      </c>
    </row>
    <row r="196" spans="1:3" x14ac:dyDescent="0.2">
      <c r="A196" s="152">
        <v>35096</v>
      </c>
      <c r="B196" s="151">
        <v>29.555800000000001</v>
      </c>
      <c r="C196" s="151"/>
    </row>
    <row r="197" spans="1:3" x14ac:dyDescent="0.2">
      <c r="A197" s="152">
        <v>35125</v>
      </c>
      <c r="B197" s="151">
        <v>29.659269999999999</v>
      </c>
    </row>
    <row r="198" spans="1:3" x14ac:dyDescent="0.2">
      <c r="A198" s="152">
        <v>35156</v>
      </c>
      <c r="B198" s="151">
        <v>30.03304</v>
      </c>
    </row>
    <row r="199" spans="1:3" x14ac:dyDescent="0.2">
      <c r="A199" s="152">
        <v>35186</v>
      </c>
      <c r="B199" s="151">
        <v>30.39939</v>
      </c>
    </row>
    <row r="200" spans="1:3" x14ac:dyDescent="0.2">
      <c r="A200" s="152">
        <v>35217</v>
      </c>
      <c r="B200" s="151">
        <v>30.761099999999999</v>
      </c>
    </row>
    <row r="201" spans="1:3" x14ac:dyDescent="0.2">
      <c r="A201" s="152">
        <v>35247</v>
      </c>
      <c r="B201" s="151">
        <v>31.102620000000002</v>
      </c>
    </row>
    <row r="202" spans="1:3" x14ac:dyDescent="0.2">
      <c r="A202" s="152">
        <v>35278</v>
      </c>
      <c r="B202" s="151">
        <v>31.239509999999999</v>
      </c>
    </row>
    <row r="203" spans="1:3" x14ac:dyDescent="0.2">
      <c r="A203" s="152">
        <v>35309</v>
      </c>
      <c r="B203" s="151">
        <v>31.286370000000002</v>
      </c>
    </row>
    <row r="204" spans="1:3" x14ac:dyDescent="0.2">
      <c r="A204" s="152">
        <v>35339</v>
      </c>
      <c r="B204" s="151">
        <v>31.38034</v>
      </c>
    </row>
    <row r="205" spans="1:3" x14ac:dyDescent="0.2">
      <c r="A205" s="152">
        <v>35370</v>
      </c>
      <c r="B205" s="151">
        <v>31.480799999999999</v>
      </c>
    </row>
    <row r="206" spans="1:3" x14ac:dyDescent="0.2">
      <c r="A206" s="152">
        <v>35400</v>
      </c>
      <c r="B206" s="151">
        <v>31.628820000000001</v>
      </c>
    </row>
    <row r="207" spans="1:3" x14ac:dyDescent="0.2">
      <c r="A207" s="152">
        <v>35431</v>
      </c>
      <c r="B207" s="151">
        <v>32.002130000000001</v>
      </c>
    </row>
    <row r="208" spans="1:3" x14ac:dyDescent="0.2">
      <c r="A208" s="152">
        <v>35462</v>
      </c>
      <c r="B208" s="151">
        <v>32.162219999999998</v>
      </c>
    </row>
    <row r="209" spans="1:3" x14ac:dyDescent="0.2">
      <c r="A209" s="152">
        <v>35490</v>
      </c>
      <c r="B209" s="151">
        <v>32.326250000000002</v>
      </c>
      <c r="C209" s="151"/>
    </row>
    <row r="210" spans="1:3" x14ac:dyDescent="0.2">
      <c r="A210" s="152">
        <v>35521</v>
      </c>
      <c r="B210" s="151">
        <v>32.610700000000001</v>
      </c>
    </row>
    <row r="211" spans="1:3" x14ac:dyDescent="0.2">
      <c r="A211" s="152">
        <v>35551</v>
      </c>
      <c r="B211" s="151">
        <v>32.744340000000001</v>
      </c>
    </row>
    <row r="212" spans="1:3" x14ac:dyDescent="0.2">
      <c r="A212" s="152">
        <v>35582</v>
      </c>
      <c r="B212" s="151">
        <v>32.921129999999998</v>
      </c>
    </row>
    <row r="213" spans="1:3" x14ac:dyDescent="0.2">
      <c r="A213" s="152">
        <v>35612</v>
      </c>
      <c r="B213" s="151">
        <v>32.993519999999997</v>
      </c>
    </row>
    <row r="214" spans="1:3" x14ac:dyDescent="0.2">
      <c r="A214" s="152">
        <v>35643</v>
      </c>
      <c r="B214" s="151">
        <v>32.987020000000001</v>
      </c>
    </row>
    <row r="215" spans="1:3" x14ac:dyDescent="0.2">
      <c r="A215" s="152">
        <v>35674</v>
      </c>
      <c r="B215" s="151">
        <v>33.006740000000001</v>
      </c>
    </row>
    <row r="216" spans="1:3" x14ac:dyDescent="0.2">
      <c r="A216" s="152">
        <v>35704</v>
      </c>
      <c r="B216" s="151">
        <v>33.082610000000003</v>
      </c>
    </row>
    <row r="217" spans="1:3" x14ac:dyDescent="0.2">
      <c r="A217" s="152">
        <v>35735</v>
      </c>
      <c r="B217" s="151">
        <v>33.138759999999998</v>
      </c>
    </row>
    <row r="218" spans="1:3" x14ac:dyDescent="0.2">
      <c r="A218" s="152">
        <v>35765</v>
      </c>
      <c r="B218" s="151">
        <v>33.281219999999998</v>
      </c>
    </row>
    <row r="219" spans="1:3" x14ac:dyDescent="0.2">
      <c r="A219" s="152">
        <v>35796</v>
      </c>
      <c r="B219" s="151">
        <v>33.517400000000002</v>
      </c>
    </row>
    <row r="220" spans="1:3" x14ac:dyDescent="0.2">
      <c r="A220" s="152">
        <v>35827</v>
      </c>
      <c r="B220" s="151">
        <v>33.671690000000012</v>
      </c>
    </row>
    <row r="221" spans="1:3" x14ac:dyDescent="0.2">
      <c r="A221" s="152">
        <v>35855</v>
      </c>
      <c r="B221" s="151">
        <v>33.786070000000002</v>
      </c>
    </row>
    <row r="222" spans="1:3" x14ac:dyDescent="0.2">
      <c r="A222" s="152">
        <v>35886</v>
      </c>
      <c r="B222" s="151">
        <v>33.867049999999999</v>
      </c>
      <c r="C222" s="151"/>
    </row>
    <row r="223" spans="1:3" x14ac:dyDescent="0.2">
      <c r="A223" s="152">
        <v>35916</v>
      </c>
      <c r="B223" s="151">
        <v>34.03642</v>
      </c>
    </row>
    <row r="224" spans="1:3" x14ac:dyDescent="0.2">
      <c r="A224" s="152">
        <v>35947</v>
      </c>
      <c r="B224" s="151">
        <v>34.043140000000001</v>
      </c>
    </row>
    <row r="225" spans="1:3" x14ac:dyDescent="0.2">
      <c r="A225" s="152">
        <v>35977</v>
      </c>
      <c r="B225" s="151">
        <v>34.002309999999987</v>
      </c>
    </row>
    <row r="226" spans="1:3" x14ac:dyDescent="0.2">
      <c r="A226" s="152">
        <v>36008</v>
      </c>
      <c r="B226" s="151">
        <v>33.828989999999997</v>
      </c>
    </row>
    <row r="227" spans="1:3" x14ac:dyDescent="0.2">
      <c r="A227" s="152">
        <v>36039</v>
      </c>
      <c r="B227" s="151">
        <v>33.754519999999999</v>
      </c>
    </row>
    <row r="228" spans="1:3" x14ac:dyDescent="0.2">
      <c r="A228" s="152">
        <v>36069</v>
      </c>
      <c r="B228" s="151">
        <v>33.761249999999997</v>
      </c>
    </row>
    <row r="229" spans="1:3" x14ac:dyDescent="0.2">
      <c r="A229" s="152">
        <v>36100</v>
      </c>
      <c r="B229" s="151">
        <v>33.720649999999999</v>
      </c>
    </row>
    <row r="230" spans="1:3" x14ac:dyDescent="0.2">
      <c r="A230" s="152">
        <v>36130</v>
      </c>
      <c r="B230" s="151">
        <v>33.832009999999997</v>
      </c>
    </row>
    <row r="231" spans="1:3" x14ac:dyDescent="0.2">
      <c r="A231" s="152">
        <v>36161</v>
      </c>
      <c r="B231" s="151">
        <v>34.068899999999999</v>
      </c>
    </row>
    <row r="232" spans="1:3" x14ac:dyDescent="0.2">
      <c r="A232" s="152">
        <v>36192</v>
      </c>
      <c r="B232" s="151">
        <v>34.426659999999998</v>
      </c>
    </row>
    <row r="233" spans="1:3" x14ac:dyDescent="0.2">
      <c r="A233" s="152">
        <v>36220</v>
      </c>
      <c r="B233" s="151">
        <v>34.805300000000003</v>
      </c>
    </row>
    <row r="234" spans="1:3" x14ac:dyDescent="0.2">
      <c r="A234" s="152">
        <v>36251</v>
      </c>
      <c r="B234" s="151">
        <v>35.000190000000003</v>
      </c>
    </row>
    <row r="235" spans="1:3" x14ac:dyDescent="0.2">
      <c r="A235" s="152">
        <v>36281</v>
      </c>
      <c r="B235" s="151">
        <v>35.105289999999997</v>
      </c>
      <c r="C235" s="151"/>
    </row>
    <row r="236" spans="1:3" x14ac:dyDescent="0.2">
      <c r="A236" s="152">
        <v>36312</v>
      </c>
      <c r="B236" s="151">
        <v>35.171880000000002</v>
      </c>
    </row>
    <row r="237" spans="1:3" x14ac:dyDescent="0.2">
      <c r="A237" s="152">
        <v>36342</v>
      </c>
      <c r="B237" s="151">
        <v>35.555160000000001</v>
      </c>
    </row>
    <row r="238" spans="1:3" x14ac:dyDescent="0.2">
      <c r="A238" s="152">
        <v>36373</v>
      </c>
      <c r="B238" s="151">
        <v>35.75423</v>
      </c>
    </row>
    <row r="239" spans="1:3" x14ac:dyDescent="0.2">
      <c r="A239" s="152">
        <v>36404</v>
      </c>
      <c r="B239" s="151">
        <v>35.865139999999997</v>
      </c>
    </row>
    <row r="240" spans="1:3" x14ac:dyDescent="0.2">
      <c r="A240" s="152">
        <v>36434</v>
      </c>
      <c r="B240" s="151">
        <v>36.292029999999997</v>
      </c>
    </row>
    <row r="241" spans="1:3" x14ac:dyDescent="0.2">
      <c r="A241" s="152">
        <v>36465</v>
      </c>
      <c r="B241" s="151">
        <v>36.636809999999997</v>
      </c>
    </row>
    <row r="242" spans="1:3" x14ac:dyDescent="0.2">
      <c r="A242" s="152">
        <v>36495</v>
      </c>
      <c r="B242" s="151">
        <v>36.856520000000003</v>
      </c>
    </row>
    <row r="243" spans="1:3" x14ac:dyDescent="0.2">
      <c r="A243" s="152">
        <v>36526</v>
      </c>
      <c r="B243" s="151">
        <v>37.085050000000003</v>
      </c>
    </row>
    <row r="244" spans="1:3" x14ac:dyDescent="0.2">
      <c r="A244" s="152">
        <v>36557</v>
      </c>
      <c r="B244" s="151">
        <v>37.133309999999987</v>
      </c>
    </row>
    <row r="245" spans="1:3" x14ac:dyDescent="0.2">
      <c r="A245" s="152">
        <v>36586</v>
      </c>
      <c r="B245" s="151">
        <v>37.214979999999997</v>
      </c>
    </row>
    <row r="246" spans="1:3" x14ac:dyDescent="0.2">
      <c r="A246" s="152">
        <v>36617</v>
      </c>
      <c r="B246" s="151">
        <v>37.371360000000003</v>
      </c>
    </row>
    <row r="247" spans="1:3" x14ac:dyDescent="0.2">
      <c r="A247" s="152">
        <v>36647</v>
      </c>
      <c r="B247" s="151">
        <v>37.375070000000001</v>
      </c>
    </row>
    <row r="248" spans="1:3" x14ac:dyDescent="0.2">
      <c r="A248" s="152">
        <v>36678</v>
      </c>
      <c r="B248" s="151">
        <v>37.46114</v>
      </c>
      <c r="C248" s="151"/>
    </row>
    <row r="249" spans="1:3" x14ac:dyDescent="0.2">
      <c r="A249" s="152">
        <v>36708</v>
      </c>
      <c r="B249" s="151">
        <v>38.06438</v>
      </c>
    </row>
    <row r="250" spans="1:3" x14ac:dyDescent="0.2">
      <c r="A250" s="152">
        <v>36739</v>
      </c>
      <c r="B250" s="151">
        <v>38.56297</v>
      </c>
    </row>
    <row r="251" spans="1:3" x14ac:dyDescent="0.2">
      <c r="A251" s="152">
        <v>36770</v>
      </c>
      <c r="B251" s="151">
        <v>38.651600000000002</v>
      </c>
    </row>
    <row r="252" spans="1:3" x14ac:dyDescent="0.2">
      <c r="A252" s="152">
        <v>36800</v>
      </c>
      <c r="B252" s="151">
        <v>38.705659999999988</v>
      </c>
    </row>
    <row r="253" spans="1:3" x14ac:dyDescent="0.2">
      <c r="A253" s="152">
        <v>36831</v>
      </c>
      <c r="B253" s="151">
        <v>38.829549999999998</v>
      </c>
    </row>
    <row r="254" spans="1:3" x14ac:dyDescent="0.2">
      <c r="A254" s="152">
        <v>36861</v>
      </c>
      <c r="B254" s="151">
        <v>39.058549999999997</v>
      </c>
    </row>
    <row r="255" spans="1:3" x14ac:dyDescent="0.2">
      <c r="A255" s="152">
        <v>36892</v>
      </c>
      <c r="B255" s="151">
        <v>39.281280000000002</v>
      </c>
    </row>
    <row r="256" spans="1:3" x14ac:dyDescent="0.2">
      <c r="A256" s="152">
        <v>36923</v>
      </c>
      <c r="B256" s="151">
        <v>39.462020000000003</v>
      </c>
    </row>
    <row r="257" spans="1:3" x14ac:dyDescent="0.2">
      <c r="A257" s="152">
        <v>36951</v>
      </c>
      <c r="B257" s="151">
        <v>39.611899999999999</v>
      </c>
    </row>
    <row r="258" spans="1:3" x14ac:dyDescent="0.2">
      <c r="A258" s="152">
        <v>36982</v>
      </c>
      <c r="B258" s="151">
        <v>39.841589999999997</v>
      </c>
    </row>
    <row r="259" spans="1:3" x14ac:dyDescent="0.2">
      <c r="A259" s="152">
        <v>37012</v>
      </c>
      <c r="B259" s="151">
        <v>40.004919999999998</v>
      </c>
    </row>
    <row r="260" spans="1:3" x14ac:dyDescent="0.2">
      <c r="A260" s="152">
        <v>37043</v>
      </c>
      <c r="B260" s="151">
        <v>40.213039999999999</v>
      </c>
    </row>
    <row r="261" spans="1:3" x14ac:dyDescent="0.2">
      <c r="A261" s="152">
        <v>37073</v>
      </c>
      <c r="B261" s="151">
        <v>40.74783</v>
      </c>
      <c r="C261" s="151"/>
    </row>
    <row r="262" spans="1:3" x14ac:dyDescent="0.2">
      <c r="A262" s="152">
        <v>37104</v>
      </c>
      <c r="B262" s="151">
        <v>41.032969999999999</v>
      </c>
    </row>
    <row r="263" spans="1:3" x14ac:dyDescent="0.2">
      <c r="A263" s="152">
        <v>37135</v>
      </c>
      <c r="B263" s="151">
        <v>41.147820000000003</v>
      </c>
    </row>
    <row r="264" spans="1:3" x14ac:dyDescent="0.2">
      <c r="A264" s="152">
        <v>37165</v>
      </c>
      <c r="B264" s="151">
        <v>41.489340000000013</v>
      </c>
    </row>
    <row r="265" spans="1:3" x14ac:dyDescent="0.2">
      <c r="A265" s="152">
        <v>37196</v>
      </c>
      <c r="B265" s="151">
        <v>41.783999999999999</v>
      </c>
    </row>
    <row r="266" spans="1:3" x14ac:dyDescent="0.2">
      <c r="A266" s="152">
        <v>37226</v>
      </c>
      <c r="B266" s="151">
        <v>42.055680000000002</v>
      </c>
    </row>
    <row r="267" spans="1:3" x14ac:dyDescent="0.2">
      <c r="A267" s="152">
        <v>37257</v>
      </c>
      <c r="B267" s="151">
        <v>42.274470000000001</v>
      </c>
    </row>
    <row r="268" spans="1:3" x14ac:dyDescent="0.2">
      <c r="A268" s="152">
        <v>37288</v>
      </c>
      <c r="B268" s="151">
        <v>42.426670000000001</v>
      </c>
    </row>
    <row r="269" spans="1:3" x14ac:dyDescent="0.2">
      <c r="A269" s="152">
        <v>37316</v>
      </c>
      <c r="B269" s="151">
        <v>42.681190000000001</v>
      </c>
    </row>
    <row r="270" spans="1:3" x14ac:dyDescent="0.2">
      <c r="A270" s="152">
        <v>37347</v>
      </c>
      <c r="B270" s="151">
        <v>43.022709999999996</v>
      </c>
    </row>
    <row r="271" spans="1:3" x14ac:dyDescent="0.2">
      <c r="A271" s="152">
        <v>37377</v>
      </c>
      <c r="B271" s="151">
        <v>43.112960000000001</v>
      </c>
    </row>
    <row r="272" spans="1:3" x14ac:dyDescent="0.2">
      <c r="A272" s="152">
        <v>37408</v>
      </c>
      <c r="B272" s="151">
        <v>43.293930000000003</v>
      </c>
    </row>
    <row r="273" spans="1:3" x14ac:dyDescent="0.2">
      <c r="A273" s="152">
        <v>37438</v>
      </c>
      <c r="B273" s="151">
        <v>43.809229999999999</v>
      </c>
    </row>
    <row r="274" spans="1:3" x14ac:dyDescent="0.2">
      <c r="A274" s="152">
        <v>37469</v>
      </c>
      <c r="B274" s="151">
        <v>44.093910000000001</v>
      </c>
      <c r="C274" s="151"/>
    </row>
    <row r="275" spans="1:3" x14ac:dyDescent="0.2">
      <c r="A275" s="152">
        <v>37500</v>
      </c>
      <c r="B275" s="151">
        <v>44.411299999999997</v>
      </c>
    </row>
    <row r="276" spans="1:3" x14ac:dyDescent="0.2">
      <c r="A276" s="152">
        <v>37530</v>
      </c>
      <c r="B276" s="151">
        <v>44.993190000000013</v>
      </c>
    </row>
    <row r="277" spans="1:3" x14ac:dyDescent="0.2">
      <c r="A277" s="152">
        <v>37561</v>
      </c>
      <c r="B277" s="151">
        <v>46.352080000000001</v>
      </c>
    </row>
    <row r="278" spans="1:3" x14ac:dyDescent="0.2">
      <c r="A278" s="152">
        <v>37591</v>
      </c>
      <c r="B278" s="151">
        <v>47.325369999999999</v>
      </c>
    </row>
    <row r="279" spans="1:3" x14ac:dyDescent="0.2">
      <c r="A279" s="152">
        <v>37622</v>
      </c>
      <c r="B279" s="151">
        <v>48.390309999999999</v>
      </c>
    </row>
    <row r="280" spans="1:3" x14ac:dyDescent="0.2">
      <c r="A280" s="152">
        <v>37653</v>
      </c>
      <c r="B280" s="151">
        <v>49.150149999999996</v>
      </c>
    </row>
    <row r="281" spans="1:3" x14ac:dyDescent="0.2">
      <c r="A281" s="152">
        <v>37681</v>
      </c>
      <c r="B281" s="151">
        <v>49.754770000000001</v>
      </c>
    </row>
    <row r="282" spans="1:3" x14ac:dyDescent="0.2">
      <c r="A282" s="152">
        <v>37712</v>
      </c>
      <c r="B282" s="151">
        <v>50.237360000000002</v>
      </c>
    </row>
    <row r="283" spans="1:3" x14ac:dyDescent="0.2">
      <c r="A283" s="152">
        <v>37742</v>
      </c>
      <c r="B283" s="151">
        <v>50.543849999999999</v>
      </c>
    </row>
    <row r="284" spans="1:3" x14ac:dyDescent="0.2">
      <c r="A284" s="152">
        <v>37773</v>
      </c>
      <c r="B284" s="151">
        <v>50.467979999999997</v>
      </c>
    </row>
    <row r="285" spans="1:3" x14ac:dyDescent="0.2">
      <c r="A285" s="152">
        <v>37803</v>
      </c>
      <c r="B285" s="151">
        <v>50.568899999999999</v>
      </c>
    </row>
    <row r="286" spans="1:3" x14ac:dyDescent="0.2">
      <c r="A286" s="152">
        <v>37834</v>
      </c>
      <c r="B286" s="151">
        <v>50.740830000000003</v>
      </c>
    </row>
    <row r="287" spans="1:3" x14ac:dyDescent="0.2">
      <c r="A287" s="152">
        <v>37865</v>
      </c>
      <c r="B287" s="151">
        <v>51.13664</v>
      </c>
      <c r="C287" s="151"/>
    </row>
    <row r="288" spans="1:3" x14ac:dyDescent="0.2">
      <c r="A288" s="152">
        <v>37895</v>
      </c>
      <c r="B288" s="151">
        <v>51.284889999999997</v>
      </c>
    </row>
    <row r="289" spans="1:3" x14ac:dyDescent="0.2">
      <c r="A289" s="152">
        <v>37926</v>
      </c>
      <c r="B289" s="151">
        <v>51.45937</v>
      </c>
    </row>
    <row r="290" spans="1:3" x14ac:dyDescent="0.2">
      <c r="A290" s="152">
        <v>37956</v>
      </c>
      <c r="B290" s="151">
        <v>51.726880000000001</v>
      </c>
    </row>
    <row r="291" spans="1:3" x14ac:dyDescent="0.2">
      <c r="A291" s="152">
        <v>37987</v>
      </c>
      <c r="B291" s="151">
        <v>52.119900000000001</v>
      </c>
    </row>
    <row r="292" spans="1:3" x14ac:dyDescent="0.2">
      <c r="A292" s="152">
        <v>38018</v>
      </c>
      <c r="B292" s="151">
        <v>52.437759999999997</v>
      </c>
    </row>
    <row r="293" spans="1:3" x14ac:dyDescent="0.2">
      <c r="A293" s="152">
        <v>38047</v>
      </c>
      <c r="B293" s="151">
        <v>52.684159999999999</v>
      </c>
    </row>
    <row r="294" spans="1:3" x14ac:dyDescent="0.2">
      <c r="A294" s="152">
        <v>38078</v>
      </c>
      <c r="B294" s="151">
        <v>52.879049999999999</v>
      </c>
    </row>
    <row r="295" spans="1:3" x14ac:dyDescent="0.2">
      <c r="A295" s="152">
        <v>38108</v>
      </c>
      <c r="B295" s="151">
        <v>53.148650000000004</v>
      </c>
    </row>
    <row r="296" spans="1:3" x14ac:dyDescent="0.2">
      <c r="A296" s="152">
        <v>38139</v>
      </c>
      <c r="B296" s="151">
        <v>53.5259</v>
      </c>
    </row>
    <row r="297" spans="1:3" x14ac:dyDescent="0.2">
      <c r="A297" s="152">
        <v>38169</v>
      </c>
      <c r="B297" s="151">
        <v>54.012890000000013</v>
      </c>
    </row>
    <row r="298" spans="1:3" x14ac:dyDescent="0.2">
      <c r="A298" s="152">
        <v>38200</v>
      </c>
      <c r="B298" s="151">
        <v>54.3855</v>
      </c>
    </row>
    <row r="299" spans="1:3" x14ac:dyDescent="0.2">
      <c r="A299" s="152">
        <v>38231</v>
      </c>
      <c r="B299" s="151">
        <v>54.565080000000002</v>
      </c>
    </row>
    <row r="300" spans="1:3" x14ac:dyDescent="0.2">
      <c r="A300" s="152">
        <v>38261</v>
      </c>
      <c r="B300" s="151">
        <v>54.805210000000002</v>
      </c>
      <c r="C300" s="151"/>
    </row>
    <row r="301" spans="1:3" x14ac:dyDescent="0.2">
      <c r="A301" s="152">
        <v>38292</v>
      </c>
      <c r="B301" s="151">
        <v>55.183390000000003</v>
      </c>
    </row>
    <row r="302" spans="1:3" x14ac:dyDescent="0.2">
      <c r="A302" s="152">
        <v>38322</v>
      </c>
      <c r="B302" s="151">
        <v>55.657859999999999</v>
      </c>
    </row>
    <row r="303" spans="1:3" x14ac:dyDescent="0.2">
      <c r="A303" s="152">
        <v>38353</v>
      </c>
      <c r="B303" s="151">
        <v>55.980589999999999</v>
      </c>
    </row>
    <row r="304" spans="1:3" x14ac:dyDescent="0.2">
      <c r="A304" s="152">
        <v>38384</v>
      </c>
      <c r="B304" s="151">
        <v>56.310969999999998</v>
      </c>
    </row>
    <row r="305" spans="1:3" x14ac:dyDescent="0.2">
      <c r="A305" s="152">
        <v>38412</v>
      </c>
      <c r="B305" s="151">
        <v>56.654350000000001</v>
      </c>
    </row>
    <row r="306" spans="1:3" x14ac:dyDescent="0.2">
      <c r="A306" s="152">
        <v>38443</v>
      </c>
      <c r="B306" s="151">
        <v>57.14714</v>
      </c>
    </row>
    <row r="307" spans="1:3" x14ac:dyDescent="0.2">
      <c r="A307" s="152">
        <v>38473</v>
      </c>
      <c r="B307" s="151">
        <v>57.427180000000007</v>
      </c>
    </row>
    <row r="308" spans="1:3" x14ac:dyDescent="0.2">
      <c r="A308" s="152">
        <v>38504</v>
      </c>
      <c r="B308" s="151">
        <v>57.415580000000013</v>
      </c>
    </row>
    <row r="309" spans="1:3" x14ac:dyDescent="0.2">
      <c r="A309" s="152">
        <v>38534</v>
      </c>
      <c r="B309" s="151">
        <v>57.559199999999997</v>
      </c>
    </row>
    <row r="310" spans="1:3" x14ac:dyDescent="0.2">
      <c r="A310" s="152">
        <v>38565</v>
      </c>
      <c r="B310" s="151">
        <v>57.657110000000003</v>
      </c>
    </row>
    <row r="311" spans="1:3" x14ac:dyDescent="0.2">
      <c r="A311" s="152">
        <v>38596</v>
      </c>
      <c r="B311" s="151">
        <v>57.858960000000003</v>
      </c>
    </row>
    <row r="312" spans="1:3" x14ac:dyDescent="0.2">
      <c r="A312" s="152">
        <v>38626</v>
      </c>
      <c r="B312" s="151">
        <v>58.292819999999992</v>
      </c>
    </row>
    <row r="313" spans="1:3" x14ac:dyDescent="0.2">
      <c r="A313" s="152">
        <v>38657</v>
      </c>
      <c r="B313" s="151">
        <v>58.613460000000003</v>
      </c>
      <c r="C313" s="151"/>
    </row>
    <row r="314" spans="1:3" x14ac:dyDescent="0.2">
      <c r="A314" s="152">
        <v>38687</v>
      </c>
      <c r="B314" s="151">
        <v>58.824359999999999</v>
      </c>
    </row>
    <row r="315" spans="1:3" x14ac:dyDescent="0.2">
      <c r="A315" s="152">
        <v>38718</v>
      </c>
      <c r="B315" s="151">
        <v>59.17145</v>
      </c>
    </row>
    <row r="316" spans="1:3" x14ac:dyDescent="0.2">
      <c r="A316" s="152">
        <v>38749</v>
      </c>
      <c r="B316" s="151">
        <v>59.414130000000007</v>
      </c>
    </row>
    <row r="317" spans="1:3" x14ac:dyDescent="0.2">
      <c r="A317" s="152">
        <v>38777</v>
      </c>
      <c r="B317" s="151">
        <v>59.669580000000003</v>
      </c>
    </row>
    <row r="318" spans="1:3" x14ac:dyDescent="0.2">
      <c r="A318" s="152">
        <v>38808</v>
      </c>
      <c r="B318" s="151">
        <v>59.79486</v>
      </c>
    </row>
    <row r="319" spans="1:3" x14ac:dyDescent="0.2">
      <c r="A319" s="152">
        <v>38838</v>
      </c>
      <c r="B319" s="151">
        <v>59.854719999999993</v>
      </c>
    </row>
    <row r="320" spans="1:3" x14ac:dyDescent="0.2">
      <c r="A320" s="152">
        <v>38869</v>
      </c>
      <c r="B320" s="151">
        <v>59.728969999999997</v>
      </c>
    </row>
    <row r="321" spans="1:3" x14ac:dyDescent="0.2">
      <c r="A321" s="152">
        <v>38899</v>
      </c>
      <c r="B321" s="151">
        <v>59.842430000000007</v>
      </c>
    </row>
    <row r="322" spans="1:3" x14ac:dyDescent="0.2">
      <c r="A322" s="152">
        <v>38930</v>
      </c>
      <c r="B322" s="151">
        <v>59.87236</v>
      </c>
    </row>
    <row r="323" spans="1:3" x14ac:dyDescent="0.2">
      <c r="A323" s="152">
        <v>38961</v>
      </c>
      <c r="B323" s="151">
        <v>59.998109999999997</v>
      </c>
    </row>
    <row r="324" spans="1:3" x14ac:dyDescent="0.2">
      <c r="A324" s="152">
        <v>38991</v>
      </c>
      <c r="B324" s="151">
        <v>60.196010000000001</v>
      </c>
    </row>
    <row r="325" spans="1:3" x14ac:dyDescent="0.2">
      <c r="A325" s="152">
        <v>39022</v>
      </c>
      <c r="B325" s="151">
        <v>60.382550000000002</v>
      </c>
    </row>
    <row r="326" spans="1:3" x14ac:dyDescent="0.2">
      <c r="A326" s="152">
        <v>39052</v>
      </c>
      <c r="B326" s="151">
        <v>60.672340000000013</v>
      </c>
      <c r="C326" s="151"/>
    </row>
    <row r="327" spans="1:3" x14ac:dyDescent="0.2">
      <c r="A327" s="152">
        <v>39083</v>
      </c>
      <c r="B327" s="151">
        <v>60.939380000000007</v>
      </c>
    </row>
    <row r="328" spans="1:3" x14ac:dyDescent="0.2">
      <c r="A328" s="152">
        <v>39114</v>
      </c>
      <c r="B328" s="151">
        <v>61.207590000000003</v>
      </c>
    </row>
    <row r="329" spans="1:3" x14ac:dyDescent="0.2">
      <c r="A329" s="152">
        <v>39142</v>
      </c>
      <c r="B329" s="151">
        <v>61.434030000000007</v>
      </c>
    </row>
    <row r="330" spans="1:3" x14ac:dyDescent="0.2">
      <c r="A330" s="152">
        <v>39173</v>
      </c>
      <c r="B330" s="151">
        <v>61.587619999999987</v>
      </c>
    </row>
    <row r="331" spans="1:3" x14ac:dyDescent="0.2">
      <c r="A331" s="152">
        <v>39203</v>
      </c>
      <c r="B331" s="151">
        <v>61.760010000000001</v>
      </c>
    </row>
    <row r="332" spans="1:3" x14ac:dyDescent="0.2">
      <c r="A332" s="152">
        <v>39234</v>
      </c>
      <c r="B332" s="151">
        <v>61.932859999999998</v>
      </c>
    </row>
    <row r="333" spans="1:3" x14ac:dyDescent="0.2">
      <c r="A333" s="152">
        <v>39264</v>
      </c>
      <c r="B333" s="151">
        <v>62.081580000000002</v>
      </c>
    </row>
    <row r="334" spans="1:3" x14ac:dyDescent="0.2">
      <c r="A334" s="152">
        <v>39295</v>
      </c>
      <c r="B334" s="151">
        <v>62.373449999999998</v>
      </c>
    </row>
    <row r="335" spans="1:3" x14ac:dyDescent="0.2">
      <c r="A335" s="152">
        <v>39326</v>
      </c>
      <c r="B335" s="151">
        <v>62.48574</v>
      </c>
    </row>
    <row r="336" spans="1:3" x14ac:dyDescent="0.2">
      <c r="A336" s="152">
        <v>39356</v>
      </c>
      <c r="B336" s="151">
        <v>62.673209999999997</v>
      </c>
    </row>
    <row r="337" spans="1:3" x14ac:dyDescent="0.2">
      <c r="A337" s="152">
        <v>39387</v>
      </c>
      <c r="B337" s="151">
        <v>62.911250000000003</v>
      </c>
    </row>
    <row r="338" spans="1:3" x14ac:dyDescent="0.2">
      <c r="A338" s="152">
        <v>39417</v>
      </c>
      <c r="B338" s="151">
        <v>63.376899999999999</v>
      </c>
    </row>
    <row r="339" spans="1:3" x14ac:dyDescent="0.2">
      <c r="A339" s="152">
        <v>39448</v>
      </c>
      <c r="B339" s="151">
        <v>63.719119999999997</v>
      </c>
      <c r="C339" s="151"/>
    </row>
    <row r="340" spans="1:3" x14ac:dyDescent="0.2">
      <c r="A340" s="152">
        <v>39479</v>
      </c>
      <c r="B340" s="151">
        <v>64.031409999999994</v>
      </c>
    </row>
    <row r="341" spans="1:3" x14ac:dyDescent="0.2">
      <c r="A341" s="152">
        <v>39508</v>
      </c>
      <c r="B341" s="151">
        <v>64.338819999999998</v>
      </c>
    </row>
    <row r="342" spans="1:3" x14ac:dyDescent="0.2">
      <c r="A342" s="152">
        <v>39539</v>
      </c>
      <c r="B342" s="151">
        <v>64.692639999999997</v>
      </c>
    </row>
    <row r="343" spans="1:3" x14ac:dyDescent="0.2">
      <c r="A343" s="152">
        <v>39569</v>
      </c>
      <c r="B343" s="151">
        <v>65.203769999999992</v>
      </c>
    </row>
    <row r="344" spans="1:3" x14ac:dyDescent="0.2">
      <c r="A344" s="152">
        <v>39600</v>
      </c>
      <c r="B344" s="151">
        <v>65.686350000000004</v>
      </c>
    </row>
    <row r="345" spans="1:3" x14ac:dyDescent="0.2">
      <c r="A345" s="152">
        <v>39630</v>
      </c>
      <c r="B345" s="151">
        <v>66.034369999999996</v>
      </c>
    </row>
    <row r="346" spans="1:3" x14ac:dyDescent="0.2">
      <c r="A346" s="152">
        <v>39661</v>
      </c>
      <c r="B346" s="151">
        <v>66.219279999999998</v>
      </c>
    </row>
    <row r="347" spans="1:3" x14ac:dyDescent="0.2">
      <c r="A347" s="152">
        <v>39692</v>
      </c>
      <c r="B347" s="151">
        <v>66.39143</v>
      </c>
    </row>
    <row r="348" spans="1:3" x14ac:dyDescent="0.2">
      <c r="A348" s="152">
        <v>39722</v>
      </c>
      <c r="B348" s="151">
        <v>66.690269999999998</v>
      </c>
    </row>
    <row r="349" spans="1:3" x14ac:dyDescent="0.2">
      <c r="A349" s="152">
        <v>39753</v>
      </c>
      <c r="B349" s="151">
        <v>66.930400000000006</v>
      </c>
    </row>
    <row r="350" spans="1:3" x14ac:dyDescent="0.2">
      <c r="A350" s="152">
        <v>39783</v>
      </c>
      <c r="B350" s="151">
        <v>67.117869999999996</v>
      </c>
    </row>
    <row r="351" spans="1:3" x14ac:dyDescent="0.2">
      <c r="A351" s="152">
        <v>39814</v>
      </c>
      <c r="B351" s="151">
        <v>67.439899999999994</v>
      </c>
    </row>
    <row r="352" spans="1:3" x14ac:dyDescent="0.2">
      <c r="A352" s="152">
        <v>39845</v>
      </c>
      <c r="B352" s="151">
        <v>67.810880000000012</v>
      </c>
      <c r="C352" s="151"/>
    </row>
    <row r="353" spans="1:3" x14ac:dyDescent="0.2">
      <c r="A353" s="152">
        <v>39873</v>
      </c>
      <c r="B353" s="151">
        <v>67.946380000000005</v>
      </c>
    </row>
    <row r="354" spans="1:3" x14ac:dyDescent="0.2">
      <c r="A354" s="152">
        <v>39904</v>
      </c>
      <c r="B354" s="151">
        <v>68.272590000000008</v>
      </c>
    </row>
    <row r="355" spans="1:3" x14ac:dyDescent="0.2">
      <c r="A355" s="152">
        <v>39934</v>
      </c>
      <c r="B355" s="151">
        <v>68.593459999999993</v>
      </c>
    </row>
    <row r="356" spans="1:3" x14ac:dyDescent="0.2">
      <c r="A356" s="152">
        <v>39965</v>
      </c>
      <c r="B356" s="151">
        <v>68.840319999999991</v>
      </c>
    </row>
    <row r="357" spans="1:3" x14ac:dyDescent="0.2">
      <c r="A357" s="152">
        <v>39995</v>
      </c>
      <c r="B357" s="151">
        <v>69.00551999999999</v>
      </c>
    </row>
    <row r="358" spans="1:3" x14ac:dyDescent="0.2">
      <c r="A358" s="152">
        <v>40026</v>
      </c>
      <c r="B358" s="151">
        <v>69.108990000000006</v>
      </c>
    </row>
    <row r="359" spans="1:3" x14ac:dyDescent="0.2">
      <c r="A359" s="152">
        <v>40057</v>
      </c>
      <c r="B359" s="151">
        <v>69.27488000000001</v>
      </c>
    </row>
    <row r="360" spans="1:3" x14ac:dyDescent="0.2">
      <c r="A360" s="152">
        <v>40087</v>
      </c>
      <c r="B360" s="151">
        <v>69.46884</v>
      </c>
    </row>
    <row r="361" spans="1:3" x14ac:dyDescent="0.2">
      <c r="A361" s="152">
        <v>40118</v>
      </c>
      <c r="B361" s="151">
        <v>69.753749999999997</v>
      </c>
    </row>
    <row r="362" spans="1:3" x14ac:dyDescent="0.2">
      <c r="A362" s="152">
        <v>40148</v>
      </c>
      <c r="B362" s="151">
        <v>70.011759999999995</v>
      </c>
    </row>
    <row r="363" spans="1:3" x14ac:dyDescent="0.2">
      <c r="A363" s="152">
        <v>40179</v>
      </c>
      <c r="B363" s="151">
        <v>70.536799999999999</v>
      </c>
    </row>
    <row r="364" spans="1:3" x14ac:dyDescent="0.2">
      <c r="A364" s="152">
        <v>40210</v>
      </c>
      <c r="B364" s="151">
        <v>71.0869</v>
      </c>
    </row>
    <row r="365" spans="1:3" x14ac:dyDescent="0.2">
      <c r="A365" s="152">
        <v>40238</v>
      </c>
      <c r="B365" s="151">
        <v>71.456490000000002</v>
      </c>
      <c r="C365" s="151"/>
    </row>
    <row r="366" spans="1:3" x14ac:dyDescent="0.2">
      <c r="A366" s="152">
        <v>40269</v>
      </c>
      <c r="B366" s="151">
        <v>71.863910000000004</v>
      </c>
    </row>
    <row r="367" spans="1:3" x14ac:dyDescent="0.2">
      <c r="A367" s="152">
        <v>40299</v>
      </c>
      <c r="B367" s="151">
        <v>72.172939999999997</v>
      </c>
    </row>
    <row r="368" spans="1:3" x14ac:dyDescent="0.2">
      <c r="A368" s="152">
        <v>40330</v>
      </c>
      <c r="B368" s="151">
        <v>72.172939999999997</v>
      </c>
    </row>
    <row r="369" spans="1:3" x14ac:dyDescent="0.2">
      <c r="A369" s="152">
        <v>40360</v>
      </c>
      <c r="B369" s="151">
        <v>72.180140000000023</v>
      </c>
    </row>
    <row r="370" spans="1:3" x14ac:dyDescent="0.2">
      <c r="A370" s="152">
        <v>40391</v>
      </c>
      <c r="B370" s="151">
        <v>72.208910000000003</v>
      </c>
    </row>
    <row r="371" spans="1:3" x14ac:dyDescent="0.2">
      <c r="A371" s="152">
        <v>40422</v>
      </c>
      <c r="B371" s="151">
        <v>72.533720000000002</v>
      </c>
    </row>
    <row r="372" spans="1:3" x14ac:dyDescent="0.2">
      <c r="A372" s="152">
        <v>40452</v>
      </c>
      <c r="B372" s="151">
        <v>73.077799999999996</v>
      </c>
    </row>
    <row r="373" spans="1:3" x14ac:dyDescent="0.2">
      <c r="A373" s="152">
        <v>40483</v>
      </c>
      <c r="B373" s="151">
        <v>73.684269999999998</v>
      </c>
    </row>
    <row r="374" spans="1:3" x14ac:dyDescent="0.2">
      <c r="A374" s="152">
        <v>40513</v>
      </c>
      <c r="B374" s="151">
        <v>74.148530000000022</v>
      </c>
      <c r="C374" s="155">
        <f>AVERAGE(B363:B374)</f>
        <v>72.260279166666677</v>
      </c>
    </row>
    <row r="375" spans="1:3" x14ac:dyDescent="0.2">
      <c r="A375" s="152">
        <v>40544</v>
      </c>
      <c r="B375" s="151">
        <v>74.764060000000001</v>
      </c>
    </row>
    <row r="376" spans="1:3" x14ac:dyDescent="0.2">
      <c r="A376" s="152">
        <v>40575</v>
      </c>
      <c r="B376" s="151">
        <v>75.362180000000009</v>
      </c>
    </row>
    <row r="377" spans="1:3" x14ac:dyDescent="0.2">
      <c r="A377" s="152">
        <v>40603</v>
      </c>
      <c r="B377" s="151">
        <v>75.957530000000006</v>
      </c>
    </row>
    <row r="378" spans="1:3" x14ac:dyDescent="0.2">
      <c r="A378" s="152">
        <v>40634</v>
      </c>
      <c r="B378" s="151">
        <v>76.54243000000001</v>
      </c>
      <c r="C378" s="151"/>
    </row>
    <row r="379" spans="1:3" x14ac:dyDescent="0.2">
      <c r="A379" s="152">
        <v>40664</v>
      </c>
      <c r="B379" s="151">
        <v>76.902280000000005</v>
      </c>
    </row>
    <row r="380" spans="1:3" x14ac:dyDescent="0.2">
      <c r="A380" s="152">
        <v>40695</v>
      </c>
      <c r="B380" s="151">
        <v>77.017589999999998</v>
      </c>
    </row>
    <row r="381" spans="1:3" x14ac:dyDescent="0.2">
      <c r="A381" s="152">
        <v>40725</v>
      </c>
      <c r="B381" s="151">
        <v>77.140789999999996</v>
      </c>
    </row>
    <row r="382" spans="1:3" x14ac:dyDescent="0.2">
      <c r="A382" s="152">
        <v>40756</v>
      </c>
      <c r="B382" s="151">
        <v>77.426159999999996</v>
      </c>
    </row>
    <row r="383" spans="1:3" x14ac:dyDescent="0.2">
      <c r="A383" s="152">
        <v>40787</v>
      </c>
      <c r="B383" s="151">
        <v>77.836590000000001</v>
      </c>
    </row>
    <row r="384" spans="1:3" x14ac:dyDescent="0.2">
      <c r="A384" s="152">
        <v>40817</v>
      </c>
      <c r="B384" s="151">
        <v>78.171390000000002</v>
      </c>
    </row>
    <row r="385" spans="1:3" x14ac:dyDescent="0.2">
      <c r="A385" s="152">
        <v>40848</v>
      </c>
      <c r="B385" s="151">
        <v>78.57786999999999</v>
      </c>
    </row>
    <row r="386" spans="1:3" x14ac:dyDescent="0.2">
      <c r="A386" s="152">
        <v>40878</v>
      </c>
      <c r="B386" s="151">
        <v>78.970669999999998</v>
      </c>
      <c r="C386" s="155">
        <f>AVERAGE(B375:B386)</f>
        <v>77.055795000000003</v>
      </c>
    </row>
    <row r="387" spans="1:3" x14ac:dyDescent="0.2">
      <c r="A387" s="152">
        <v>40909</v>
      </c>
      <c r="B387" s="151">
        <v>79.412890000000004</v>
      </c>
    </row>
    <row r="388" spans="1:3" x14ac:dyDescent="0.2">
      <c r="A388" s="152">
        <v>40940</v>
      </c>
      <c r="B388" s="151">
        <v>79.770189999999999</v>
      </c>
    </row>
    <row r="389" spans="1:3" x14ac:dyDescent="0.2">
      <c r="A389" s="152">
        <v>40969</v>
      </c>
      <c r="B389" s="151">
        <v>79.937700000000007</v>
      </c>
    </row>
    <row r="390" spans="1:3" x14ac:dyDescent="0.2">
      <c r="A390" s="152">
        <v>41000</v>
      </c>
      <c r="B390" s="151">
        <v>80.449290000000005</v>
      </c>
    </row>
    <row r="391" spans="1:3" x14ac:dyDescent="0.2">
      <c r="A391" s="152">
        <v>41030</v>
      </c>
      <c r="B391" s="151">
        <v>80.738839999999996</v>
      </c>
      <c r="C391" s="151"/>
    </row>
    <row r="392" spans="1:3" x14ac:dyDescent="0.2">
      <c r="A392" s="152">
        <v>41061</v>
      </c>
      <c r="B392" s="151">
        <v>80.803340000000006</v>
      </c>
    </row>
    <row r="393" spans="1:3" x14ac:dyDescent="0.2">
      <c r="A393" s="152">
        <v>41091</v>
      </c>
      <c r="B393" s="151">
        <v>81.150890000000004</v>
      </c>
    </row>
    <row r="394" spans="1:3" x14ac:dyDescent="0.2">
      <c r="A394" s="152">
        <v>41122</v>
      </c>
      <c r="B394" s="151">
        <v>81.483599999999996</v>
      </c>
    </row>
    <row r="395" spans="1:3" x14ac:dyDescent="0.2">
      <c r="A395" s="152">
        <v>41153</v>
      </c>
      <c r="B395" s="151">
        <v>81.948080000000004</v>
      </c>
    </row>
    <row r="396" spans="1:3" x14ac:dyDescent="0.2">
      <c r="A396" s="152">
        <v>41183</v>
      </c>
      <c r="B396" s="151">
        <v>82.43159</v>
      </c>
    </row>
    <row r="397" spans="1:3" x14ac:dyDescent="0.2">
      <c r="A397" s="152">
        <v>41214</v>
      </c>
      <c r="B397" s="151">
        <v>82.926249999999996</v>
      </c>
    </row>
    <row r="398" spans="1:3" x14ac:dyDescent="0.2">
      <c r="A398" s="152">
        <v>41244</v>
      </c>
      <c r="B398" s="151">
        <v>83.581450000000004</v>
      </c>
      <c r="C398" s="155">
        <f>AVERAGE(B387:B398)</f>
        <v>81.219509166666668</v>
      </c>
    </row>
    <row r="399" spans="1:3" x14ac:dyDescent="0.2">
      <c r="A399" s="152">
        <v>41275</v>
      </c>
      <c r="B399" s="151">
        <v>84.300219999999996</v>
      </c>
    </row>
    <row r="400" spans="1:3" x14ac:dyDescent="0.2">
      <c r="A400" s="152">
        <v>41306</v>
      </c>
      <c r="B400" s="151">
        <v>84.806010000000001</v>
      </c>
    </row>
    <row r="401" spans="1:3" x14ac:dyDescent="0.2">
      <c r="A401" s="152">
        <v>41334</v>
      </c>
      <c r="B401" s="151">
        <v>85.204610000000002</v>
      </c>
    </row>
    <row r="402" spans="1:3" x14ac:dyDescent="0.2">
      <c r="A402" s="152">
        <v>41365</v>
      </c>
      <c r="B402" s="151">
        <v>85.673270000000002</v>
      </c>
    </row>
    <row r="403" spans="1:3" x14ac:dyDescent="0.2">
      <c r="A403" s="152">
        <v>41395</v>
      </c>
      <c r="B403" s="151">
        <v>85.990200000000002</v>
      </c>
    </row>
    <row r="404" spans="1:3" x14ac:dyDescent="0.2">
      <c r="A404" s="152">
        <v>41426</v>
      </c>
      <c r="B404" s="151">
        <v>86.213859999999997</v>
      </c>
      <c r="C404" s="151"/>
    </row>
    <row r="405" spans="1:3" x14ac:dyDescent="0.2">
      <c r="A405" s="152">
        <v>41456</v>
      </c>
      <c r="B405" s="151">
        <v>86.239609999999999</v>
      </c>
    </row>
    <row r="406" spans="1:3" x14ac:dyDescent="0.2">
      <c r="A406" s="152">
        <v>41487</v>
      </c>
      <c r="B406" s="151">
        <v>86.446559999999991</v>
      </c>
    </row>
    <row r="407" spans="1:3" x14ac:dyDescent="0.2">
      <c r="A407" s="152">
        <v>41518</v>
      </c>
      <c r="B407" s="151">
        <v>86.749110000000002</v>
      </c>
    </row>
    <row r="408" spans="1:3" x14ac:dyDescent="0.2">
      <c r="A408" s="152">
        <v>41548</v>
      </c>
      <c r="B408" s="151">
        <v>87.243530000000007</v>
      </c>
    </row>
    <row r="409" spans="1:3" x14ac:dyDescent="0.2">
      <c r="A409" s="152">
        <v>41579</v>
      </c>
      <c r="B409" s="151">
        <v>87.714740000000006</v>
      </c>
    </row>
    <row r="410" spans="1:3" x14ac:dyDescent="0.2">
      <c r="A410" s="152">
        <v>41609</v>
      </c>
      <c r="B410" s="151">
        <v>88.521680000000003</v>
      </c>
      <c r="C410" s="155">
        <f>AVERAGE(B399:B410)</f>
        <v>86.258616666666668</v>
      </c>
    </row>
    <row r="411" spans="1:3" x14ac:dyDescent="0.2">
      <c r="A411" s="152">
        <v>41640</v>
      </c>
      <c r="B411" s="151">
        <v>89.008449999999996</v>
      </c>
    </row>
    <row r="412" spans="1:3" x14ac:dyDescent="0.2">
      <c r="A412" s="152">
        <v>41671</v>
      </c>
      <c r="B412" s="151">
        <v>89.622579999999999</v>
      </c>
    </row>
    <row r="413" spans="1:3" x14ac:dyDescent="0.2">
      <c r="A413" s="152">
        <v>41699</v>
      </c>
      <c r="B413" s="151">
        <v>90.447149999999993</v>
      </c>
    </row>
    <row r="414" spans="1:3" x14ac:dyDescent="0.2">
      <c r="A414" s="152">
        <v>41730</v>
      </c>
      <c r="B414" s="151">
        <v>91.053169999999994</v>
      </c>
    </row>
    <row r="415" spans="1:3" x14ac:dyDescent="0.2">
      <c r="A415" s="152">
        <v>41760</v>
      </c>
      <c r="B415" s="151">
        <v>91.471950000000007</v>
      </c>
    </row>
    <row r="416" spans="1:3" x14ac:dyDescent="0.2">
      <c r="A416" s="152">
        <v>41791</v>
      </c>
      <c r="B416" s="151">
        <v>91.837829999999997</v>
      </c>
    </row>
    <row r="417" spans="1:3" x14ac:dyDescent="0.2">
      <c r="A417" s="152">
        <v>41821</v>
      </c>
      <c r="B417" s="151">
        <v>91.847110000000001</v>
      </c>
      <c r="C417" s="151"/>
    </row>
    <row r="418" spans="1:3" x14ac:dyDescent="0.2">
      <c r="A418" s="152">
        <v>41852</v>
      </c>
      <c r="B418" s="151">
        <v>92.076809999999995</v>
      </c>
    </row>
    <row r="419" spans="1:3" x14ac:dyDescent="0.2">
      <c r="A419" s="152">
        <v>41883</v>
      </c>
      <c r="B419" s="151">
        <v>92.601619999999997</v>
      </c>
    </row>
    <row r="420" spans="1:3" x14ac:dyDescent="0.2">
      <c r="A420" s="152">
        <v>41913</v>
      </c>
      <c r="B420" s="151">
        <v>92.990470000000002</v>
      </c>
    </row>
    <row r="421" spans="1:3" x14ac:dyDescent="0.2">
      <c r="A421" s="152">
        <v>41944</v>
      </c>
      <c r="B421" s="151">
        <v>93.464699999999993</v>
      </c>
    </row>
    <row r="422" spans="1:3" x14ac:dyDescent="0.2">
      <c r="A422" s="152">
        <v>41974</v>
      </c>
      <c r="B422" s="151">
        <v>94.193680000000001</v>
      </c>
      <c r="C422" s="155">
        <f>AVERAGE(B411:B422)</f>
        <v>91.717960000000005</v>
      </c>
    </row>
    <row r="423" spans="1:3" x14ac:dyDescent="0.2">
      <c r="A423" s="152">
        <v>42005</v>
      </c>
      <c r="B423" s="151">
        <v>95.361630000000005</v>
      </c>
    </row>
    <row r="424" spans="1:3" x14ac:dyDescent="0.2">
      <c r="A424" s="152">
        <v>42036</v>
      </c>
      <c r="B424" s="151">
        <v>96.524940000000001</v>
      </c>
    </row>
    <row r="425" spans="1:3" x14ac:dyDescent="0.2">
      <c r="A425" s="152">
        <v>42064</v>
      </c>
      <c r="B425" s="151">
        <v>97.799149999999997</v>
      </c>
    </row>
    <row r="426" spans="1:3" x14ac:dyDescent="0.2">
      <c r="A426" s="152">
        <v>42095</v>
      </c>
      <c r="B426" s="151">
        <v>98.493560000000002</v>
      </c>
    </row>
    <row r="427" spans="1:3" x14ac:dyDescent="0.2">
      <c r="A427" s="152">
        <v>42125</v>
      </c>
      <c r="B427" s="151">
        <v>99.222309999999993</v>
      </c>
    </row>
    <row r="428" spans="1:3" x14ac:dyDescent="0.2">
      <c r="A428" s="152">
        <v>42156</v>
      </c>
      <c r="B428" s="151">
        <v>100.0063</v>
      </c>
    </row>
    <row r="429" spans="1:3" x14ac:dyDescent="0.2">
      <c r="A429" s="152">
        <v>42186</v>
      </c>
      <c r="B429" s="151">
        <v>100.6262</v>
      </c>
    </row>
    <row r="430" spans="1:3" x14ac:dyDescent="0.2">
      <c r="A430" s="152">
        <v>42217</v>
      </c>
      <c r="B430" s="151">
        <v>100.8476</v>
      </c>
      <c r="C430" s="151"/>
    </row>
    <row r="431" spans="1:3" x14ac:dyDescent="0.2">
      <c r="A431" s="152">
        <v>42248</v>
      </c>
      <c r="B431" s="151">
        <v>101.3921</v>
      </c>
    </row>
    <row r="432" spans="1:3" x14ac:dyDescent="0.2">
      <c r="A432" s="152">
        <v>42278</v>
      </c>
      <c r="B432" s="151">
        <v>102.2234</v>
      </c>
    </row>
    <row r="433" spans="1:3" x14ac:dyDescent="0.2">
      <c r="A433" s="152">
        <v>42309</v>
      </c>
      <c r="B433" s="151">
        <v>103.25579999999999</v>
      </c>
    </row>
    <row r="434" spans="1:3" x14ac:dyDescent="0.2">
      <c r="A434" s="152">
        <v>42339</v>
      </c>
      <c r="B434" s="151">
        <v>104.247</v>
      </c>
      <c r="C434" s="155">
        <f>AVERAGE(B423:B434)</f>
        <v>99.999999166666669</v>
      </c>
    </row>
    <row r="435" spans="1:3" x14ac:dyDescent="0.2">
      <c r="A435" s="152">
        <v>42370</v>
      </c>
      <c r="B435" s="151">
        <v>105.57089999999999</v>
      </c>
    </row>
    <row r="436" spans="1:3" x14ac:dyDescent="0.2">
      <c r="A436" s="152">
        <v>42401</v>
      </c>
      <c r="B436" s="151">
        <v>106.521</v>
      </c>
    </row>
    <row r="437" spans="1:3" x14ac:dyDescent="0.2">
      <c r="A437" s="152">
        <v>42430</v>
      </c>
      <c r="B437" s="151">
        <v>106.9789</v>
      </c>
    </row>
    <row r="438" spans="1:3" x14ac:dyDescent="0.2">
      <c r="A438" s="152">
        <v>42461</v>
      </c>
      <c r="B438" s="151">
        <v>107.63160000000001</v>
      </c>
    </row>
    <row r="439" spans="1:3" x14ac:dyDescent="0.2">
      <c r="A439" s="152">
        <v>42491</v>
      </c>
      <c r="B439" s="151">
        <v>108.471</v>
      </c>
    </row>
    <row r="440" spans="1:3" x14ac:dyDescent="0.2">
      <c r="A440" s="152">
        <v>42522</v>
      </c>
      <c r="B440" s="151">
        <v>108.8506</v>
      </c>
    </row>
    <row r="441" spans="1:3" x14ac:dyDescent="0.2">
      <c r="A441" s="152">
        <v>42552</v>
      </c>
      <c r="B441" s="151">
        <v>109.41670000000001</v>
      </c>
    </row>
    <row r="442" spans="1:3" x14ac:dyDescent="0.2">
      <c r="A442" s="152">
        <v>42583</v>
      </c>
      <c r="B442" s="151">
        <v>109.8981</v>
      </c>
    </row>
    <row r="443" spans="1:3" x14ac:dyDescent="0.2">
      <c r="A443" s="152">
        <v>42614</v>
      </c>
      <c r="B443" s="151">
        <v>109.98609999999999</v>
      </c>
      <c r="C443" s="151"/>
    </row>
    <row r="444" spans="1:3" x14ac:dyDescent="0.2">
      <c r="A444" s="152">
        <v>42644</v>
      </c>
      <c r="B444" s="151">
        <v>110.27209999999999</v>
      </c>
    </row>
    <row r="445" spans="1:3" x14ac:dyDescent="0.2">
      <c r="A445" s="152">
        <v>42675</v>
      </c>
      <c r="B445" s="151">
        <v>110.47069999999999</v>
      </c>
    </row>
    <row r="446" spans="1:3" x14ac:dyDescent="0.2">
      <c r="A446" s="152">
        <v>42705</v>
      </c>
      <c r="B446" s="151">
        <v>110.80200000000001</v>
      </c>
      <c r="C446" s="155">
        <f>AVERAGE(B435:B446)</f>
        <v>108.73914166666667</v>
      </c>
    </row>
    <row r="447" spans="1:3" x14ac:dyDescent="0.2">
      <c r="A447" s="152">
        <v>42736</v>
      </c>
      <c r="B447" s="151">
        <v>111.2231</v>
      </c>
    </row>
    <row r="448" spans="1:3" x14ac:dyDescent="0.2">
      <c r="A448" s="152">
        <v>42767</v>
      </c>
      <c r="B448" s="151">
        <v>111.5902</v>
      </c>
    </row>
    <row r="449" spans="1:3" x14ac:dyDescent="0.2">
      <c r="A449" s="152">
        <v>42795</v>
      </c>
      <c r="B449" s="151">
        <v>111.8691</v>
      </c>
    </row>
    <row r="450" spans="1:3" x14ac:dyDescent="0.2">
      <c r="A450" s="152">
        <v>42826</v>
      </c>
      <c r="B450" s="151">
        <v>112.0257</v>
      </c>
    </row>
    <row r="451" spans="1:3" x14ac:dyDescent="0.2">
      <c r="A451" s="152">
        <v>42856</v>
      </c>
      <c r="B451" s="151">
        <v>112.373</v>
      </c>
    </row>
    <row r="452" spans="1:3" x14ac:dyDescent="0.2">
      <c r="A452" s="152">
        <v>42887</v>
      </c>
      <c r="B452" s="151">
        <v>112.11450000000001</v>
      </c>
    </row>
    <row r="453" spans="1:3" x14ac:dyDescent="0.2">
      <c r="A453" s="152">
        <v>42917</v>
      </c>
      <c r="B453" s="151">
        <v>112.3837</v>
      </c>
    </row>
    <row r="454" spans="1:3" x14ac:dyDescent="0.2">
      <c r="A454" s="152">
        <v>42948</v>
      </c>
      <c r="B454" s="151">
        <v>112.5971</v>
      </c>
    </row>
    <row r="455" spans="1:3" x14ac:dyDescent="0.2">
      <c r="A455" s="152">
        <v>42979</v>
      </c>
      <c r="B455" s="151">
        <v>112.77719999999999</v>
      </c>
    </row>
    <row r="456" spans="1:3" x14ac:dyDescent="0.2">
      <c r="A456" s="152">
        <v>43009</v>
      </c>
      <c r="B456" s="151">
        <v>113.2509</v>
      </c>
      <c r="C456" s="151"/>
    </row>
    <row r="457" spans="1:3" x14ac:dyDescent="0.2">
      <c r="A457" s="152">
        <v>43040</v>
      </c>
      <c r="B457" s="151">
        <v>113.5681</v>
      </c>
    </row>
    <row r="458" spans="1:3" x14ac:dyDescent="0.2">
      <c r="A458" s="152">
        <v>43070</v>
      </c>
      <c r="B458" s="151">
        <v>114.06780000000001</v>
      </c>
      <c r="C458" s="155">
        <f>AVERAGE(B447:B458)</f>
        <v>112.4867</v>
      </c>
    </row>
    <row r="459" spans="1:3" x14ac:dyDescent="0.2">
      <c r="A459" s="152">
        <v>43101</v>
      </c>
      <c r="B459" s="151">
        <v>114.39870000000001</v>
      </c>
    </row>
    <row r="460" spans="1:3" x14ac:dyDescent="0.2">
      <c r="A460" s="152">
        <v>43132</v>
      </c>
      <c r="B460" s="151">
        <v>114.76479999999999</v>
      </c>
    </row>
    <row r="461" spans="1:3" x14ac:dyDescent="0.2">
      <c r="A461" s="152">
        <v>43160</v>
      </c>
      <c r="B461" s="151">
        <v>114.8681</v>
      </c>
    </row>
    <row r="462" spans="1:3" x14ac:dyDescent="0.2">
      <c r="A462" s="152">
        <v>43191</v>
      </c>
      <c r="B462" s="151">
        <v>115.1207</v>
      </c>
    </row>
    <row r="463" spans="1:3" x14ac:dyDescent="0.2">
      <c r="A463" s="152">
        <v>43221</v>
      </c>
      <c r="B463" s="151">
        <v>115.5813</v>
      </c>
    </row>
    <row r="464" spans="1:3" x14ac:dyDescent="0.2">
      <c r="A464" s="152">
        <v>43252</v>
      </c>
      <c r="B464" s="151">
        <v>117.0376</v>
      </c>
    </row>
    <row r="465" spans="1:3" x14ac:dyDescent="0.2">
      <c r="A465" s="152">
        <v>43282</v>
      </c>
      <c r="B465" s="151">
        <v>117.4239</v>
      </c>
    </row>
    <row r="466" spans="1:3" x14ac:dyDescent="0.2">
      <c r="A466" s="152">
        <v>43313</v>
      </c>
      <c r="B466" s="151">
        <v>117.31829999999999</v>
      </c>
    </row>
    <row r="467" spans="1:3" x14ac:dyDescent="0.2">
      <c r="A467" s="152">
        <v>43344</v>
      </c>
      <c r="B467" s="151">
        <v>117.8814</v>
      </c>
    </row>
    <row r="468" spans="1:3" x14ac:dyDescent="0.2">
      <c r="A468" s="152">
        <v>43374</v>
      </c>
      <c r="B468" s="151">
        <v>118.4118</v>
      </c>
    </row>
    <row r="469" spans="1:3" x14ac:dyDescent="0.2">
      <c r="A469" s="152">
        <v>43405</v>
      </c>
      <c r="B469" s="151">
        <v>118.1631</v>
      </c>
      <c r="C469" s="151"/>
    </row>
    <row r="470" spans="1:3" x14ac:dyDescent="0.2">
      <c r="A470" s="152">
        <v>43435</v>
      </c>
      <c r="B470" s="151">
        <v>118.3403</v>
      </c>
      <c r="C470" s="155">
        <f>AVERAGE(B459:B470)</f>
        <v>116.60916666666668</v>
      </c>
    </row>
    <row r="471" spans="1:3" x14ac:dyDescent="0.2">
      <c r="A471" s="152">
        <v>43466</v>
      </c>
      <c r="B471" s="151">
        <v>118.71899999999999</v>
      </c>
    </row>
    <row r="472" spans="1:3" x14ac:dyDescent="0.2">
      <c r="A472" s="152">
        <v>43497</v>
      </c>
      <c r="B472" s="151">
        <v>119.2294</v>
      </c>
    </row>
    <row r="473" spans="1:3" x14ac:dyDescent="0.2">
      <c r="A473" s="152">
        <v>43525</v>
      </c>
      <c r="B473" s="151">
        <v>120.1236</v>
      </c>
    </row>
    <row r="474" spans="1:3" x14ac:dyDescent="0.2">
      <c r="A474" s="152">
        <v>43556</v>
      </c>
      <c r="B474" s="151">
        <v>120.8083</v>
      </c>
    </row>
    <row r="475" spans="1:3" x14ac:dyDescent="0.2">
      <c r="A475" s="152">
        <v>43586</v>
      </c>
      <c r="B475" s="151">
        <v>120.9653</v>
      </c>
    </row>
    <row r="476" spans="1:3" x14ac:dyDescent="0.2">
      <c r="A476" s="152">
        <v>43617</v>
      </c>
      <c r="B476" s="151">
        <v>120.9774</v>
      </c>
    </row>
    <row r="477" spans="1:3" x14ac:dyDescent="0.2">
      <c r="A477" s="152">
        <v>43647</v>
      </c>
      <c r="B477" s="151">
        <v>121.2073</v>
      </c>
    </row>
    <row r="478" spans="1:3" x14ac:dyDescent="0.2">
      <c r="A478" s="152">
        <v>43678</v>
      </c>
      <c r="B478" s="151">
        <v>121.3407</v>
      </c>
    </row>
    <row r="479" spans="1:3" x14ac:dyDescent="0.2">
      <c r="A479" s="152">
        <v>43709</v>
      </c>
      <c r="B479" s="151">
        <v>121.29219999999999</v>
      </c>
    </row>
    <row r="480" spans="1:3" x14ac:dyDescent="0.2">
      <c r="A480" s="152">
        <v>43739</v>
      </c>
      <c r="B480" s="151">
        <v>121.4136</v>
      </c>
    </row>
    <row r="481" spans="1:3" x14ac:dyDescent="0.2">
      <c r="A481" s="152">
        <v>43770</v>
      </c>
      <c r="B481" s="151">
        <v>122.03279999999999</v>
      </c>
    </row>
    <row r="482" spans="1:3" x14ac:dyDescent="0.2">
      <c r="A482" s="152">
        <v>43800</v>
      </c>
      <c r="B482" s="151">
        <v>123.4363</v>
      </c>
      <c r="C482" s="155">
        <f>AVERAGE(B471:B482)</f>
        <v>120.96215833333333</v>
      </c>
    </row>
    <row r="483" spans="1:3" x14ac:dyDescent="0.2">
      <c r="A483" s="152">
        <v>43831</v>
      </c>
      <c r="B483" s="151">
        <v>123.69540000000001</v>
      </c>
    </row>
    <row r="484" spans="1:3" x14ac:dyDescent="0.2">
      <c r="A484" s="152">
        <v>43862</v>
      </c>
      <c r="B484" s="151">
        <v>124.0047</v>
      </c>
    </row>
    <row r="485" spans="1:3" x14ac:dyDescent="0.2">
      <c r="A485" s="152">
        <v>43891</v>
      </c>
      <c r="B485" s="151">
        <v>124.0915</v>
      </c>
    </row>
    <row r="486" spans="1:3" x14ac:dyDescent="0.2">
      <c r="A486" s="152">
        <v>43922</v>
      </c>
      <c r="B486" s="151">
        <v>123.7068</v>
      </c>
    </row>
    <row r="487" spans="1:3" x14ac:dyDescent="0.2">
      <c r="A487" s="152">
        <v>43952</v>
      </c>
      <c r="B487" s="151">
        <v>123.2367</v>
      </c>
    </row>
    <row r="488" spans="1:3" x14ac:dyDescent="0.2">
      <c r="A488" s="152">
        <v>43983</v>
      </c>
      <c r="B488" s="151">
        <v>123.55710000000001</v>
      </c>
    </row>
    <row r="489" spans="1:3" x14ac:dyDescent="0.2">
      <c r="A489" s="152">
        <v>44013</v>
      </c>
      <c r="B489" s="151">
        <v>124.00190000000001</v>
      </c>
    </row>
    <row r="490" spans="1:3" x14ac:dyDescent="0.2">
      <c r="A490" s="152">
        <v>44044</v>
      </c>
      <c r="B490" s="151">
        <v>124.2996</v>
      </c>
    </row>
    <row r="491" spans="1:3" x14ac:dyDescent="0.2">
      <c r="A491" s="152">
        <v>44075</v>
      </c>
      <c r="B491" s="151">
        <v>125.0951</v>
      </c>
    </row>
    <row r="492" spans="1:3" x14ac:dyDescent="0.2">
      <c r="A492" s="152">
        <v>44105</v>
      </c>
      <c r="B492" s="151">
        <v>126.17100000000001</v>
      </c>
    </row>
    <row r="493" spans="1:3" x14ac:dyDescent="0.2">
      <c r="A493" s="152">
        <v>44136</v>
      </c>
      <c r="B493" s="151">
        <v>127.29389999999999</v>
      </c>
    </row>
    <row r="494" spans="1:3" x14ac:dyDescent="0.2">
      <c r="A494" s="152">
        <v>44166</v>
      </c>
      <c r="B494" s="151">
        <v>129.01240000000001</v>
      </c>
      <c r="C494" s="155">
        <f>AVERAGE(B483:B494)</f>
        <v>124.84717499999999</v>
      </c>
    </row>
    <row r="495" spans="1:3" x14ac:dyDescent="0.2">
      <c r="A495" s="152">
        <v>44197</v>
      </c>
      <c r="B495" s="151">
        <v>129.3349</v>
      </c>
      <c r="C495" s="151"/>
    </row>
    <row r="496" spans="1:3" x14ac:dyDescent="0.2">
      <c r="A496" s="152">
        <v>44228</v>
      </c>
      <c r="B496" s="151">
        <v>130.44720000000001</v>
      </c>
    </row>
    <row r="497" spans="1:3" x14ac:dyDescent="0.2">
      <c r="A497" s="152">
        <v>44256</v>
      </c>
      <c r="B497" s="151">
        <v>131.66040000000001</v>
      </c>
    </row>
    <row r="498" spans="1:3" x14ac:dyDescent="0.2">
      <c r="A498" s="152">
        <v>44287</v>
      </c>
      <c r="B498" s="151">
        <v>132.0685</v>
      </c>
    </row>
    <row r="499" spans="1:3" x14ac:dyDescent="0.2">
      <c r="A499" s="152">
        <v>44317</v>
      </c>
      <c r="B499" s="151">
        <v>133.16480000000001</v>
      </c>
    </row>
    <row r="500" spans="1:3" x14ac:dyDescent="0.2">
      <c r="A500" s="152">
        <v>44348</v>
      </c>
      <c r="B500" s="151">
        <v>133.87049999999999</v>
      </c>
    </row>
    <row r="501" spans="1:3" x14ac:dyDescent="0.2">
      <c r="A501" s="152">
        <v>44378</v>
      </c>
      <c r="B501" s="151">
        <v>135.1557</v>
      </c>
    </row>
    <row r="502" spans="1:3" x14ac:dyDescent="0.2">
      <c r="A502" s="152">
        <v>44409</v>
      </c>
      <c r="B502" s="151">
        <v>136.33150000000001</v>
      </c>
    </row>
    <row r="503" spans="1:3" x14ac:dyDescent="0.2">
      <c r="A503" s="152">
        <v>44440</v>
      </c>
      <c r="B503" s="151">
        <v>137.91290000000001</v>
      </c>
    </row>
    <row r="504" spans="1:3" x14ac:dyDescent="0.2">
      <c r="A504" s="152">
        <v>44470</v>
      </c>
      <c r="B504" s="151">
        <v>139.63669999999999</v>
      </c>
    </row>
    <row r="505" spans="1:3" x14ac:dyDescent="0.2">
      <c r="A505" s="152">
        <v>44501</v>
      </c>
      <c r="B505" s="151">
        <v>140.96340000000001</v>
      </c>
    </row>
    <row r="506" spans="1:3" x14ac:dyDescent="0.2">
      <c r="A506" s="152">
        <v>44531</v>
      </c>
      <c r="B506" s="151">
        <v>141.9924</v>
      </c>
      <c r="C506" s="155">
        <f>AVERAGE(B495:B506)</f>
        <v>135.21157500000001</v>
      </c>
    </row>
    <row r="507" spans="1:3" x14ac:dyDescent="0.2">
      <c r="A507" s="152">
        <v>44562</v>
      </c>
      <c r="B507" s="151">
        <v>142.75919999999999</v>
      </c>
    </row>
    <row r="508" spans="1:3" x14ac:dyDescent="0.2">
      <c r="A508" s="152">
        <v>44593</v>
      </c>
      <c r="B508" s="151">
        <v>144.2011</v>
      </c>
      <c r="C508" s="151"/>
    </row>
    <row r="509" spans="1:3" x14ac:dyDescent="0.2">
      <c r="A509" s="152">
        <v>44621</v>
      </c>
      <c r="B509" s="151">
        <v>146.53720000000001</v>
      </c>
    </row>
    <row r="510" spans="1:3" x14ac:dyDescent="0.2">
      <c r="A510" s="152">
        <v>44652</v>
      </c>
      <c r="B510" s="151">
        <v>148.09059999999999</v>
      </c>
    </row>
    <row r="511" spans="1:3" x14ac:dyDescent="0.2">
      <c r="A511" s="152">
        <v>44682</v>
      </c>
      <c r="B511" s="151">
        <v>148.78659999999999</v>
      </c>
    </row>
    <row r="512" spans="1:3" x14ac:dyDescent="0.2">
      <c r="A512" s="152">
        <v>44713</v>
      </c>
      <c r="B512" s="151">
        <v>149.78360000000001</v>
      </c>
    </row>
    <row r="513" spans="1:3" x14ac:dyDescent="0.2">
      <c r="A513" s="152">
        <v>44743</v>
      </c>
      <c r="B513" s="151">
        <v>148.76499999999999</v>
      </c>
    </row>
    <row r="514" spans="1:3" x14ac:dyDescent="0.2">
      <c r="A514" s="152">
        <v>44774</v>
      </c>
      <c r="B514" s="151">
        <v>148.2295</v>
      </c>
    </row>
    <row r="515" spans="1:3" x14ac:dyDescent="0.2">
      <c r="A515" s="152">
        <v>44805</v>
      </c>
      <c r="B515" s="151">
        <v>147.7996</v>
      </c>
    </row>
    <row r="516" spans="1:3" x14ac:dyDescent="0.2">
      <c r="A516" s="152">
        <v>44835</v>
      </c>
      <c r="B516" s="151">
        <v>148.67179999999999</v>
      </c>
    </row>
    <row r="517" spans="1:3" x14ac:dyDescent="0.2">
      <c r="A517" s="152">
        <v>44866</v>
      </c>
      <c r="B517" s="151">
        <v>149.28129999999999</v>
      </c>
    </row>
    <row r="518" spans="1:3" x14ac:dyDescent="0.2">
      <c r="A518" s="152">
        <v>44896</v>
      </c>
      <c r="B518" s="151">
        <v>150.20679999999999</v>
      </c>
      <c r="C518" s="155">
        <f>AVERAGE(B507:B518)</f>
        <v>147.75935833333332</v>
      </c>
    </row>
    <row r="519" spans="1:3" x14ac:dyDescent="0.2">
      <c r="A519" s="152">
        <v>44927</v>
      </c>
      <c r="B519" s="151">
        <v>151.00280000000001</v>
      </c>
    </row>
    <row r="520" spans="1:3" x14ac:dyDescent="0.2">
      <c r="A520" s="152">
        <v>44958</v>
      </c>
      <c r="B520" s="151">
        <v>152.27119999999999</v>
      </c>
    </row>
    <row r="521" spans="1:3" x14ac:dyDescent="0.2">
      <c r="A521" s="152">
        <v>44986</v>
      </c>
      <c r="B521" s="151">
        <v>153.35239999999999</v>
      </c>
      <c r="C521" s="151"/>
    </row>
    <row r="522" spans="1:3" x14ac:dyDescent="0.2">
      <c r="A522" s="152">
        <v>45017</v>
      </c>
      <c r="B522" s="151">
        <v>154.2878</v>
      </c>
    </row>
    <row r="523" spans="1:3" x14ac:dyDescent="0.2">
      <c r="A523" s="152">
        <v>45047</v>
      </c>
      <c r="B523" s="151">
        <v>154.64259999999999</v>
      </c>
    </row>
    <row r="524" spans="1:3" x14ac:dyDescent="0.2">
      <c r="A524" s="152">
        <v>45078</v>
      </c>
      <c r="B524" s="151">
        <v>154.5189</v>
      </c>
    </row>
    <row r="525" spans="1:3" x14ac:dyDescent="0.2">
      <c r="A525" s="152">
        <v>45108</v>
      </c>
      <c r="B525" s="151">
        <v>154.70429999999999</v>
      </c>
    </row>
    <row r="526" spans="1:3" x14ac:dyDescent="0.2">
      <c r="A526" s="152">
        <v>45139</v>
      </c>
      <c r="B526" s="151">
        <v>155.06020000000001</v>
      </c>
    </row>
    <row r="527" spans="1:3" x14ac:dyDescent="0.2">
      <c r="A527" s="152">
        <v>45170</v>
      </c>
      <c r="B527" s="151">
        <v>155.46350000000001</v>
      </c>
    </row>
    <row r="528" spans="1:3" x14ac:dyDescent="0.2">
      <c r="A528" s="152">
        <v>45200</v>
      </c>
      <c r="B528" s="151">
        <v>155.8365</v>
      </c>
    </row>
    <row r="529" spans="1:3" x14ac:dyDescent="0.2">
      <c r="A529" s="152">
        <v>45231</v>
      </c>
      <c r="B529" s="151">
        <v>156.27289999999999</v>
      </c>
    </row>
    <row r="530" spans="1:3" x14ac:dyDescent="0.2">
      <c r="A530" s="156">
        <v>45261</v>
      </c>
      <c r="B530" s="155">
        <v>157.1481</v>
      </c>
      <c r="C530" s="155">
        <f>AVERAGE(B519:B530)</f>
        <v>154.54676666666668</v>
      </c>
    </row>
    <row r="531" spans="1:3" x14ac:dyDescent="0.2">
      <c r="A531" s="152">
        <v>45292</v>
      </c>
      <c r="B531" s="151">
        <v>157.8082</v>
      </c>
    </row>
    <row r="532" spans="1:3" x14ac:dyDescent="0.2">
      <c r="A532" s="152">
        <v>45323</v>
      </c>
      <c r="B532" s="151">
        <v>159.11789999999999</v>
      </c>
    </row>
    <row r="533" spans="1:3" x14ac:dyDescent="0.2">
      <c r="A533" s="152">
        <v>45352</v>
      </c>
      <c r="B533" s="151">
        <v>159.3724</v>
      </c>
    </row>
    <row r="534" spans="1:3" x14ac:dyDescent="0.2">
      <c r="A534" s="152">
        <v>45383</v>
      </c>
      <c r="B534" s="151">
        <v>159.97790000000001</v>
      </c>
      <c r="C534" s="151"/>
    </row>
    <row r="535" spans="1:3" x14ac:dyDescent="0.2">
      <c r="A535" s="152">
        <v>45413</v>
      </c>
      <c r="B535" s="151">
        <v>160.7139</v>
      </c>
    </row>
    <row r="536" spans="1:3" x14ac:dyDescent="0.2">
      <c r="A536" s="152">
        <v>45444</v>
      </c>
      <c r="B536" s="151">
        <v>161.0515</v>
      </c>
    </row>
    <row r="537" spans="1:3" x14ac:dyDescent="0.2">
      <c r="A537" s="152">
        <v>45474</v>
      </c>
      <c r="B537" s="151">
        <v>161.6635</v>
      </c>
    </row>
    <row r="538" spans="1:3" x14ac:dyDescent="0.2">
      <c r="A538" s="152">
        <v>45505</v>
      </c>
      <c r="B538" s="151">
        <v>161.63130000000001</v>
      </c>
    </row>
    <row r="539" spans="1:3" x14ac:dyDescent="0.2">
      <c r="A539" s="152">
        <v>45536</v>
      </c>
      <c r="B539" s="151">
        <v>162.3424</v>
      </c>
    </row>
    <row r="540" spans="1:3" x14ac:dyDescent="0.2">
      <c r="A540" s="152">
        <v>45566</v>
      </c>
      <c r="B540" s="151">
        <v>163.25139999999999</v>
      </c>
    </row>
    <row r="541" spans="1:3" x14ac:dyDescent="0.2">
      <c r="A541" s="152">
        <v>45597</v>
      </c>
      <c r="B541" s="151">
        <v>163.88800000000001</v>
      </c>
    </row>
    <row r="542" spans="1:3" x14ac:dyDescent="0.2">
      <c r="A542" s="156">
        <v>45627</v>
      </c>
      <c r="B542" s="155">
        <v>164.74019999999999</v>
      </c>
      <c r="C542" s="155">
        <f>AVERAGE(B531:B542)</f>
        <v>161.29655</v>
      </c>
    </row>
    <row r="543" spans="1:3" x14ac:dyDescent="0.2">
      <c r="A543" s="152">
        <v>45658</v>
      </c>
      <c r="B543" s="151">
        <v>165.00380000000001</v>
      </c>
    </row>
    <row r="544" spans="1:3" x14ac:dyDescent="0.2">
      <c r="A544" s="152">
        <v>45689</v>
      </c>
      <c r="B544" s="151">
        <v>167.16550000000001</v>
      </c>
    </row>
    <row r="545" spans="1:3" x14ac:dyDescent="0.2">
      <c r="A545" s="152">
        <v>45717</v>
      </c>
      <c r="B545" s="151">
        <v>168.10159999999999</v>
      </c>
    </row>
    <row r="546" spans="1:3" x14ac:dyDescent="0.2">
      <c r="A546" s="156">
        <v>45748</v>
      </c>
      <c r="B546" s="155">
        <v>168.8246</v>
      </c>
      <c r="C546" s="155">
        <f>AVERAGE(B543:B546)</f>
        <v>167.273875</v>
      </c>
    </row>
  </sheetData>
  <hyperlinks>
    <hyperlink ref="E9" r:id="rId1" xr:uid="{77270673-6F76-6D42-BDC3-76EF08EE4004}"/>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73A74-246A-CB44-902F-17E5FB67DEBF}">
  <dimension ref="A1:C46"/>
  <sheetViews>
    <sheetView topLeftCell="A24" zoomScale="130" zoomScaleNormal="130" workbookViewId="0">
      <selection activeCell="B32" sqref="B32"/>
    </sheetView>
  </sheetViews>
  <sheetFormatPr baseColWidth="10" defaultColWidth="8.83203125" defaultRowHeight="16" x14ac:dyDescent="0.2"/>
  <cols>
    <col min="1" max="1" width="16.5" bestFit="1" customWidth="1"/>
    <col min="2" max="2" width="8.83203125" style="106" bestFit="1"/>
  </cols>
  <sheetData>
    <row r="1" spans="1:2" x14ac:dyDescent="0.2">
      <c r="A1" s="104" t="s">
        <v>341</v>
      </c>
      <c r="B1" s="104" t="s">
        <v>342</v>
      </c>
    </row>
    <row r="2" spans="1:2" x14ac:dyDescent="0.2">
      <c r="A2" s="105">
        <v>34700</v>
      </c>
      <c r="B2" s="106">
        <v>0.91610000000000003</v>
      </c>
    </row>
    <row r="3" spans="1:2" x14ac:dyDescent="0.2">
      <c r="A3" s="105">
        <v>35065</v>
      </c>
      <c r="B3" s="106">
        <v>1.0051000000000001</v>
      </c>
    </row>
    <row r="4" spans="1:2" x14ac:dyDescent="0.2">
      <c r="A4" s="105">
        <v>35431</v>
      </c>
      <c r="B4" s="106">
        <v>1.0779000000000001</v>
      </c>
    </row>
    <row r="5" spans="1:2" x14ac:dyDescent="0.2">
      <c r="A5" s="105">
        <v>35796</v>
      </c>
      <c r="B5" s="106">
        <v>1.1605000000000001</v>
      </c>
    </row>
    <row r="6" spans="1:2" x14ac:dyDescent="0.2">
      <c r="A6" s="105">
        <v>36161</v>
      </c>
      <c r="B6" s="106">
        <v>1.8207</v>
      </c>
    </row>
    <row r="7" spans="1:2" x14ac:dyDescent="0.2">
      <c r="A7" s="105">
        <v>36526</v>
      </c>
      <c r="B7" s="106">
        <v>1.8301000000000001</v>
      </c>
    </row>
    <row r="8" spans="1:2" x14ac:dyDescent="0.2">
      <c r="A8" s="105">
        <v>36892</v>
      </c>
      <c r="B8" s="106">
        <v>2.3527</v>
      </c>
    </row>
    <row r="9" spans="1:2" x14ac:dyDescent="0.2">
      <c r="A9" s="105">
        <v>37257</v>
      </c>
      <c r="B9" s="106">
        <v>2.9213</v>
      </c>
    </row>
    <row r="10" spans="1:2" x14ac:dyDescent="0.2">
      <c r="A10" s="105">
        <v>37622</v>
      </c>
      <c r="B10" s="106">
        <v>3.0750000000000002</v>
      </c>
    </row>
    <row r="11" spans="1:2" x14ac:dyDescent="0.2">
      <c r="A11" s="105">
        <v>37987</v>
      </c>
      <c r="B11" s="106">
        <v>2.9262000000000001</v>
      </c>
    </row>
    <row r="12" spans="1:2" x14ac:dyDescent="0.2">
      <c r="A12" s="105">
        <v>38353</v>
      </c>
      <c r="B12" s="106">
        <v>2.4352</v>
      </c>
    </row>
    <row r="13" spans="1:2" x14ac:dyDescent="0.2">
      <c r="A13" s="105">
        <v>38718</v>
      </c>
      <c r="B13" s="106">
        <v>2.1738</v>
      </c>
    </row>
    <row r="14" spans="1:2" x14ac:dyDescent="0.2">
      <c r="A14" s="105">
        <v>39083</v>
      </c>
      <c r="B14" s="106">
        <v>1.9460999999999999</v>
      </c>
    </row>
    <row r="15" spans="1:2" x14ac:dyDescent="0.2">
      <c r="A15" s="105">
        <v>39448</v>
      </c>
      <c r="B15" s="106">
        <v>1.8326</v>
      </c>
    </row>
    <row r="16" spans="1:2" x14ac:dyDescent="0.2">
      <c r="A16" s="105">
        <v>39814</v>
      </c>
      <c r="B16" s="106">
        <v>1.9976</v>
      </c>
    </row>
    <row r="17" spans="1:2" x14ac:dyDescent="0.2">
      <c r="A17" s="108">
        <v>40179</v>
      </c>
      <c r="B17" s="109">
        <v>1.76</v>
      </c>
    </row>
    <row r="18" spans="1:2" x14ac:dyDescent="0.2">
      <c r="A18" s="105">
        <v>40544</v>
      </c>
      <c r="B18" s="106">
        <v>1.6722999999999999</v>
      </c>
    </row>
    <row r="19" spans="1:2" x14ac:dyDescent="0.2">
      <c r="A19" s="105">
        <v>40909</v>
      </c>
      <c r="B19" s="106">
        <v>1.9535</v>
      </c>
    </row>
    <row r="20" spans="1:2" x14ac:dyDescent="0.2">
      <c r="A20" s="105">
        <v>41275</v>
      </c>
      <c r="B20" s="106">
        <v>2.157</v>
      </c>
    </row>
    <row r="21" spans="1:2" x14ac:dyDescent="0.2">
      <c r="A21" s="105">
        <v>41640</v>
      </c>
      <c r="B21" s="106">
        <v>2.3512</v>
      </c>
    </row>
    <row r="22" spans="1:2" x14ac:dyDescent="0.2">
      <c r="A22" s="105">
        <v>42005</v>
      </c>
      <c r="B22" s="106">
        <v>3.3359999999999999</v>
      </c>
    </row>
    <row r="23" spans="1:2" x14ac:dyDescent="0.2">
      <c r="A23" s="105">
        <v>42370</v>
      </c>
      <c r="B23" s="106">
        <v>3.4839000000000002</v>
      </c>
    </row>
    <row r="24" spans="1:2" x14ac:dyDescent="0.2">
      <c r="A24" s="105">
        <v>42736</v>
      </c>
      <c r="B24" s="106">
        <v>3.1909999999999998</v>
      </c>
    </row>
    <row r="25" spans="1:2" x14ac:dyDescent="0.2">
      <c r="A25" s="105">
        <v>43101</v>
      </c>
      <c r="B25" s="106">
        <v>3.6513</v>
      </c>
    </row>
    <row r="26" spans="1:2" x14ac:dyDescent="0.2">
      <c r="A26" s="105">
        <v>43466</v>
      </c>
      <c r="B26" s="106">
        <v>3.944</v>
      </c>
    </row>
    <row r="27" spans="1:2" x14ac:dyDescent="0.2">
      <c r="A27" s="105">
        <v>43831</v>
      </c>
      <c r="B27" s="106">
        <v>5.1586999999999996</v>
      </c>
    </row>
    <row r="28" spans="1:2" x14ac:dyDescent="0.2">
      <c r="A28" s="105">
        <v>44197</v>
      </c>
      <c r="B28" s="106">
        <v>5.3958000000000004</v>
      </c>
    </row>
    <row r="29" spans="1:2" x14ac:dyDescent="0.2">
      <c r="A29" s="105">
        <v>44562</v>
      </c>
      <c r="B29" s="106">
        <v>5.1604999999999999</v>
      </c>
    </row>
    <row r="30" spans="1:2" x14ac:dyDescent="0.2">
      <c r="A30" s="105">
        <v>44927</v>
      </c>
      <c r="B30" s="106">
        <v>4.9946000000000002</v>
      </c>
    </row>
    <row r="31" spans="1:2" x14ac:dyDescent="0.2">
      <c r="A31" s="247">
        <v>45292</v>
      </c>
      <c r="B31" s="248">
        <v>5.3872</v>
      </c>
    </row>
    <row r="32" spans="1:2" x14ac:dyDescent="0.2">
      <c r="A32" s="108">
        <v>45658</v>
      </c>
      <c r="B32" s="109">
        <v>5.5891000000000002</v>
      </c>
    </row>
    <row r="35" spans="1:3" x14ac:dyDescent="0.2">
      <c r="A35" s="2" t="s">
        <v>350</v>
      </c>
    </row>
    <row r="36" spans="1:3" x14ac:dyDescent="0.2">
      <c r="A36" t="s">
        <v>343</v>
      </c>
      <c r="B36"/>
    </row>
    <row r="37" spans="1:3" x14ac:dyDescent="0.2">
      <c r="A37" t="s">
        <v>344</v>
      </c>
      <c r="B37"/>
    </row>
    <row r="38" spans="1:3" x14ac:dyDescent="0.2">
      <c r="A38" t="s">
        <v>345</v>
      </c>
      <c r="B38"/>
    </row>
    <row r="39" spans="1:3" x14ac:dyDescent="0.2">
      <c r="A39" t="s">
        <v>346</v>
      </c>
      <c r="B39"/>
    </row>
    <row r="40" spans="1:3" x14ac:dyDescent="0.2">
      <c r="A40" t="s">
        <v>347</v>
      </c>
      <c r="B40"/>
    </row>
    <row r="41" spans="1:3" x14ac:dyDescent="0.2">
      <c r="A41" t="s">
        <v>3611</v>
      </c>
      <c r="B41"/>
    </row>
    <row r="42" spans="1:3" x14ac:dyDescent="0.2">
      <c r="A42" s="107"/>
      <c r="B42"/>
    </row>
    <row r="43" spans="1:3" ht="17" x14ac:dyDescent="0.2">
      <c r="A43" s="107" t="s">
        <v>342</v>
      </c>
      <c r="B43" t="s">
        <v>348</v>
      </c>
      <c r="C43" t="s">
        <v>3610</v>
      </c>
    </row>
    <row r="44" spans="1:3" x14ac:dyDescent="0.2">
      <c r="A44" s="107"/>
      <c r="B44"/>
    </row>
    <row r="45" spans="1:3" x14ac:dyDescent="0.2">
      <c r="A45" s="107"/>
      <c r="B45"/>
    </row>
    <row r="46" spans="1:3" x14ac:dyDescent="0.2">
      <c r="A46" s="107"/>
      <c r="B46"/>
    </row>
  </sheetData>
  <hyperlinks>
    <hyperlink ref="A35" r:id="rId1" xr:uid="{31BC7D9F-31B0-D54D-9180-66BA01FDD24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19</vt:i4>
      </vt:variant>
      <vt:variant>
        <vt:lpstr>Named Ranges</vt:lpstr>
      </vt:variant>
      <vt:variant>
        <vt:i4>4</vt:i4>
      </vt:variant>
    </vt:vector>
  </HeadingPairs>
  <TitlesOfParts>
    <vt:vector size="23" baseType="lpstr">
      <vt:lpstr>Readme</vt:lpstr>
      <vt:lpstr>Inputs Table &gt;&gt;</vt:lpstr>
      <vt:lpstr>parameters</vt:lpstr>
      <vt:lpstr>gbd_2023_healthstate_appendix_t</vt:lpstr>
      <vt:lpstr>Vaccine Efficacy &gt;&gt;</vt:lpstr>
      <vt:lpstr>seroresponse</vt:lpstr>
      <vt:lpstr>Demographics &gt;&gt;</vt:lpstr>
      <vt:lpstr>life_tables</vt:lpstr>
      <vt:lpstr>age_pyramid</vt:lpstr>
      <vt:lpstr>Costs &gt;&gt;</vt:lpstr>
      <vt:lpstr>tax_rates</vt:lpstr>
      <vt:lpstr>qdenga_price</vt:lpstr>
      <vt:lpstr>pneumo-13_price</vt:lpstr>
      <vt:lpstr>chiqx_price</vt:lpstr>
      <vt:lpstr>calculations</vt:lpstr>
      <vt:lpstr>Adjustments &gt;&gt;</vt:lpstr>
      <vt:lpstr>cpi</vt:lpstr>
      <vt:lpstr>cpi_old</vt:lpstr>
      <vt:lpstr>spot_fx_rate</vt:lpstr>
      <vt:lpstr>C_C</vt:lpstr>
      <vt:lpstr>cycle_length</vt:lpstr>
      <vt:lpstr>U_I</vt:lpstr>
      <vt:lpstr>U_S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Emmanuel Fulgence Drabo</dc:creator>
  <cp:lastModifiedBy>Emmanuel Fulgence Drabo</cp:lastModifiedBy>
  <dcterms:created xsi:type="dcterms:W3CDTF">2025-11-14T18:27:25Z</dcterms:created>
  <dcterms:modified xsi:type="dcterms:W3CDTF">2026-02-16T15:07:50Z</dcterms:modified>
</cp:coreProperties>
</file>