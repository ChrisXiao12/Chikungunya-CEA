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emmanuel/Dropbox/vaccines/BMJOpen/RR1/Resubmission/"/>
    </mc:Choice>
  </mc:AlternateContent>
  <xr:revisionPtr revIDLastSave="0" documentId="13_ncr:1_{490A1704-BDA8-A84F-9B03-45051B467061}" xr6:coauthVersionLast="47" xr6:coauthVersionMax="47" xr10:uidLastSave="{00000000-0000-0000-0000-000000000000}"/>
  <bookViews>
    <workbookView xWindow="0" yWindow="660" windowWidth="29760" windowHeight="17180" activeTab="2" xr2:uid="{6CCCB85C-99E7-9B4E-9359-B3F89C549C7B}"/>
  </bookViews>
  <sheets>
    <sheet name="Readme" sheetId="18" r:id="rId1"/>
    <sheet name="Inputs Table &gt;&gt;" sheetId="19" r:id="rId2"/>
    <sheet name="parameters" sheetId="1" r:id="rId3"/>
    <sheet name="gbd_2023_healthstate_appendix_t" sheetId="20" r:id="rId4"/>
    <sheet name="Vaccine Efficacy &gt;&gt;" sheetId="17" r:id="rId5"/>
    <sheet name="seroresponse" sheetId="7" r:id="rId6"/>
    <sheet name="Demographics &gt;&gt;" sheetId="16" r:id="rId7"/>
    <sheet name="life_tables" sheetId="3" r:id="rId8"/>
    <sheet name="age_pyramid" sheetId="4" r:id="rId9"/>
    <sheet name="Costs &gt;&gt;" sheetId="15" r:id="rId10"/>
    <sheet name="tax_rates" sheetId="2" r:id="rId11"/>
    <sheet name="qdenga_price" sheetId="11" r:id="rId12"/>
    <sheet name="pneumo-13_price" sheetId="12" r:id="rId13"/>
    <sheet name="chiqx_price" sheetId="9" r:id="rId14"/>
    <sheet name="calculations" sheetId="13" r:id="rId15"/>
    <sheet name="Adjustments &gt;&gt;" sheetId="14" r:id="rId16"/>
    <sheet name="cpi" sheetId="21" r:id="rId17"/>
    <sheet name="cpi_old" sheetId="10" state="hidden" r:id="rId18"/>
    <sheet name="spot_fx_rate" sheetId="6" r:id="rId19"/>
  </sheets>
  <definedNames>
    <definedName name="C_C">parameters!$H$3</definedName>
    <definedName name="cycle_length">parameters!$H$51</definedName>
    <definedName name="fracinfected">parameters!#REF!</definedName>
    <definedName name="U_I">parameters!$H$96</definedName>
    <definedName name="U_S">parameters!$H$87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5" i="1" l="1"/>
  <c r="D19" i="21"/>
  <c r="D20" i="21"/>
  <c r="D21" i="21" s="1"/>
  <c r="D22" i="21" s="1"/>
  <c r="D23" i="21" s="1"/>
  <c r="D24" i="21" s="1"/>
  <c r="D25" i="21" s="1"/>
  <c r="D26" i="21" s="1"/>
  <c r="D27" i="21" s="1"/>
  <c r="D28" i="21" s="1"/>
  <c r="D29" i="21" s="1"/>
  <c r="D30" i="21" s="1"/>
  <c r="D31" i="21" s="1"/>
  <c r="D32" i="21" s="1"/>
  <c r="D33" i="21" s="1"/>
  <c r="D34" i="21" s="1"/>
  <c r="G112" i="1" s="1"/>
  <c r="B5" i="21"/>
  <c r="B6" i="21" s="1"/>
  <c r="B7" i="21" s="1"/>
  <c r="B8" i="21" s="1"/>
  <c r="B9" i="21" s="1"/>
  <c r="B10" i="21" s="1"/>
  <c r="B11" i="21" s="1"/>
  <c r="B12" i="21" s="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G108" i="1" l="1"/>
  <c r="G110" i="1"/>
  <c r="G106" i="1"/>
  <c r="G109" i="1"/>
  <c r="G111" i="1"/>
  <c r="G107" i="1"/>
  <c r="C546" i="10"/>
  <c r="I38" i="1"/>
  <c r="H38" i="1"/>
  <c r="G38" i="1"/>
  <c r="G49" i="1" l="1"/>
  <c r="H45" i="1" s="1"/>
  <c r="H49" i="1"/>
  <c r="O10" i="9"/>
  <c r="M10" i="9"/>
  <c r="N10" i="9"/>
  <c r="O9" i="9"/>
  <c r="M9" i="9"/>
  <c r="N9" i="9"/>
  <c r="H12" i="1"/>
  <c r="I12" i="1"/>
  <c r="G4" i="13"/>
  <c r="I4" i="13"/>
  <c r="F3" i="13"/>
  <c r="G3" i="13"/>
  <c r="H3" i="13"/>
  <c r="H4" i="13" s="1"/>
  <c r="K4" i="13" s="1"/>
  <c r="I3" i="13"/>
  <c r="J3" i="13"/>
  <c r="K3" i="13" s="1"/>
  <c r="G7" i="11"/>
  <c r="H7" i="11" s="1"/>
  <c r="I47" i="1" l="1"/>
  <c r="H47" i="1"/>
  <c r="I46" i="1"/>
  <c r="H46" i="1"/>
  <c r="G47" i="1"/>
  <c r="G46" i="1"/>
  <c r="C374" i="10"/>
  <c r="C386" i="10"/>
  <c r="C398" i="10"/>
  <c r="C410" i="10"/>
  <c r="C422" i="10"/>
  <c r="C434" i="10"/>
  <c r="C446" i="10"/>
  <c r="C458" i="10"/>
  <c r="C470" i="10"/>
  <c r="C482" i="10"/>
  <c r="C494" i="10"/>
  <c r="C506" i="10"/>
  <c r="C518" i="10"/>
  <c r="C530" i="10"/>
  <c r="C542" i="10"/>
  <c r="F18" i="9"/>
  <c r="E18" i="9"/>
  <c r="F17" i="9"/>
  <c r="E17" i="9"/>
  <c r="F16" i="9"/>
  <c r="E16" i="9"/>
  <c r="F15" i="9"/>
  <c r="E15" i="9"/>
  <c r="F14" i="9"/>
  <c r="E14" i="9"/>
  <c r="F13" i="9"/>
  <c r="E13" i="9"/>
  <c r="F12" i="9"/>
  <c r="E12" i="9"/>
  <c r="J11" i="9"/>
  <c r="I11" i="9"/>
  <c r="F11" i="9"/>
  <c r="E11" i="9"/>
  <c r="J10" i="9"/>
  <c r="I10" i="9"/>
  <c r="F10" i="9"/>
  <c r="E10" i="9"/>
  <c r="J9" i="9"/>
  <c r="I9" i="9"/>
  <c r="F9" i="9"/>
  <c r="E9" i="9"/>
  <c r="F8" i="9"/>
  <c r="E8" i="9"/>
  <c r="F7" i="9"/>
  <c r="E7" i="9"/>
  <c r="F6" i="9"/>
  <c r="E6" i="9"/>
  <c r="G19" i="1"/>
  <c r="I18" i="1"/>
  <c r="H18" i="1"/>
  <c r="I17" i="1"/>
  <c r="H17" i="1"/>
  <c r="G17" i="1"/>
  <c r="I58" i="1" l="1"/>
  <c r="H58" i="1"/>
  <c r="I36" i="1" l="1"/>
  <c r="H36" i="1"/>
  <c r="H27" i="1"/>
  <c r="I27" i="1"/>
  <c r="G27" i="1"/>
  <c r="I25" i="1"/>
  <c r="H25" i="1"/>
  <c r="G25" i="1"/>
  <c r="I24" i="1"/>
  <c r="H24" i="1"/>
  <c r="G24" i="1"/>
  <c r="I26" i="1"/>
  <c r="H26" i="1"/>
  <c r="G26" i="1"/>
  <c r="G10" i="1"/>
  <c r="I9" i="1"/>
  <c r="H9" i="1"/>
  <c r="B4" i="7" l="1"/>
  <c r="B6" i="7"/>
  <c r="G104" i="1"/>
  <c r="I79" i="1"/>
  <c r="H79" i="1"/>
  <c r="I71" i="1"/>
  <c r="H71" i="1"/>
  <c r="I60" i="1"/>
  <c r="H60" i="1"/>
  <c r="I81" i="1"/>
  <c r="H81" i="1"/>
  <c r="I84" i="1"/>
  <c r="H84" i="1"/>
  <c r="I83" i="1"/>
  <c r="H83" i="1"/>
  <c r="I82" i="1"/>
  <c r="H82" i="1"/>
  <c r="I73" i="1"/>
  <c r="H73" i="1"/>
  <c r="I77" i="1"/>
  <c r="H77" i="1"/>
  <c r="I76" i="1"/>
  <c r="H76" i="1"/>
  <c r="I75" i="1"/>
  <c r="H75" i="1"/>
  <c r="I74" i="1"/>
  <c r="H74" i="1"/>
  <c r="I69" i="1"/>
  <c r="H69" i="1"/>
  <c r="I68" i="1"/>
  <c r="H68" i="1"/>
  <c r="I67" i="1"/>
  <c r="H67" i="1"/>
  <c r="I65" i="1"/>
  <c r="H65" i="1"/>
  <c r="I64" i="1"/>
  <c r="H64" i="1"/>
  <c r="I62" i="1"/>
  <c r="H62" i="1"/>
  <c r="I55" i="1" l="1"/>
  <c r="H55" i="1"/>
  <c r="I57" i="1"/>
  <c r="H57" i="1"/>
  <c r="I56" i="1"/>
  <c r="H56" i="1"/>
  <c r="I16" i="1"/>
  <c r="H16" i="1"/>
  <c r="I54" i="1"/>
  <c r="H54" i="1"/>
  <c r="I52" i="1"/>
  <c r="H52" i="1"/>
  <c r="G40" i="1"/>
  <c r="G39" i="1"/>
  <c r="I34" i="1"/>
  <c r="H34" i="1"/>
  <c r="H39" i="1" l="1"/>
  <c r="I39" i="1"/>
  <c r="H40" i="1"/>
  <c r="I40" i="1"/>
</calcChain>
</file>

<file path=xl/sharedStrings.xml><?xml version="1.0" encoding="utf-8"?>
<sst xmlns="http://schemas.openxmlformats.org/spreadsheetml/2006/main" count="8462" uniqueCount="3614">
  <si>
    <t>Definition</t>
  </si>
  <si>
    <t>Value</t>
  </si>
  <si>
    <t>Beta</t>
  </si>
  <si>
    <t>Disease transmission rate</t>
  </si>
  <si>
    <t>Gamma</t>
  </si>
  <si>
    <t>Vaccination rate</t>
  </si>
  <si>
    <t>Background death rate</t>
  </si>
  <si>
    <t>Chronic disease recovery rate</t>
  </si>
  <si>
    <t>R0</t>
  </si>
  <si>
    <t>Source</t>
  </si>
  <si>
    <t>Assuming incubation period is 5 days so 0.2 per day</t>
  </si>
  <si>
    <t xml:space="preserve">Assumes recovery in 7-10 days, 8.5 days as midpoint. </t>
  </si>
  <si>
    <t>Schneider et al, 2023</t>
  </si>
  <si>
    <t>Assumption</t>
  </si>
  <si>
    <t>Paixao 2018</t>
  </si>
  <si>
    <t>Assume patients recover from the chronic form of disease in 12 months</t>
  </si>
  <si>
    <t>Bertolotti et al, 2020</t>
  </si>
  <si>
    <t>Haider et al, 2020</t>
  </si>
  <si>
    <t>Comments</t>
  </si>
  <si>
    <t>Calculation</t>
  </si>
  <si>
    <t>Average duration of infection, days</t>
  </si>
  <si>
    <t>Infection rate</t>
  </si>
  <si>
    <t>Incubation period, days</t>
  </si>
  <si>
    <t>Lower</t>
  </si>
  <si>
    <t>Upper</t>
  </si>
  <si>
    <t>Distribution</t>
  </si>
  <si>
    <t>Parameter</t>
  </si>
  <si>
    <t>Average duration of chronic disease, days</t>
  </si>
  <si>
    <t>Susceptible </t>
  </si>
  <si>
    <t>Exposed (Latent) </t>
  </si>
  <si>
    <t>Infectious (Acute CHIKV) </t>
  </si>
  <si>
    <t>Recovered </t>
  </si>
  <si>
    <t>Chronic Disease (Persistent Polyarthritis) </t>
  </si>
  <si>
    <t>Death </t>
  </si>
  <si>
    <t>Linde L, et al. 2013</t>
  </si>
  <si>
    <t>Schneider M et a., 2023</t>
  </si>
  <si>
    <t>Richardson et al., 2025</t>
  </si>
  <si>
    <t>SD = 0.19, assuming utility Rheumatoid Arthritis  = utility in chronic phase; N = 315</t>
  </si>
  <si>
    <t>Utility, Exposed (Latent) </t>
  </si>
  <si>
    <t>Utility, Infectious (Acute CHIKV) </t>
  </si>
  <si>
    <t>Utility, Chronic Disease (Persistent Polyarthritis) </t>
  </si>
  <si>
    <t>NA</t>
  </si>
  <si>
    <t>C_S</t>
  </si>
  <si>
    <t xml:space="preserve">Assumption </t>
  </si>
  <si>
    <t>Vaccinated </t>
  </si>
  <si>
    <t>C_V</t>
  </si>
  <si>
    <t>Sarmento T, et al. 2022 describes WTP of $31.17. Dengue vaccine in Brazil costs $70-100. YF vaccine costs $50. In the US, CHIKV vaccine costs $300-450, dengue vaccine costs $66, YF vaccine $205-235</t>
  </si>
  <si>
    <t>C_E</t>
  </si>
  <si>
    <t>de Andrade, et al. 2022</t>
  </si>
  <si>
    <t>Gonçalves, et al. 2024</t>
  </si>
  <si>
    <t>de Roo, et al. 2024</t>
  </si>
  <si>
    <t>C_D</t>
  </si>
  <si>
    <t>2017 dollars: $1 to $1.31 for 2025 dollars</t>
  </si>
  <si>
    <t>Average hospitalization cost per stay</t>
  </si>
  <si>
    <t>de Andrade quotes 1.8% hospitalization. Gonçalves quotes 0.67% (256/38830)</t>
  </si>
  <si>
    <t>PERT</t>
  </si>
  <si>
    <t>Durand et al., 2017</t>
  </si>
  <si>
    <t>From Dengue CEA</t>
  </si>
  <si>
    <t>Administration cost</t>
  </si>
  <si>
    <t>Durand report cost in 2016 Brazilian Real of 7.3 to administer 1 dose Dengue</t>
  </si>
  <si>
    <t>Average working days lost</t>
  </si>
  <si>
    <t xml:space="preserve">Bastos, et al. 2018. </t>
  </si>
  <si>
    <t xml:space="preserve">Beta </t>
  </si>
  <si>
    <t>Costs</t>
  </si>
  <si>
    <t>Vaccine wastage rate</t>
  </si>
  <si>
    <t>Currency</t>
  </si>
  <si>
    <t>Year</t>
  </si>
  <si>
    <t>Category</t>
  </si>
  <si>
    <t xml:space="preserve">Average hospitalization LOS, days </t>
  </si>
  <si>
    <t>USD</t>
  </si>
  <si>
    <t>Public share of inpatient admissions</t>
  </si>
  <si>
    <t>Average inpatient stay cost, public sector</t>
  </si>
  <si>
    <t>BRL</t>
  </si>
  <si>
    <t>Average inpatient stay cost, private sector</t>
  </si>
  <si>
    <t>Proportion of patients hospitalized</t>
  </si>
  <si>
    <t>Cohort size</t>
  </si>
  <si>
    <t>n_cohort</t>
  </si>
  <si>
    <t>Cohort</t>
  </si>
  <si>
    <t>Time</t>
  </si>
  <si>
    <t>Utilities</t>
  </si>
  <si>
    <t>Epidemic</t>
  </si>
  <si>
    <t>Vaccination Costs</t>
  </si>
  <si>
    <t>Direct Costs</t>
  </si>
  <si>
    <t>Indirect Costs</t>
  </si>
  <si>
    <t>Epidemic Parameters</t>
  </si>
  <si>
    <t>Number of bootstrap samples</t>
  </si>
  <si>
    <t>Base case willingness to pay threshold</t>
  </si>
  <si>
    <t>Calculations</t>
  </si>
  <si>
    <t>Adjustments</t>
  </si>
  <si>
    <t>Number of outpatient visits during the acute phase</t>
  </si>
  <si>
    <t>Once every 7 days (Table 2)</t>
  </si>
  <si>
    <t>Dipyrone (for minor/moderate pain treatment)</t>
  </si>
  <si>
    <t>Acetaminophen (for minor/moderate pain treatment)</t>
  </si>
  <si>
    <t>Duration of minor/moderate pain treatment, days</t>
  </si>
  <si>
    <t>Duration of severe pain treatment, days</t>
  </si>
  <si>
    <t>Tramadol (for severe pain treatment)</t>
  </si>
  <si>
    <t>Codeine (for severe pain treatment)</t>
  </si>
  <si>
    <t>Oxycodone (for severe pain treatment)</t>
  </si>
  <si>
    <t>Gonçalves, et al. 2024; Delgado-Enciso I, Paz-Michel B, Melnikov V, Guzman-Esquivel J, Espinoza-Gomez F, Soriano-Hernandez AD, et al. Smoking and female sex as key risk factors associated with severe arthralgia in acute and chronic phases of Chikungunya virus infection. Exp Ther Med 2018; 15(3): 2634-42. https://doi.org/10.3892/etm.2017.5668 [DOI] [PMC free article] [PubMed]</t>
  </si>
  <si>
    <t>Total number of reported cases in acute phase</t>
  </si>
  <si>
    <t>Share of acute phase cases with minor/moderate pain</t>
  </si>
  <si>
    <t>(2 x medical appointment amount x N0) + (47% of N0 x average amount mild/moderate treatment) + (53% of N0 x average amount severe treatment) = Tota</t>
  </si>
  <si>
    <t>Acute phase</t>
  </si>
  <si>
    <t>Number of outpatient visits during the post-acute phase</t>
  </si>
  <si>
    <t>Once every 4 weeks (Table 3)</t>
  </si>
  <si>
    <t>Total number of reported cases in post-acute phase</t>
  </si>
  <si>
    <t>Cost of prednisone (for arthritis treatment)</t>
  </si>
  <si>
    <t>Cost of ibuprofen (for treatment of nerve pain/pain without arthritis)</t>
  </si>
  <si>
    <t>Cost of amitriptyline (for treatment of nerve pain/pain without arthritis)</t>
  </si>
  <si>
    <t>Cost of gabapentin (for treatment of nerve pain/pain without arthritis)</t>
  </si>
  <si>
    <t>2-weeks treatment course</t>
  </si>
  <si>
    <t>8-weeks treatment course</t>
  </si>
  <si>
    <t>4-weeks treatment course</t>
  </si>
  <si>
    <t>(3 x medical appointment amount x N1) + (75.5% of N1 x average amount treatment with arthritis) + (24.5% of N1 x amount treatment without arthritis) = Total</t>
  </si>
  <si>
    <t>Total direct cost of acute phase, per case</t>
  </si>
  <si>
    <t>Total direct cost of post-acute phase, per case</t>
  </si>
  <si>
    <t>Share of post-acute phase cases with arthritis</t>
  </si>
  <si>
    <t>Chronic phase</t>
  </si>
  <si>
    <t>Once every 8 weeks (Table 4)</t>
  </si>
  <si>
    <t>Total number of reported cases in chronic phase</t>
  </si>
  <si>
    <t>Number of outpatient visits during the chronic phase</t>
  </si>
  <si>
    <t>Cost of hydroxychloroquine (for the treatment of mild illness)</t>
  </si>
  <si>
    <t>Cost of methotrexate (for the treatment of moderate/severe illness)</t>
  </si>
  <si>
    <t>Cost of folic acid (for the treatment of moderate/severe illness)</t>
  </si>
  <si>
    <t>Total direct cost of chronic phase, per case</t>
  </si>
  <si>
    <t>(3 x medical appointment amount x N2) + (40.4% of N2 x mild activity treatment amount) + (59.6% of N2 x moderate/intense activity treatment amount) = Total</t>
  </si>
  <si>
    <t>Share of chronic phase cases with mild illness</t>
  </si>
  <si>
    <t>Absenteeism days, infectious phase</t>
  </si>
  <si>
    <t>Absenteeism frequency, infectious phase</t>
  </si>
  <si>
    <t>Informal caregiving days, infectious phase</t>
  </si>
  <si>
    <t>Informal caregiving  frequency, infectious phase</t>
  </si>
  <si>
    <t>Absenteeism frequency, chronic phase</t>
  </si>
  <si>
    <t>Informal caregiving days, chronic phase</t>
  </si>
  <si>
    <t>Informal caregiving frequency, chronic phase</t>
  </si>
  <si>
    <t>Absenteeism days, chronic phase</t>
  </si>
  <si>
    <t>https://izajole.springeropen.com/articles/10.1186/s40172-014-0014-0</t>
  </si>
  <si>
    <t>Simplified deductions rate</t>
  </si>
  <si>
    <t>Annual cap for the simplified 20% option</t>
  </si>
  <si>
    <t>Employee monthly mandatory contribution (INSS)</t>
  </si>
  <si>
    <t>C_INSS_month</t>
  </si>
  <si>
    <t>C_SimpDed_year</t>
  </si>
  <si>
    <t>C_TaxableInc_year</t>
  </si>
  <si>
    <t>C_INSS_Rate</t>
  </si>
  <si>
    <t>Employee mandatory contribution (INSS) rate, share of gross income</t>
  </si>
  <si>
    <t>Average monthly real gross earnings</t>
  </si>
  <si>
    <t>https://www.gov.br/receitafederal/pt-br/assuntos/meu-imposto-de-renda/preenchimento/regimes</t>
  </si>
  <si>
    <t>Annual taxable income</t>
  </si>
  <si>
    <t>Simplified annual deduction amounts</t>
  </si>
  <si>
    <t>IR</t>
  </si>
  <si>
    <t>Tax rates</t>
  </si>
  <si>
    <t>upper</t>
  </si>
  <si>
    <t>lower</t>
  </si>
  <si>
    <t>parcela</t>
  </si>
  <si>
    <t>tax_rate</t>
  </si>
  <si>
    <t>lower_taxable_income</t>
  </si>
  <si>
    <t>upper_taxable_income</t>
  </si>
  <si>
    <t>Net annual income</t>
  </si>
  <si>
    <t>C_NetInc_year</t>
  </si>
  <si>
    <t>C_Parcela_year</t>
  </si>
  <si>
    <t>Work_Days_Lost</t>
  </si>
  <si>
    <t>Abs_Days_Inf</t>
  </si>
  <si>
    <t>Abs_Freq_Inf</t>
  </si>
  <si>
    <t>Abs_Freq_Chronic</t>
  </si>
  <si>
    <t>Daily absenteeism cost per patient</t>
  </si>
  <si>
    <t>C_Abs_day</t>
  </si>
  <si>
    <t>Inf_Caregiving_Days_Inf</t>
  </si>
  <si>
    <t>Inf_Caregiving_Freq_Inf</t>
  </si>
  <si>
    <t>Inf_Caregiving_Days_Chronic</t>
  </si>
  <si>
    <t>Inf_Caregiving_Freq_Chronic</t>
  </si>
  <si>
    <t>Average daily caregiving cost per patient</t>
  </si>
  <si>
    <t>C_Inf_Caregiving_day</t>
  </si>
  <si>
    <t>C_Vaccine_Admin</t>
  </si>
  <si>
    <t>qol_S</t>
  </si>
  <si>
    <t>qol_R</t>
  </si>
  <si>
    <t>qol_D</t>
  </si>
  <si>
    <t>qol_I_factor</t>
  </si>
  <si>
    <t>qol_E_factor</t>
  </si>
  <si>
    <t>qol_C_factor</t>
  </si>
  <si>
    <t>C_Gross_Inc_month</t>
  </si>
  <si>
    <t>C_Simp_Ded_Rate</t>
  </si>
  <si>
    <t>C_Simp_Ded_Cap_year</t>
  </si>
  <si>
    <t>Susceptible</t>
  </si>
  <si>
    <t>General</t>
  </si>
  <si>
    <t>qol_E</t>
  </si>
  <si>
    <t>qol_I</t>
  </si>
  <si>
    <t>qol_C</t>
  </si>
  <si>
    <t>disc_rate</t>
  </si>
  <si>
    <t>C_S_total</t>
  </si>
  <si>
    <t>C_E_total</t>
  </si>
  <si>
    <t>C_I_total</t>
  </si>
  <si>
    <t>C_R_total</t>
  </si>
  <si>
    <t>C_C_total</t>
  </si>
  <si>
    <t>Death</t>
  </si>
  <si>
    <t>C_V_NoVac_total</t>
  </si>
  <si>
    <t>C_D_total</t>
  </si>
  <si>
    <t>TaxRate</t>
  </si>
  <si>
    <t>Calculated from the Table</t>
  </si>
  <si>
    <t>&lt;&lt;-- Discounted productivity costs?</t>
  </si>
  <si>
    <t>Life expectancy</t>
  </si>
  <si>
    <t xml:space="preserve">     (Continua)</t>
  </si>
  <si>
    <t>Idades</t>
  </si>
  <si>
    <t>Probabilidades de Morte</t>
  </si>
  <si>
    <t>Óbitos</t>
  </si>
  <si>
    <t>l ( X )</t>
  </si>
  <si>
    <t>L (X, N)</t>
  </si>
  <si>
    <t>T(X)</t>
  </si>
  <si>
    <t>Expectativa de Vida</t>
  </si>
  <si>
    <t>Exatas</t>
  </si>
  <si>
    <t xml:space="preserve"> entre Duas Idades Exatas</t>
  </si>
  <si>
    <t>D (X, N)</t>
  </si>
  <si>
    <t xml:space="preserve"> à Idade X</t>
  </si>
  <si>
    <t>(X)</t>
  </si>
  <si>
    <t>Q (X, N)   (Por Mil)</t>
  </si>
  <si>
    <t>E(X)</t>
  </si>
  <si>
    <t>Notas:</t>
  </si>
  <si>
    <t>N = 1</t>
  </si>
  <si>
    <t>Q(X, N) = Probabilidades de morte entre as idades exatas X e X+N.</t>
  </si>
  <si>
    <t>l(X) = Número de sobreviventes à idade exata X.</t>
  </si>
  <si>
    <t>D(X, N) = Número de óbitos ocorridos entre as idades X e X+N.</t>
  </si>
  <si>
    <t>L(X, N) = Número de pessoas-anos vividos entre as idades X e X+N.</t>
  </si>
  <si>
    <t>T(X) = Número de pessoas-anos vividos a partir da idade X.</t>
  </si>
  <si>
    <t>E(X) = Expectativa de vida à idade X.</t>
  </si>
  <si>
    <t>90 ou mais</t>
  </si>
  <si>
    <t>Fonte: IBGE, Diretoria de Pesquisas (DPE), Coordenação de População e Indicadores Sociais (COPIS).</t>
  </si>
  <si>
    <t>Age</t>
  </si>
  <si>
    <t>M</t>
  </si>
  <si>
    <t>F</t>
  </si>
  <si>
    <t>0-4</t>
  </si>
  <si>
    <t>15-19</t>
  </si>
  <si>
    <t>20-24</t>
  </si>
  <si>
    <t>25-29</t>
  </si>
  <si>
    <t>30-34</t>
  </si>
  <si>
    <t>35-39</t>
  </si>
  <si>
    <t>40-44</t>
  </si>
  <si>
    <t>45-49</t>
  </si>
  <si>
    <t>50-54</t>
  </si>
  <si>
    <t>55-59</t>
  </si>
  <si>
    <t>60-64</t>
  </si>
  <si>
    <t>65-69</t>
  </si>
  <si>
    <t>70-74</t>
  </si>
  <si>
    <t>75-79</t>
  </si>
  <si>
    <t>80-84</t>
  </si>
  <si>
    <t>85-89</t>
  </si>
  <si>
    <t>90-94</t>
  </si>
  <si>
    <t>95-99</t>
  </si>
  <si>
    <t>100+</t>
  </si>
  <si>
    <t>https://agenciadenoticias.ibge.gov.br/en/agencia-news/2184-news-agency/news/38187-2022-census-number-of-elderly-persons-in-the-brazilian-population-grew-57-4-in-12-years</t>
  </si>
  <si>
    <t>Calculated from the life tables</t>
  </si>
  <si>
    <t>LE_at_mean_age</t>
  </si>
  <si>
    <t>Mean_age</t>
  </si>
  <si>
    <t>Base_WTP</t>
  </si>
  <si>
    <t>n_boot_samps</t>
  </si>
  <si>
    <t>Simulations</t>
  </si>
  <si>
    <t>Demographics</t>
  </si>
  <si>
    <t>GDP_Per_Capita</t>
  </si>
  <si>
    <t>https://agenciadenoticias.ibge.gov.br/en/agencia-press-room/2185-news-agency/releases-en/42777-gdp-grows-3-4-in-2024-and-closes-the-year-at-r-11-7-trillion</t>
  </si>
  <si>
    <t>1 GDP per capita for non-rare diseases (https://www.ispor.org/docs/default-source/intl2024/posterv1comautores-1-1139315-pdf.pdf?sfvrsn=501c8632_0)</t>
  </si>
  <si>
    <t>Calculation: National Commission for Health Technology Incorporation (CONITEC)</t>
  </si>
  <si>
    <t>https://www.ispor.org/heor-resources/presentations-database/presentation/intl2024-3900/139315</t>
  </si>
  <si>
    <t>hosp_LOS_days</t>
  </si>
  <si>
    <t>prop_hosp</t>
  </si>
  <si>
    <t>pub_share_ip_admissions</t>
  </si>
  <si>
    <t>C_inpatient_stay_public</t>
  </si>
  <si>
    <t>C_inpatient_stay_private</t>
  </si>
  <si>
    <t>C_outpatient_visit</t>
  </si>
  <si>
    <t>Medical appointment cost (15 min)</t>
  </si>
  <si>
    <t>n_reported_cases_postacute</t>
  </si>
  <si>
    <t>n_reported_cases_acute</t>
  </si>
  <si>
    <t>n_reported_cases_chronic</t>
  </si>
  <si>
    <t>n_outpatient_visit_acute</t>
  </si>
  <si>
    <t>n_outpatient_visit_postacute</t>
  </si>
  <si>
    <t>n_outpatient_visit_chronic</t>
  </si>
  <si>
    <t>minor_moderate_share_acute</t>
  </si>
  <si>
    <t>arthritis_share_postacute</t>
  </si>
  <si>
    <t>mild_illness_share_chronic</t>
  </si>
  <si>
    <t>minor_moderate_pain_rx_days</t>
  </si>
  <si>
    <t>C_dipyrone</t>
  </si>
  <si>
    <t>C_acetaminophen</t>
  </si>
  <si>
    <t>severe_pain_rx_days</t>
  </si>
  <si>
    <t>C_tramadol</t>
  </si>
  <si>
    <t>C_codeine</t>
  </si>
  <si>
    <t>C_oxycodone</t>
  </si>
  <si>
    <t>C_prednisone</t>
  </si>
  <si>
    <t>C_ibuprofen</t>
  </si>
  <si>
    <t>C_amitriptyline</t>
  </si>
  <si>
    <t>C_gabapentin</t>
  </si>
  <si>
    <t>C_hydroxychloroquine</t>
  </si>
  <si>
    <t>C_methotrexate</t>
  </si>
  <si>
    <t>C_folic_acid</t>
  </si>
  <si>
    <t>Post-acute phase</t>
  </si>
  <si>
    <t>C_D_hc</t>
  </si>
  <si>
    <t>Productivity loss from premature mortality, human capital approach</t>
  </si>
  <si>
    <t>CPI, 2010</t>
  </si>
  <si>
    <t>CPI, 2017</t>
  </si>
  <si>
    <t>CPI, 2019</t>
  </si>
  <si>
    <t>cpi_2010</t>
  </si>
  <si>
    <t>cpi_2017</t>
  </si>
  <si>
    <t>cpi_2019</t>
  </si>
  <si>
    <t>CPI, 2024</t>
  </si>
  <si>
    <t>cpi_2016</t>
  </si>
  <si>
    <t>CPI, 2016</t>
  </si>
  <si>
    <t>C_hosp_per_stay</t>
  </si>
  <si>
    <t>C_indirect_inf</t>
  </si>
  <si>
    <t>C_indirect_chronic</t>
  </si>
  <si>
    <t>C_direct_post_acute</t>
  </si>
  <si>
    <t>C_direct_acute</t>
  </si>
  <si>
    <t>C_direct_chronic</t>
  </si>
  <si>
    <t>Indirect cost, infectious phase</t>
  </si>
  <si>
    <t>Indirect cost, chronic phase</t>
  </si>
  <si>
    <t>Abs_Days_chronic</t>
  </si>
  <si>
    <t>qol_S * qol_E_factor</t>
  </si>
  <si>
    <t>qol_S * qol_I_factor</t>
  </si>
  <si>
    <t>qol_S * qol_C_factor</t>
  </si>
  <si>
    <t>(C_inpatient_stay_private * (1 - pub_share_ip_admissions)) + (C_inpatient_stay_public * pub_share_ip_admissions)</t>
  </si>
  <si>
    <t>Work_Days_Lost - Abs_Days_Inf</t>
  </si>
  <si>
    <t>C_Gross_Inc_month * C_INSS_Rate</t>
  </si>
  <si>
    <t>min(C_Gross_Inc_month * C_Simp_Ded_Rate * 12, C_Simp_Ded_Cap_year)</t>
  </si>
  <si>
    <t>C_Gross_Inc_month * 12 - C_INSS_month * 12 - C_SimpDed_year</t>
  </si>
  <si>
    <t>C_TaxableInc_year * TaxRate</t>
  </si>
  <si>
    <t>C_Gross_Inc_month * 12 - C_INSS_month * 12 - C_Parcela_year</t>
  </si>
  <si>
    <t>C_NetInc_year / 365</t>
  </si>
  <si>
    <t>C_Abs_day * (Abs_Days_Inf * Abs_Freq_Inf) + C_Inf_Caregiving_day * (Inf_Caregiving_Days_Inf * Inf_Caregiving_Freq_Inf)</t>
  </si>
  <si>
    <t>Wastage_Rate</t>
  </si>
  <si>
    <t>C_IXCHIQ_Dose</t>
  </si>
  <si>
    <t>C_VIMKUNYA_Dose</t>
  </si>
  <si>
    <t>C_VIMKUNYA_Dose * (1 + Wastage_Rate) + C_Vaccine_Admin</t>
  </si>
  <si>
    <t>C_IXCHIQ_Dose * (1 + Wastage_Rate) + C_Vaccine_Admin</t>
  </si>
  <si>
    <t>C_V_VIMKUNYA_total</t>
  </si>
  <si>
    <t>C_V_IXCHIQ_total</t>
  </si>
  <si>
    <t>prop_acute</t>
  </si>
  <si>
    <t>prop_postacute</t>
  </si>
  <si>
    <t>prop_chronic</t>
  </si>
  <si>
    <t>Proportion of infected patients in acute phase</t>
  </si>
  <si>
    <t>Proportion of infected patients in postacute phase</t>
  </si>
  <si>
    <t>Proportion of infected patients in chronic phase</t>
  </si>
  <si>
    <t>n_reported_cases_acute / sum(c(n_reported_cases_acute, n_reported_cases_postacute, n_reported_cases_chronic))</t>
  </si>
  <si>
    <t>n_reported_cases_postacute / sum(c(n_reported_cases_acute, n_reported_cases_postacute, n_reported_cases_chronic))</t>
  </si>
  <si>
    <t>n_reported_cases_chronic / sum(c(n_reported_cases_acute, n_reported_cases_postacute, n_reported_cases_chronic))</t>
  </si>
  <si>
    <t>https://www.gov.br/receitafederal/pt-br/assuntos/meu-imposto-de-renda/tabelas/copy_of_2024</t>
  </si>
  <si>
    <t>https://agenciadenoticias.ibge.gov.br/en/agencia-press-room/2185-news-agency/releases-en/42766-ibge-releases-per-capita-household-earnings-2024-for-brazil-and-federation-units</t>
  </si>
  <si>
    <t>observation_date</t>
  </si>
  <si>
    <t>AEXBZUS</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</si>
  <si>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</si>
  <si>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</si>
  <si>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</si>
  <si>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</si>
  <si>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</si>
  <si>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Brazilian Reals to U.S. Dollar Spot Exchange Rate, Brazilian Reals to One U.S. Dollar, Annual, Not Seasonally Adjusted</t>
  </si>
  <si>
    <t>Board of Governors of the Federal Reserve System (US), Brazilian Reals to U.S. Dollar Spot Exchange Rate [AEXBZUS], retrieved from FRED, Federal Reserve Bank of St. Louis; https://fred.stlouisfed.org/series/AEXBZUS, November 17, 2025.</t>
  </si>
  <si>
    <t>https://fred.stlouisfed.org/series/AEXBZUS</t>
  </si>
  <si>
    <t>CurrencyAdjustments</t>
  </si>
  <si>
    <t>CPIAdjustments</t>
  </si>
  <si>
    <t>DiscAdjustments</t>
  </si>
  <si>
    <t>age</t>
  </si>
  <si>
    <t>death_prob</t>
  </si>
  <si>
    <t>life_expectancy</t>
  </si>
  <si>
    <t>Inf</t>
  </si>
  <si>
    <t>ifelse(C_TaxableInc_year &lt;= 26963.20, 0, ifelse(C_TaxableInc_year &lt;= 33919.80, min(0.08 * C_TaxableInc_year, 2022.24), ifelse(C_TaxableInc_year &lt;= 45012.60, min(0.15 * C_TaxableInc_year, 4566.23), ifelse(C_TaxableInc_year &lt;= 55976.16, min(0.32 * C_TaxableInc_year, 7942.17), min(0.28 * C_TaxableInc_year, 10740.98)))))</t>
  </si>
  <si>
    <t>Lognormal</t>
  </si>
  <si>
    <t>Vaccine efficacy, IXCHIQ</t>
  </si>
  <si>
    <t>Equating seroresponse with protection</t>
  </si>
  <si>
    <t>Table 2</t>
  </si>
  <si>
    <t>seroresponse, Table 2</t>
  </si>
  <si>
    <t>Vaccine efficacy rate for placebo group at 180 days, IXCHIQ</t>
  </si>
  <si>
    <t>Vaccine efficacy rate for treatment group at 180 days, IXCHIQ</t>
  </si>
  <si>
    <t>18-64 years; 180 days after vaccination (Supplementary Table 3)</t>
  </si>
  <si>
    <t>Seroresponse_Treatment_IXCHIQ_180_days - Seroresponse_Placebo_IXCHIQ_180_days</t>
  </si>
  <si>
    <t>Vaccine efficacy at 180 days, IXCHIQ</t>
  </si>
  <si>
    <t>Annual discount rate</t>
  </si>
  <si>
    <t>Seroprotection</t>
  </si>
  <si>
    <t>IXCHIQ</t>
  </si>
  <si>
    <t>value</t>
  </si>
  <si>
    <t>Vaccine daily waning rate, IXCHIQ</t>
  </si>
  <si>
    <t>Calculated from McMahon, R., Toepfer, S., Sattler, N., et al. Antibody persistence and safety of a live-attenuated chikungunya virus vaccine up to 2 years after single-dose administration in adults in the USA: a single-arm, multicentre, phase 3b study. Lancet Infectious Diseases. 2024;24(12):1383–1392.</t>
  </si>
  <si>
    <t>VIMKUNYA</t>
  </si>
  <si>
    <t>Richardson JS, Anderson DM, Mendy J, Tindale LC, Muhammad S, Loreth T, Tredo SR, Warfield KL, Ramanathan R, Caso JT, Jenkins VA, Ajiboye P, Bedell L; EBSI-CV-317-004 Study Group. Chikungunya virus virus-like particle vaccine safety and immunogenicity in adolescents and adults in the USA: a phase 3, randomised, double-blind, placebo-controlled trial. Lancet. 2025 Apr 19;405(10487):1343-1352. doi: 10.1016/S0140-6736(25)00345-9. Epub 2025 Mar 27. PMID: 40158526.</t>
  </si>
  <si>
    <t>vaccine</t>
  </si>
  <si>
    <t>days</t>
  </si>
  <si>
    <t>source</t>
  </si>
  <si>
    <t>comments</t>
  </si>
  <si>
    <t>measure</t>
  </si>
  <si>
    <t>Seroresponse rate differences</t>
  </si>
  <si>
    <t>Health Information Platform of the Americas (PLISA). Data reported by the Ministries and Institutes of Health of the countries and territories of the Region: https://www.paho.org/en/arbo-portal/chikungunya-data-and-analysis/chikungunya-analysis-country</t>
  </si>
  <si>
    <t>Implied population</t>
  </si>
  <si>
    <t>Total cases</t>
  </si>
  <si>
    <t>total_inf_cases</t>
  </si>
  <si>
    <t>base_population</t>
  </si>
  <si>
    <t>Vaccine daily waning rate, VIMKUNYA</t>
  </si>
  <si>
    <t>Chi-square</t>
  </si>
  <si>
    <t>Rates are per 100,000 populations</t>
  </si>
  <si>
    <t>Incidence rate per unit time</t>
  </si>
  <si>
    <t>incidence_prob</t>
  </si>
  <si>
    <t>mu</t>
  </si>
  <si>
    <t>lambda_days</t>
  </si>
  <si>
    <t>gamma_days</t>
  </si>
  <si>
    <t>kappa_days</t>
  </si>
  <si>
    <t>phi_IXCHIQ_180_days</t>
  </si>
  <si>
    <t>phi_IXCHIQ</t>
  </si>
  <si>
    <t>phi_VIMKUNYA</t>
  </si>
  <si>
    <t>theta_IXCHIQ</t>
  </si>
  <si>
    <t>theta_VIMKUNYA</t>
  </si>
  <si>
    <t>Vaccine waning rate, VIMKUNYA</t>
  </si>
  <si>
    <t>Vaccine waning rate, IXCHIQ</t>
  </si>
  <si>
    <t>See Appendix</t>
  </si>
  <si>
    <t>psi_IXCHIQ_VIMKUNYA</t>
  </si>
  <si>
    <t>beta</t>
  </si>
  <si>
    <t>lambda</t>
  </si>
  <si>
    <t>kappa</t>
  </si>
  <si>
    <t>https://pmc.ncbi.nlm.nih.gov/articles/PMC12304215/pdf/41541_2025_Article_1194.pdf</t>
  </si>
  <si>
    <t>Utilities multiplier, Brazil  relative to USA</t>
  </si>
  <si>
    <t>qol_brasil_usa_multiplier</t>
  </si>
  <si>
    <t>qol_loss_severe_vae_usa</t>
  </si>
  <si>
    <t>qol_I_acute_usa</t>
  </si>
  <si>
    <t>qol_loss_serious_vae_usa</t>
  </si>
  <si>
    <t>Only two serious adverse events were considered related to VLA1553 treatment (one mild myalgia and one syndrome of inappropriate antidiuretic hormone secretion). Both participants recovered fully.</t>
  </si>
  <si>
    <t>Confidence intervals are two-sided exact Clopper–Pearson 95% confidence intervals.</t>
  </si>
  <si>
    <t>Greater or equal grade 3 (Table 3); Confidence intervals are two-sided exact Clopper–Pearson 95% confidence intervals.</t>
  </si>
  <si>
    <t>Vaccine efficacy rate at 183 days, VIMKUNYA</t>
  </si>
  <si>
    <t>Proportion of severe adverse events IXCHIQ</t>
  </si>
  <si>
    <t>Proportion of severe adverse events VIMKUNYA</t>
  </si>
  <si>
    <t>Proportion of serious adverse events IXCHIQ</t>
  </si>
  <si>
    <t>Proportion of serious adverse events VIMKUNYA</t>
  </si>
  <si>
    <t>qol_loss_severe_vse_IXCHIQ</t>
  </si>
  <si>
    <t>qol_loss_serious_vse_IXCHIQ</t>
  </si>
  <si>
    <t>qol_loss_vse_IXCHIQ</t>
  </si>
  <si>
    <t>Disutility from vaccine side effects, IXCHIQ</t>
  </si>
  <si>
    <t>Disutility from severe vaccine side effects, IXCHIQ</t>
  </si>
  <si>
    <t>Disutility from serious vaccine side effects, IXCHIQ</t>
  </si>
  <si>
    <t>Disutility from vaccine side effects, VIMKUNYA</t>
  </si>
  <si>
    <t>Disutility from serious vaccine side effects, VIMKUNYA</t>
  </si>
  <si>
    <t>Disutility from severe vaccine side effects, VIMKUNYA</t>
  </si>
  <si>
    <t>qol_loss_severe_vse_VIMKUNYA</t>
  </si>
  <si>
    <t>qol_loss_serious_vse_VIMKUNYA</t>
  </si>
  <si>
    <t>qol_loss_vse_VIMKUNYA</t>
  </si>
  <si>
    <t>prop_severe_vse_IXCHIQ</t>
  </si>
  <si>
    <t>prop_severe_vse_VIMKUNYA</t>
  </si>
  <si>
    <t>prop_serious_vse_IXCHIQ</t>
  </si>
  <si>
    <t>prop_serious_vse_VIMKUNYA</t>
  </si>
  <si>
    <t>qol_loss_severe_vse_IXCHIQ + qol_loss_serious_vse_IXCHIQ</t>
  </si>
  <si>
    <t>qol_loss_severe_vse_VIMKUNYA + qol_loss_serious_vse_VIMKUNYA</t>
  </si>
  <si>
    <t>Schneider, M. et al. Safety and immunogenicity of a single-shot liveattenuated chikungunya vaccine: a double-blind, multicentre, randomised, placebo-controlled, phase 3 trial. Lancet 401, 2138–2147 (2023).
Prosser, L. A. et al. Effects of adverse events on the projected population benefits and cost-effectiveness of using live attenuated influenza vaccine in children aged 6 months to 4 years. Arch. Pediatr. Adolesc. Med. 165, 112–118 (2011).</t>
  </si>
  <si>
    <t>qol_I / qol_I_acute_usa</t>
  </si>
  <si>
    <t xml:space="preserve"> prop_severe_vse_IXCHIQ * qol_brasil_usa_multiplier * qol_loss_severe_vae_usa</t>
  </si>
  <si>
    <t xml:space="preserve"> prop_serious_vse_IXCHIQ * qol_brasil_usa_multiplier * qol_loss_serious_vae_usa</t>
  </si>
  <si>
    <t>prop_severe_vse_VIMKUNYA * qol_brasil_usa_multiplier * qol_loss_severe_vae_usa</t>
  </si>
  <si>
    <t>prop_serious_vse_VIMKUNYA * qol_brasil_usa_multiplier * qol_loss_serious_vae_usa</t>
  </si>
  <si>
    <t>cycle_length_days</t>
  </si>
  <si>
    <t>Cycle length, days</t>
  </si>
  <si>
    <t>1 - exp(-(phi_IXCHIQ_180_days/180)*cycle_length_days)</t>
  </si>
  <si>
    <t>1 - exp(-( (total_inf_cases / base_population) / 365) * cycle_length_days)</t>
  </si>
  <si>
    <t>1 - exp(-(phi_VIMKUNYA_183_days/183)*cycle_length_days)</t>
  </si>
  <si>
    <t>1 - exp(-(psi_year/365)*cycle_length_days)</t>
  </si>
  <si>
    <t>1 - exp(-((1/gamma_days) * R0)*cycle_length_days)</t>
  </si>
  <si>
    <t>1 - exp(-(1/lambda_days)*cycle_length_days)</t>
  </si>
  <si>
    <t>1 - exp(-(1/kappa_days)*cycle_length_days)</t>
  </si>
  <si>
    <t>(C_Abs_day * (abs_days_chronic * Abs_Freq_Chronic) + C_Inf_Caregiving_day * (Inf_Caregiving_Days_Chronic * Inf_Caregiving_Freq_Chronic))</t>
  </si>
  <si>
    <t xml:space="preserve">Verstappen SMM, Boonen A, Verkleij H, et al. Productivity costs among patients with rheumatoid arthritis: the influence of methods and sources to value loss of productivity. Ann Rheum Dis 2005;64:1754–60. </t>
  </si>
  <si>
    <t xml:space="preserve">Lindsey NP, Staples JE, Fischer M. Chikungunya Virus Disease among Travelers-United States, 2014-2016. Am J Trop Med Hyg 2018;98:192–7. </t>
  </si>
  <si>
    <t>Mia MS, Begum RA, Er AC, et al. ASSESSING THE COST BURDEN OF DENGUE INFECTION TO HOUSEHOLDS IN SEREMBAN, MALAYSIA. Southeast Asian J Trop Med Public Health 2016;47:1167–76.</t>
  </si>
  <si>
    <t>Bastos MLA, Abreu F de, Silva Junior G da, et al. Inability to work due to Chikungunya virus infection: impact on public service during the first epidemic in the State of Ceará, northeastern Brazil. Braz J Infect Dis 2018; 22:248–9.
doi:10.1016/j.bjid.2018.05.002 and https://gh.bmj.com/content/9/12/e016648#T1</t>
  </si>
  <si>
    <t>Feldstein LR, Ellis EM, Rowhani-Rahbar A, et al. Estimating the cost of illness and burden of disease associated with the 2014-2015 chikungunya outbreak in the U.S. Virgin Islands. PLoS Negl Trop Dis 2019; 13.
doi:10.1371/journal.pntd.0007563</t>
  </si>
  <si>
    <t>C_Gross_Inc_month / 30</t>
  </si>
  <si>
    <t>https://pmc.ncbi.nlm.nih.gov/articles/PMC5999124/</t>
  </si>
  <si>
    <t xml:space="preserve">n_outpatient_visit_acute * C_outpatient_visit + mean(c(C_dipyrone, C_acetaminophen)) * minor_moderate_share_acute + mean(c(C_tramadol, C_codeine, C_oxycodone)) * (1 - minor_moderate_share_acute) </t>
  </si>
  <si>
    <t>n_outpatient_visit_postacute * C_outpatient_visit + arthritis_share_postacute * C_prednisone + (1 - arthritis_share_postacute) * mean(c(C_ibuprofen, C_amitriptyline, C_gabapentin))</t>
  </si>
  <si>
    <t>n_outpatient_visit_chronic * C_outpatient_visit + C_hydroxychloroquine * mild_illness_share_chronic + sum(c(C_methotrexate, C_folic_acid)) * (1 - mild_illness_share_chronic)</t>
  </si>
  <si>
    <t>(prop_postacute/(prop_postacute + prop_chronic)) * C_direct_post_acute + (prop_chronic/(prop_postacute + prop_chronic)) * C_direct_chronic + C_indirect_chronic * societal_flag</t>
  </si>
  <si>
    <t>C_hosp_per_stay * prop_hosp + C_direct_acute * (1 - prop_hosp) + C_indirect_inf * societal_flag</t>
  </si>
  <si>
    <t>pv_human_capital_weekly(age = Mean_age, retirement_age = 65, monthly_wage = C_Gross_Inc_month, remaining_life_expectancy = LE_at_mean_age, discount_rate = disc_rate, wage_growth = 0, employment_rate = 1, adjust_for_employment = TRUE, years_rounding = c("floor", "ceiling", "none")[3])</t>
  </si>
  <si>
    <t>cpi_2024</t>
  </si>
  <si>
    <t>Mean age of working age population, 15-64 years</t>
  </si>
  <si>
    <t>delta_hosp</t>
  </si>
  <si>
    <t>delta_pop</t>
  </si>
  <si>
    <t>Pedi et al. 2025</t>
  </si>
  <si>
    <t>Total column in Table 3: https://pmc.ncbi.nlm.nih.gov/articles/PMC12407205/pdf/25-0554.pdf</t>
  </si>
  <si>
    <t>delta_hosp_10years</t>
  </si>
  <si>
    <t>CHIKV case-fatality rate, hospitalized patients</t>
  </si>
  <si>
    <t>CHIKV deaths, general population, 2017</t>
  </si>
  <si>
    <t>Vidal et al. 2021</t>
  </si>
  <si>
    <t>https://onlinelibrary.wiley.com/doi/10.1111/tmi.13711</t>
  </si>
  <si>
    <t>deaths_CHIKV_pop</t>
  </si>
  <si>
    <t>CHIKV_pop</t>
  </si>
  <si>
    <t>CHIKV annual mortality rate, hospitalized patients</t>
  </si>
  <si>
    <t>CHIKV annual mortality rate, general population</t>
  </si>
  <si>
    <t>1 - exp(-delta_hosp_10years / (10*52))</t>
  </si>
  <si>
    <t>1 - exp(-(deaths_CHIKV_pop/CHIKV_pop)/52)</t>
  </si>
  <si>
    <t>Calculated from Richardson et al.</t>
  </si>
  <si>
    <t>CPI, 2018</t>
  </si>
  <si>
    <t>cpi_2018</t>
  </si>
  <si>
    <t>CHICUNGUNYA BRAZIL LEGAL PRICE</t>
  </si>
  <si>
    <t>Source: CMED (https://www.gov.br/anvisa/pt-br/assuntos/medicamentos/cmed/precos)</t>
  </si>
  <si>
    <t>ICMS % (tax)*</t>
  </si>
  <si>
    <t>PMVG (Max Gov Price, R$)</t>
  </si>
  <si>
    <t>PMC (Max Consumer Price, R$)</t>
  </si>
  <si>
    <t>PMVG (USD)</t>
  </si>
  <si>
    <t>PMC (USD)</t>
  </si>
  <si>
    <t>Public</t>
  </si>
  <si>
    <t>Private</t>
  </si>
  <si>
    <t>LB</t>
  </si>
  <si>
    <t>Base</t>
  </si>
  <si>
    <t>UB</t>
  </si>
  <si>
    <t xml:space="preserve">* Depending on the region (State of Brazil), taxes can reach 23%. </t>
  </si>
  <si>
    <t>US = 5,66 REAIS</t>
  </si>
  <si>
    <t>Term Meaning</t>
  </si>
  <si>
    <r>
      <t>PMVG Maximum Selling Price to the Government – </t>
    </r>
    <r>
      <rPr>
        <sz val="12"/>
        <color rgb="FF212121"/>
        <rFont val="Arial"/>
        <family val="2"/>
      </rPr>
      <t>​​</t>
    </r>
    <r>
      <rPr>
        <sz val="12"/>
        <color rgb="FF212121"/>
        <rFont val="Aptos"/>
      </rPr>
      <t>is the highest price at which a medicine can be sold to public bodies and entities. It is used as a reference in purchases by the SUS (Brazilian Public Health System), Ministry of Health, states and municipalities.</t>
    </r>
  </si>
  <si>
    <t>PMC Maximum Price to the Consumer – is the price ceiling that private pharmacies and hospitals can charge the final consumer. It varies according to the ICMS (Brazilian state sales tax) of each state.</t>
  </si>
  <si>
    <r>
      <t>The maximum price varies according to the taxes in each region. Taxes range from 0% to 23% and it has an impact on price</t>
    </r>
    <r>
      <rPr>
        <b/>
        <sz val="12"/>
        <color rgb="FF212121"/>
        <rFont val="Aptos"/>
      </rPr>
      <t>. This is not the final price that can be used for incorporation into the Brazilian public health system.</t>
    </r>
  </si>
  <si>
    <t>Using the price of the Qdenga vaccine as a proxy is interesting because it was the price incorporated into the public health system, which was well below that established by CMED.</t>
  </si>
  <si>
    <t xml:space="preserve">18% is usually choose as a reference for CONITEC calculation for ICER analysis </t>
  </si>
  <si>
    <t>https://fred.stlouisfed.org/series/BRACPIALLMINMEI</t>
  </si>
  <si>
    <t>Data Updated: 2025-05-15</t>
  </si>
  <si>
    <t>Consumer Price Indices (CPIs, HICPs), COICOP 1999: Consumer Price Index: Total for Brazil, Index 2015=100, Monthly, Not Seasonally Adjusted</t>
  </si>
  <si>
    <t>BRACPIALLMINMEI</t>
  </si>
  <si>
    <t>File Created: 2025-12-19 8:51 pm CST</t>
  </si>
  <si>
    <t>CPI, 2025</t>
  </si>
  <si>
    <t>C_VIMKUNYA_Dose_public</t>
  </si>
  <si>
    <t>C_VIMKUNYA_Dose_private</t>
  </si>
  <si>
    <t>C_IXCHIQ_Dose_public</t>
  </si>
  <si>
    <t>C_IXCHIQ_Dose_private</t>
  </si>
  <si>
    <t>CMED (https://www.gov.br/anvisa/pt-br/assuntos/medicamentos/cmed/precos)</t>
  </si>
  <si>
    <t>Based on average tax rate of 18%</t>
  </si>
  <si>
    <t>Weighted vaccine cost, IXCHIQ</t>
  </si>
  <si>
    <t>Weighted vaccine cost, VIMKUNYA</t>
  </si>
  <si>
    <t>C_VIMKUNYA_Dose_public * pub_share_ip_admissions + C_VIMKUNYA_Dose_private * (1 - pub_share_ip_admissions)</t>
  </si>
  <si>
    <t>Utility weight from accute disease, not hospitalized</t>
  </si>
  <si>
    <t xml:space="preserve"> USA population</t>
  </si>
  <si>
    <t>Disutilities from severe vaccine adverse events</t>
  </si>
  <si>
    <t>USA population</t>
  </si>
  <si>
    <t>Hospitalization following vaccination; USA population</t>
  </si>
  <si>
    <t>Disutilities from serious vaccine adverse events</t>
  </si>
  <si>
    <t>Chronic Disease (persistent polyarthritis) utility multiplier</t>
  </si>
  <si>
    <t>Exposed (latent) utility multiplier</t>
  </si>
  <si>
    <t>Infectious (acute CHIKV) utility multiplier</t>
  </si>
  <si>
    <t>Basic reproduction number</t>
  </si>
  <si>
    <t>VIMKUNYA dose price cap, public sector (18% average tax rate)</t>
  </si>
  <si>
    <t>VIMKUNYA dose price cap, private sector  (18% average tax rate)</t>
  </si>
  <si>
    <t>QDENGA ICER BY CONITEC - BRAZILIAN AGENCY</t>
  </si>
  <si>
    <t>Source: National Commission for the Incorporation of Technologies in the Unified Health System. (2023). Recommendation report No. 871: Tetravalent dengue vaccine (attenuated) for the prevention of infection caused by the dengue virus and its complications. Ministry of Health.</t>
  </si>
  <si>
    <t>PMVG without taxes</t>
  </si>
  <si>
    <t>PMVG 0% (R$)</t>
  </si>
  <si>
    <t>PMVG 18% (R$)</t>
  </si>
  <si>
    <t>Suggested price by Takeda for SUS (R$)</t>
  </si>
  <si>
    <t>Final price agreement (R$)</t>
  </si>
  <si>
    <t>Gap between final price and initial max price</t>
  </si>
  <si>
    <t>IXCHIQ dose price cap, public sector (18% average tax rate)</t>
  </si>
  <si>
    <t>IXCHIQ dose price cap, private sector  (18% average tax rate)</t>
  </si>
  <si>
    <t>VIMKUNYA_cost_multiplier</t>
  </si>
  <si>
    <t>Multiplier for the dose price cap for VIMKUNYA, relative to IXCHIQ</t>
  </si>
  <si>
    <t>Immunogenicity atenuation factor</t>
  </si>
  <si>
    <t xml:space="preserve">PNEUMO-13 VACCINE </t>
  </si>
  <si>
    <t>Suggested price by Pfizer for SUS (R$)</t>
  </si>
  <si>
    <t xml:space="preserve">Although the vaccine had already been incorporated in 2019 for high-risk groups, </t>
  </si>
  <si>
    <t>it was in this 2023 report (attempt to substitute PCV10 with PCV13 for all children) that the offered price became explicit and significantly below the market price, consolidating the argument for government negotiation.</t>
  </si>
  <si>
    <r>
      <t>Discount Aggressiveness:</t>
    </r>
    <r>
      <rPr>
        <sz val="12"/>
        <color rgb="FF000000"/>
        <rFont val="Aptos Narrow"/>
        <family val="2"/>
        <scheme val="minor"/>
      </rPr>
      <t> The Pfizzer  offered the vaccine for </t>
    </r>
    <r>
      <rPr>
        <b/>
        <sz val="12"/>
        <color rgb="FF000000"/>
        <rFont val="Aptos Narrow"/>
        <family val="2"/>
        <scheme val="minor"/>
      </rPr>
      <t>R$ 63.85</t>
    </r>
    <r>
      <rPr>
        <sz val="12"/>
        <color rgb="FF000000"/>
        <rFont val="Aptos Narrow"/>
        <family val="2"/>
        <scheme val="minor"/>
      </rPr>
      <t>, which represents a discount of about </t>
    </r>
    <r>
      <rPr>
        <b/>
        <sz val="12"/>
        <color rgb="FF000000"/>
        <rFont val="Aptos Narrow"/>
        <family val="2"/>
        <scheme val="minor"/>
      </rPr>
      <t>51%</t>
    </r>
    <r>
      <rPr>
        <sz val="12"/>
        <color rgb="FF000000"/>
        <rFont val="Aptos Narrow"/>
        <family val="2"/>
        <scheme val="minor"/>
      </rPr>
      <t>compared to the CMED ceiling price (R$ 131.92).</t>
    </r>
  </si>
  <si>
    <r>
      <t>Comparison with Current Prices:</t>
    </r>
    <r>
      <rPr>
        <sz val="12"/>
        <color rgb="FF000000"/>
        <rFont val="Aptos Narrow"/>
        <family val="2"/>
        <scheme val="minor"/>
      </rPr>
      <t> The offered value (R$ 63.85) was even lower than the price the government was already paying for the same vaccine for high-risk groups (CRIE), which was </t>
    </r>
    <r>
      <rPr>
        <b/>
        <sz val="12"/>
        <color rgb="FF000000"/>
        <rFont val="Aptos Narrow"/>
        <family val="2"/>
        <scheme val="minor"/>
      </rPr>
      <t>R$ 76.50</t>
    </r>
    <r>
      <rPr>
        <sz val="12"/>
        <color rgb="FF000000"/>
        <rFont val="Aptos Narrow"/>
        <family val="2"/>
        <scheme val="minor"/>
      </rPr>
      <t>.</t>
    </r>
  </si>
  <si>
    <t>Disclosures</t>
  </si>
  <si>
    <r>
      <t>Why was it not incorporated even with the discount?</t>
    </r>
    <r>
      <rPr>
        <sz val="12"/>
        <color rgb="FF000000"/>
        <rFont val="Aptos Narrow"/>
        <family val="2"/>
        <scheme val="minor"/>
      </rPr>
      <t> Despite the attractive price, Conitec recommended against incorporation based on three main pillars:</t>
    </r>
  </si>
  <si>
    <t>1.Hidden Logistics Costs: PCV13 is supplied in a pre-filled syringe (larger volume), while the current vaccine (PCV10) is a multidose vial. The change would generate an extra cost for logistics and storage (cold chain) estimated at more than R$ 16 million per year, which would "offset" part of the savings from the dose price.</t>
  </si>
  <si>
    <t>2. Industrial Policy: The current vaccine (PCV10) is produced by Fiocruz (national) via technology transfer, ensuring self-sufficiency for the country.</t>
  </si>
  <si>
    <t>3. Epidemiological Data: The Ministry of Health assessed that there was no epidemiological emergency justifying the switch, as severe cases remained stable.</t>
  </si>
  <si>
    <r>
      <rPr>
        <b/>
        <sz val="12"/>
        <color theme="1"/>
        <rFont val="Aptos Narrow"/>
        <scheme val="minor"/>
      </rPr>
      <t xml:space="preserve">Source: </t>
    </r>
    <r>
      <rPr>
        <sz val="12"/>
        <color theme="1"/>
        <rFont val="Aptos Narrow"/>
        <family val="2"/>
        <scheme val="minor"/>
      </rPr>
      <t xml:space="preserve">National Commission for the Incorporation of Technologies in the Unified Health System. (2023). </t>
    </r>
  </si>
  <si>
    <t>Recommendation report No. 819: 13-valent pneumococcal conjugate vaccine for immunization of children up to five years of age against invasive pneumococcal disease and pneumonia. Ministry of Health</t>
  </si>
  <si>
    <t>https://www.gov.br/conitec/pt-br/midias/relatorios/2023/20230710_relatorio_vacinapcv13_pneumo.pdf</t>
  </si>
  <si>
    <t>Vaccine</t>
  </si>
  <si>
    <t>QDENGA</t>
  </si>
  <si>
    <t>Pneumo13</t>
  </si>
  <si>
    <t>Price Discount</t>
  </si>
  <si>
    <t>Manufacturer</t>
  </si>
  <si>
    <t>Takeda</t>
  </si>
  <si>
    <t>Pfizer</t>
  </si>
  <si>
    <t>Manufacturer Price for SUS (R$)</t>
  </si>
  <si>
    <t>Based on QDENGA and Pneumo-13 pricing</t>
  </si>
  <si>
    <t>C_IXCHIQ_Dose_public * (1 - vaccine_price_discount) * VIMKUNYA_cost_multiplier</t>
  </si>
  <si>
    <t>C_IXCHIQ_Dose_public * (1 - vaccine_price_discount) * pub_share_ip_admissions + C_IXCHIQ_Dose_private * (1 - vaccine_price_discount)  * (1 - pub_share_ip_admissions)</t>
  </si>
  <si>
    <t>C_IXCHIQ_Dose_private * (1 - vaccine_price_discount) * VIMKUNYA_cost_multiplier</t>
  </si>
  <si>
    <t>Not implemented</t>
  </si>
  <si>
    <t>Planned for implementation</t>
  </si>
  <si>
    <t>Proportion of patients with CCA after 12 months of infection</t>
  </si>
  <si>
    <t>https://pmc.ncbi.nlm.nih.gov/articles/PMC10288966/
https://pmc.ncbi.nlm.nih.gov/articles/PMC12170793/
https://academic.oup.com/book/12265/chapter-abstract/317026498?redirectedFrom=fulltext</t>
  </si>
  <si>
    <t>gamma_d</t>
  </si>
  <si>
    <t>1 / gamma_days</t>
  </si>
  <si>
    <t>gamma_CCA_d</t>
  </si>
  <si>
    <t>(omega_year * gamma_d) / (1 - exp(-gamma_d * 365))</t>
  </si>
  <si>
    <t>gamma_rec_d</t>
  </si>
  <si>
    <t>gamma_d - gamma_CCA_d</t>
  </si>
  <si>
    <t>gamma_CCA</t>
  </si>
  <si>
    <t>gamma_rec</t>
  </si>
  <si>
    <t>1 - exp(-7 * gamma_CCA_d)</t>
  </si>
  <si>
    <t>1 - exp(-7 * gamma_rec_d)</t>
  </si>
  <si>
    <t>Daily total removal rate</t>
  </si>
  <si>
    <t>Daily removal rate into CCA</t>
  </si>
  <si>
    <t>Daily removal rate into Recovered</t>
  </si>
  <si>
    <t>Weekly removal rate into CCA</t>
  </si>
  <si>
    <t>Weekly removal rate into Recovered</t>
  </si>
  <si>
    <t>BRL to USD exchange rate, 2010</t>
  </si>
  <si>
    <t>brl_usd_fx_2010</t>
  </si>
  <si>
    <t>IXCHIQ dose cost, USA</t>
  </si>
  <si>
    <t>C_IXCHIQ_Dose_usa</t>
  </si>
  <si>
    <t>Triangular</t>
  </si>
  <si>
    <t>C_VIMKUNYA_Dose_usa</t>
  </si>
  <si>
    <t>VIMKUNYA dose cost, USA</t>
  </si>
  <si>
    <t>https://medicaid.ms.gov/wp-content/uploads/2025/06/Vaccines-Covered-Through-Pharmacy-Billing.pdf</t>
  </si>
  <si>
    <t>C_VIMKUNYA_Dose_usa / C_IXCHIQ_Dose_usa</t>
  </si>
  <si>
    <t>Overall; Figure 2</t>
  </si>
  <si>
    <t>theta_IXCHIQ_days</t>
  </si>
  <si>
    <t>theta_VIMKUNYA_days</t>
  </si>
  <si>
    <t>1 - exp(-(theta_IXCHIQ_days)*cycle_length_days)</t>
  </si>
  <si>
    <t>1 - exp(-(theta_VIMKUNYA_days)*cycle_length_days)</t>
  </si>
  <si>
    <t>Behavioural response factor</t>
  </si>
  <si>
    <t>rho_year</t>
  </si>
  <si>
    <t>pi_VIMKUNYA_vs_IXCHIQ</t>
  </si>
  <si>
    <t>VIMKUNYA preference weight, relative to IXCHIQ</t>
  </si>
  <si>
    <t>phi</t>
  </si>
  <si>
    <t>psi_stated</t>
  </si>
  <si>
    <t>Realization factor for vaccination</t>
  </si>
  <si>
    <t>Manaquin R, Desmoulin A, Luong Nguyen LB, et al. Acceptance of chikungunya vaccination: a rapid survey in Reunion island during an epidemic. Vaccine. 2025/10/03/ 2025;64:127720. doi:https://doi.org/10.1016/j.vaccine.2025.127720
40.	World Health Organization. Chikungunya - La Réunion and Mayotte. WHO. December 11, 2025. Updated May 12, 2025. Accessed December 11, 2025. https://www.who.int/emergencies/disease-outbreak-news/item/2025-DON567
41.	Curren EJ, Ellis EM, Hennessey MJ, Delorey MJ, Fischer M, Staples JE. Acceptability of a Chikungunya Virus Vaccine, United States Virgin Islands. Am J Trop Med Hyg. Feb 1 2023;108(2):363-365. doi:10.4269/ajtmh.22-0429
42.	Quenard F, Pecout F, Barry TA, et al. Acceptability of a chikungunya vaccine and dengue vaccine among travelers in Martinique (French West Indies), for the travel and for their home territory. IJID Reg. Dec 2025;17:100791. doi:10.1016/j.ijregi.2025.100791</t>
  </si>
  <si>
    <t>3-weeks vaccination rate</t>
  </si>
  <si>
    <t>seroprotection_VIMKUNYA_183_days</t>
  </si>
  <si>
    <t>seroresponse_placebo_IXCHIQ_180_days</t>
  </si>
  <si>
    <t>seroresponse_treatment_IXCHIQ_180_days</t>
  </si>
  <si>
    <t>zeta</t>
  </si>
  <si>
    <t>eta</t>
  </si>
  <si>
    <t>Ratio of actual price to vaccine price cap</t>
  </si>
  <si>
    <t>xi</t>
  </si>
  <si>
    <t>omicron</t>
  </si>
  <si>
    <t>IXCHQ preference weight</t>
  </si>
  <si>
    <t>GDP per capita</t>
  </si>
  <si>
    <t>https://www.cdc.gov/yellow-book/hcp/travel-associated-infections-diseases/chikungunya.html</t>
  </si>
  <si>
    <t>Overall, Table 2</t>
  </si>
  <si>
    <t>McMahon et al. Lancet ID. 2024</t>
  </si>
  <si>
    <t>Schneider et al. Lancet. 2023</t>
  </si>
  <si>
    <t xml:space="preserve">           BRASIL: Tábua Completa de Mortalidade - Ambos os Sexos – 2024</t>
  </si>
  <si>
    <t>Analytic time horizon, years</t>
  </si>
  <si>
    <t>time_horizon_years</t>
  </si>
  <si>
    <t>df_dw</t>
  </si>
  <si>
    <t>Devere dengue fever disability weight</t>
  </si>
  <si>
    <t>Global Burden of Disease Collaborative Network. Global Burden of Disease Study 2023 (GBD 2023) Disability Weights. Seattle, United States of America: Institute for Health Metrics and Evaluation (IHME), 2025.</t>
  </si>
  <si>
    <t>1 - df_dw</t>
  </si>
  <si>
    <t>Santos M, et al. 2021; Table 3</t>
  </si>
  <si>
    <t>sequela_name</t>
  </si>
  <si>
    <t>healthstate_name</t>
  </si>
  <si>
    <t>healthstate_description</t>
  </si>
  <si>
    <t>mean</t>
  </si>
  <si>
    <t>HIV/AIDS -  Drug-susceptible Tuberculosis without anemia</t>
  </si>
  <si>
    <t>Tuberculosis, HIV infected</t>
  </si>
  <si>
    <t>has a persistent cough and fever, shortness of breath, night sweats, weakness and fatigue and severe weight loss.</t>
  </si>
  <si>
    <t>HIV/AIDS -  Drug-susceptible Tuberculosis with mild anemia</t>
  </si>
  <si>
    <t>Tuberculosis, HIV infected and anemia, mild</t>
  </si>
  <si>
    <t>(combined DW)</t>
  </si>
  <si>
    <t>HIV/AIDS -  Drug-susceptible Tuberculosis with moderate anemia</t>
  </si>
  <si>
    <t>Tuberculosis, HIV infected and anemia, moderate</t>
  </si>
  <si>
    <t>HIV/AIDS -  Drug-susceptible Tuberculosis with severe anemia</t>
  </si>
  <si>
    <t>Tuberculosis, HIV infected and anemia, severe</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</si>
  <si>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</si>
  <si>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</si>
  <si>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</si>
  <si>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</si>
  <si>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</si>
  <si>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</si>
  <si>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</si>
  <si>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</si>
  <si>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</si>
  <si>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</si>
  <si>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</si>
  <si>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AIDS without anemia</t>
  </si>
  <si>
    <t>AIDS cases, not receiving ARV treatment</t>
  </si>
  <si>
    <t xml:space="preserve">has severe weight loss, weakness, fatigue, cough and fever, and frequent infections, skin rashes and diarrhea. </t>
  </si>
  <si>
    <t>Early HIV without anemia</t>
  </si>
  <si>
    <t>Generic uncomplicated disease: anxiety about diagnosis</t>
  </si>
  <si>
    <t>has a disease diagnosis that causes some worry but minimal interference with daily activities.</t>
  </si>
  <si>
    <t>Early HIV with mild anemia</t>
  </si>
  <si>
    <t>Anemia, mild; Generic uncomplicated disease anxiety</t>
  </si>
  <si>
    <t>Early HIV with moderate anemia</t>
  </si>
  <si>
    <t>Anemia, moderate; Generic uncomplicated disease anxiety</t>
  </si>
  <si>
    <t>Early HIV with severe anemia</t>
  </si>
  <si>
    <t>Anemia, severe; Generic uncomplicated disease anxiety</t>
  </si>
  <si>
    <t>Symptomatic HIV with mild anemia</t>
  </si>
  <si>
    <t>HIV cases, symptomatic, pre-AIDS and anemia, mild</t>
  </si>
  <si>
    <t>Symptomatic HIV with moderate anemia</t>
  </si>
  <si>
    <t>HIV cases, symptomatic, pre-AIDS and anemia, moderate</t>
  </si>
  <si>
    <t>Symptomatic HIV with severe anemia</t>
  </si>
  <si>
    <t>HIV cases, symptomatic, pre-AIDS and anemia, severe</t>
  </si>
  <si>
    <t>AIDS with mild anemia</t>
  </si>
  <si>
    <t>AIDS cases, not receiving ARV treatment and anemia, mild</t>
  </si>
  <si>
    <t>AIDS with moderate anemia</t>
  </si>
  <si>
    <t>AIDS cases, not receiving ARV treatment and anemia, moderate</t>
  </si>
  <si>
    <t>AIDS with severe anemia</t>
  </si>
  <si>
    <t>AIDS cases, not receiving ARV treatment and anemia, severe</t>
  </si>
  <si>
    <t>HIV/AIDS with antiretroviral treatment without anemia</t>
  </si>
  <si>
    <t>HIV/AIDS cases, receiving ARV treatment</t>
  </si>
  <si>
    <t>has occasional fevers and infections. The person takes daily medication that sometimes causes diarrhea.</t>
  </si>
  <si>
    <t>HIV/AIDS with antiretroviral treatment with mild anemia</t>
  </si>
  <si>
    <t>HIV/AIDS cases, receiving ARV treatment and anemia, mild</t>
  </si>
  <si>
    <t>HIV/AIDS with antiretroviral treatment with moderate anemia</t>
  </si>
  <si>
    <t>HIV/AIDS cases, receiving ARV treatment and anemia, moderate</t>
  </si>
  <si>
    <t>HIV/AIDS with antiretroviral treatment with severe anemia</t>
  </si>
  <si>
    <t>HIV/AIDS cases, receiving ARV treatment and anemia, severe</t>
  </si>
  <si>
    <t xml:space="preserve">Asymptomatic congenital syphilis </t>
  </si>
  <si>
    <t>Asymptomatic</t>
  </si>
  <si>
    <t>Early symptomatic congenital syphilis, infectious syndrome</t>
  </si>
  <si>
    <t xml:space="preserve">Infectious disease, acute episode, moderate </t>
  </si>
  <si>
    <t xml:space="preserve">has a fever and aches, and feels weak, which causes some difficulty with daily activities. </t>
  </si>
  <si>
    <t>Late symptomatic congenital syphilis, neurosyphilis</t>
  </si>
  <si>
    <t>Motor plus cognitive impairments, moderate</t>
  </si>
  <si>
    <t>has some difficulty in moving around, holding objects, dressing and sitting upright, but can walk without help. The person has low intelligence and is slow in learning to speak and to do simple tasks.</t>
  </si>
  <si>
    <t>Early symptomatic congenital syphilis, slight disfigurement</t>
  </si>
  <si>
    <t>Disfigurement, level 1</t>
  </si>
  <si>
    <t>has a slight, visible physical deformity that others notice, which causes some worry and discomfort.</t>
  </si>
  <si>
    <t>Late symptomatic congenital syphilis, slight disfigurement</t>
  </si>
  <si>
    <t>Late symptomatic congenital syphilis, unilateral hearing loss</t>
  </si>
  <si>
    <t>Hearing loss, unilateral</t>
  </si>
  <si>
    <t>can hear well with one ear but has hearing loss in the other ear, resulting in some trouble following a conversation in a noisy environment</t>
  </si>
  <si>
    <t>Asymptomatic early syphilis infection</t>
  </si>
  <si>
    <t>Mild early syphilis infection</t>
  </si>
  <si>
    <t>Infectious disease, acute episode, mild</t>
  </si>
  <si>
    <t>has a low fever and mild discomfort , but no difficulty with daily activities.</t>
  </si>
  <si>
    <t>Asymptomatic adult tertiary syphilis</t>
  </si>
  <si>
    <t>Cardiovascular complications due to adult tertiary syphilis</t>
  </si>
  <si>
    <t>Severe disfigurement due to adult tertiary syphilis</t>
  </si>
  <si>
    <t>Disfigurement, level 3</t>
  </si>
  <si>
    <t>has an obvious physical deformity that makes others uncomfortable, which causes the person to avoid social contact, feel worried, sleep poorly, and think about suicide.</t>
  </si>
  <si>
    <t>Neurological problems due to adult tertiary syphilis</t>
  </si>
  <si>
    <t>Neurological problems and cardiovascular complications due to adult tertiary syphilis</t>
  </si>
  <si>
    <t>Moderate motor plus cognitive impairments and moderate infectious disease, acute episode</t>
  </si>
  <si>
    <t>Severe disfigurement and cardiovascular complications due to adult tertiary syphilis</t>
  </si>
  <si>
    <t>Level 3 disfigurement and moderate infectious disease, acute episode</t>
  </si>
  <si>
    <t>Severe disfigurement and neurological problems due to adult tertiary syphilis</t>
  </si>
  <si>
    <t>Level 3 disfigurement and moderate motor plus cognitive impairments</t>
  </si>
  <si>
    <t>Severe disfigurement, neurological problems, and cardiovascular complications due to adult tertiary syphilis</t>
  </si>
  <si>
    <t>Level 3 disfigurement, moderate motor plus cognitive impairments, and moderate infectious disease, acute episode</t>
  </si>
  <si>
    <t>Asymptomatic chlamydial infection</t>
  </si>
  <si>
    <t>Mild chlamydial infection</t>
  </si>
  <si>
    <t>Epididymo-orchitis due to chlamydial infection</t>
  </si>
  <si>
    <t>Epididymo-orchitis</t>
  </si>
  <si>
    <t xml:space="preserve">has swelling and tenderness in the testicles and pain during urination. </t>
  </si>
  <si>
    <t>Primary infertility due to chlamydial infection</t>
  </si>
  <si>
    <t>Infertility, primary</t>
  </si>
  <si>
    <t>wants to have a child and has a fertile partner, but the couple cannot conceive.</t>
  </si>
  <si>
    <t>Secondary infertility due to chlamydial infection</t>
  </si>
  <si>
    <t>Infertility, secondary</t>
  </si>
  <si>
    <t xml:space="preserve">has at least one child, and wants to have more children. The person has a fertile partner, but the couple cannot conceive. </t>
  </si>
  <si>
    <t>Moderate pelvic inflammatory diseases due to chlamydial infection</t>
  </si>
  <si>
    <t>Abdominopelvic problem, moderate</t>
  </si>
  <si>
    <t xml:space="preserve">has pain in the belly and feels nauseous. The person has difficulties with daily activities. </t>
  </si>
  <si>
    <t>Severe pelvic inflammatory diseases due to chlamydial infection</t>
  </si>
  <si>
    <t>Abdominopelvic problem, severe</t>
  </si>
  <si>
    <t>has severe pain in the belly and feels nauseous. The person is anxious and unable to carry out daily activities.</t>
  </si>
  <si>
    <t>Asymptomatic gonococcal infection</t>
  </si>
  <si>
    <t>Mild gonococcal infection</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</si>
  <si>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</si>
  <si>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</si>
  <si>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</si>
  <si>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</si>
  <si>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</si>
  <si>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Asymptomatic trichomoniasis infection</t>
  </si>
  <si>
    <t>Acute trichomoniasis infection</t>
  </si>
  <si>
    <t>Asymptomatic herpes simplex virus-2 infection</t>
  </si>
  <si>
    <t>Recurrent symptomatic episode of genital herpes</t>
  </si>
  <si>
    <t>Initial symptomatic episode of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</si>
  <si>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</si>
  <si>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</si>
  <si>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</si>
  <si>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</si>
  <si>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Other sexually transmitted diseases residual</t>
  </si>
  <si>
    <t>Post-COMO calculation for residuals (YLL/YLD ratio, other methods)</t>
  </si>
  <si>
    <t>Latent tuberculosis infection</t>
  </si>
  <si>
    <t>Drug-susceptible tuberculosis</t>
  </si>
  <si>
    <t>Tuberculosis, not HIV infected</t>
  </si>
  <si>
    <t>has a persistent cough and fever, is short of breath, feels weak, and has lost a lot of weight.</t>
  </si>
  <si>
    <t xml:space="preserve">Multidrug-resistant tuberculosis without extensive drug resistance </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</si>
  <si>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</si>
  <si>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</si>
  <si>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</si>
  <si>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</si>
  <si>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Moderate lower respiratory infections</t>
  </si>
  <si>
    <t>Severe lower respiratory infections</t>
  </si>
  <si>
    <t>Infectious disease, acute episode, severe</t>
  </si>
  <si>
    <t>has a high fever and pain, and feels very weak, which causes great difficulty with daily activities.</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</si>
  <si>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</si>
  <si>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</si>
  <si>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</si>
  <si>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</si>
  <si>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</si>
  <si>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</si>
  <si>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</si>
  <si>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</si>
  <si>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</si>
  <si>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</si>
  <si>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</si>
  <si>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</si>
  <si>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</si>
  <si>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</si>
  <si>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</si>
  <si>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</si>
  <si>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</si>
  <si>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</si>
  <si>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</si>
  <si>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Vertigo with mild hearing loss due to chronic otitis media</t>
  </si>
  <si>
    <t>Vertigo with mild hearing loss</t>
  </si>
  <si>
    <t>Vertigo with moderate hearing loss due to chronic otitis media</t>
  </si>
  <si>
    <t>Vertigo with moderate hearing loss</t>
  </si>
  <si>
    <t>Vertigo with mild hearing loss and ringing due to chronic otitis media</t>
  </si>
  <si>
    <t>Vertigo with mild hearing loss and ringing</t>
  </si>
  <si>
    <t>Vertigo with moderate hearing loss and ringing due to chronic otitis media</t>
  </si>
  <si>
    <t>Vertigo with moderate hearing loss and ringing</t>
  </si>
  <si>
    <t>Guillain-BarrÃ© syndrome due to diarrheal diseases</t>
  </si>
  <si>
    <t>Mild diarrheal diseases</t>
  </si>
  <si>
    <t>Diarrhea, mild</t>
  </si>
  <si>
    <t>has diarrhea three or more times a day with occasional discomfort in the belly.</t>
  </si>
  <si>
    <t>Moderate diarrheal diseases</t>
  </si>
  <si>
    <t>Diarrhea, moderate</t>
  </si>
  <si>
    <t>has diarrhea three or more times a day, with painful cramps in the belly and feeling thirsty</t>
  </si>
  <si>
    <t>Severe diarrheal diseases</t>
  </si>
  <si>
    <t>Diarrhea, severe</t>
  </si>
  <si>
    <t xml:space="preserve">has diarrhea three or more times a day with severe belly cramps. The person is very thirsty and feels nauseous and tired. </t>
  </si>
  <si>
    <t>Gastrointestinal bleeding due to typhoid</t>
  </si>
  <si>
    <t>Gastric bleeding</t>
  </si>
  <si>
    <t>vomits blood and feels nauseous.</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</si>
  <si>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</si>
  <si>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</si>
  <si>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</si>
  <si>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</si>
  <si>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</si>
  <si>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</si>
  <si>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</si>
  <si>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</si>
  <si>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Other intestinal infectious diseases</t>
  </si>
  <si>
    <t>Mild malaria</t>
  </si>
  <si>
    <t>Mild malaria with mild anemia</t>
  </si>
  <si>
    <t>Infectious disease, acute episode, mild, with mild anemia</t>
  </si>
  <si>
    <t>Mild malaria with moderate anemia</t>
  </si>
  <si>
    <t>Infectious disease, acute episode, mild, with moderate anemia</t>
  </si>
  <si>
    <t>Mild malaria with severe anemia</t>
  </si>
  <si>
    <t>Infectious disease, acute episode, mild, with severe anemia</t>
  </si>
  <si>
    <t>Moderate malaria</t>
  </si>
  <si>
    <t>Moderate malaria with mild anemia</t>
  </si>
  <si>
    <t>Infectious disease, acute episode, moderate, with mild anemia</t>
  </si>
  <si>
    <t>Moderate malaria with moderate anemia</t>
  </si>
  <si>
    <t>Infectious disease, acute episode, moderate, with moderate anemia</t>
  </si>
  <si>
    <t>Moderate malaria with severe anemia</t>
  </si>
  <si>
    <t>Infectious disease, acute episode, moderate, with severe anemia</t>
  </si>
  <si>
    <t>Severe malaria</t>
  </si>
  <si>
    <t>Severe malaria with mild anemia</t>
  </si>
  <si>
    <t>Infectious disease, acute episode, severe, with mild anemia</t>
  </si>
  <si>
    <t>Severe malaria with moderate anemia</t>
  </si>
  <si>
    <t>Infectious disease, acute episode, severe, with moderate anemia</t>
  </si>
  <si>
    <t>Severe malaria with severe anemia</t>
  </si>
  <si>
    <t>Infectious disease, acute episode, severe, with severe anemia</t>
  </si>
  <si>
    <t>Asymptomatic malaria parasitemia (PfPR)</t>
  </si>
  <si>
    <t>Mild anemia due to malaria parasitemia (PfPR)</t>
  </si>
  <si>
    <t>Anemia, mild</t>
  </si>
  <si>
    <t>feels slightly tired and weak at times, but this does not interfere with normal daily activities.</t>
  </si>
  <si>
    <t>Moderate anemia due to malaria parasitemia (PfPR)</t>
  </si>
  <si>
    <t>Anemia, moderate</t>
  </si>
  <si>
    <t>feels moderate fatigue, weakness, and shortness of breath after exercise, making daily activities more difficult.</t>
  </si>
  <si>
    <t>Severe anemia due to malaria parasitemia (PfPR)</t>
  </si>
  <si>
    <t>Anemia, severe</t>
  </si>
  <si>
    <t>feels very weak, tired and short of breath, and has problems with activities that require physical effort or deep concentration.</t>
  </si>
  <si>
    <t>Asymptomatic malaria vivax (PvPR)</t>
  </si>
  <si>
    <t>Mild anemia due to malaria vivax (PvPR)</t>
  </si>
  <si>
    <t>Moderate anemia due to malaria vivax (PvPR)</t>
  </si>
  <si>
    <t>Severe anemia due to malaria vivax (PvPR)</t>
  </si>
  <si>
    <t>Moderate motor impairment due to malaria</t>
  </si>
  <si>
    <t>Motor impairment, moderate</t>
  </si>
  <si>
    <t>has some difficulty in moving around, and difficulty in lifting and holding objects, dressing and sitting upright, but is able to walk without help.</t>
  </si>
  <si>
    <t>Moderate motor impairment with blindness due to malaria</t>
  </si>
  <si>
    <t>Moderate motor impairment with blindness</t>
  </si>
  <si>
    <t>Moderate motor impairment with epilepsy due to malaria</t>
  </si>
  <si>
    <t>Moderate motor impairment with epilepsy</t>
  </si>
  <si>
    <t>Moderate motor impairment with blindness and epilepsy due to malaria</t>
  </si>
  <si>
    <t>Moderate motor impairment with blindness and epilepsy</t>
  </si>
  <si>
    <t>Severe motor impairment due to malaria</t>
  </si>
  <si>
    <t>Motor impairment, severe</t>
  </si>
  <si>
    <t xml:space="preserve">is unable to move around without help, and is not able to lift or hold objects, get dressed or sit upright. </t>
  </si>
  <si>
    <t xml:space="preserve">Severe motor impairment with blindness due to malaria </t>
  </si>
  <si>
    <t>Severe motor impairment with blindness</t>
  </si>
  <si>
    <t>Severe motor impairment with epilepsy due to malaria</t>
  </si>
  <si>
    <t>Severe motor impairment with epilepsy</t>
  </si>
  <si>
    <t>Moderate motor plus cognitive impairment with blindness due to malaria</t>
  </si>
  <si>
    <t>Moderate motor plus cognitive impairment with blindness</t>
  </si>
  <si>
    <t>Moderate motor plus cognitive impairment with epilepsy due to malaria</t>
  </si>
  <si>
    <t>Moderate motor plus cognitive impairment with epilepsy</t>
  </si>
  <si>
    <t>Moderate motor plus cognitive impairment with blindness and epilepsy due to malaria</t>
  </si>
  <si>
    <t>Moderate motor plus cognitive impairment with blindness and epilepsy</t>
  </si>
  <si>
    <t>Severe motor impairment with blindness and epilepsy due to malaria</t>
  </si>
  <si>
    <t>Severe motor impairment with blindness and epilepsy</t>
  </si>
  <si>
    <t>Severe motor plus cognitive impairment with blindness due to malaria</t>
  </si>
  <si>
    <t>Severe motor plus cognitive impairment with blindness</t>
  </si>
  <si>
    <t>Severe motor plus cognitive impairment with epilepsy due to malaria</t>
  </si>
  <si>
    <t>Severe motor plus cognitive impairment with epilepsy</t>
  </si>
  <si>
    <t>Severe motor plus cognitive impairment with blindness and epilepsy due to malaria</t>
  </si>
  <si>
    <t>Severe motor plus cognitive impairment with blindness and epilepsy</t>
  </si>
  <si>
    <t>Acute Chagas disease</t>
  </si>
  <si>
    <t>Asymptomatic Chagas disease</t>
  </si>
  <si>
    <t>Atrial fibrillation and flutter due to Chagas disease</t>
  </si>
  <si>
    <t>Cardiac conduction disorders and cardiac dysrhythmias</t>
  </si>
  <si>
    <t xml:space="preserve">has periods of rapid and irregular heartbeats and occasional fainting. </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</si>
  <si>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</si>
  <si>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</si>
  <si>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</si>
  <si>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Moderate heart failure due to Chagas disease</t>
  </si>
  <si>
    <t>Heart failure, moderate</t>
  </si>
  <si>
    <t>is short of breath and easily tires with minimal physical activity, such as walking only a short distance. The person feels comfortable at rest but avoids moderate activity.</t>
  </si>
  <si>
    <t>Severe heart failure due to Chagas disease</t>
  </si>
  <si>
    <t>Heart failure, severe</t>
  </si>
  <si>
    <t xml:space="preserve">is short of breath and feels tired when at rest. The person avoids any physical activity, for fear of worsening the breathing problems. </t>
  </si>
  <si>
    <t>Mild chronic digestive disease due to Chagas disease</t>
  </si>
  <si>
    <t>Abdominopelvic problem, mild</t>
  </si>
  <si>
    <t>has some pain in the belly that causes nausea but does not interfere with daily activities.</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</si>
  <si>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</si>
  <si>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</si>
  <si>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</si>
  <si>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</si>
  <si>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</si>
  <si>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</si>
  <si>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</si>
  <si>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</si>
  <si>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</si>
  <si>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</si>
  <si>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</si>
  <si>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</si>
  <si>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</si>
  <si>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</si>
  <si>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</si>
  <si>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Sleeping sickness due to Trypanosoma brucei rhodesiense</t>
  </si>
  <si>
    <t>Skin disfigurement due to Trypanosoma brucei rhodesiense</t>
  </si>
  <si>
    <t>Mild schistosomiasis without anemia</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</si>
  <si>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</si>
  <si>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</si>
  <si>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</si>
  <si>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</si>
  <si>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</si>
  <si>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</si>
  <si>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</si>
  <si>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</si>
  <si>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</si>
  <si>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</si>
  <si>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Neurocysticercosis with epilepsy</t>
  </si>
  <si>
    <t>Epilepsy</t>
  </si>
  <si>
    <t>Chronic respiratory disease due to cystic echinococcosis</t>
  </si>
  <si>
    <t>COPD and other chronic respiratory problems, mild</t>
  </si>
  <si>
    <t>has cough and shortness of breath after heavy physical activity, but is able to walk long distances and climb stairs.</t>
  </si>
  <si>
    <t>Abdominal problems due to cystic echinococcosis</t>
  </si>
  <si>
    <t>Epilepsy due to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</si>
  <si>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</si>
  <si>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</si>
  <si>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</si>
  <si>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</si>
  <si>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</si>
  <si>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</si>
  <si>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Asymptomatic onchocerciasis</t>
  </si>
  <si>
    <t>Mild skin disease without itch due to onchocerciasis</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</si>
  <si>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</si>
  <si>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</si>
  <si>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</si>
  <si>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</si>
  <si>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</si>
  <si>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Severe skin disease due to onchocerciasis</t>
  </si>
  <si>
    <t>Moderate vision impairment due to onchocerciasis</t>
  </si>
  <si>
    <t>Distance vision, moderate impairment</t>
  </si>
  <si>
    <t>has vision problems that make it difficult to recognize faces or objects across a room.</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</si>
  <si>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</si>
  <si>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</si>
  <si>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</si>
  <si>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Blindness due to onchocerciasis</t>
  </si>
  <si>
    <t>Distance vision blindness</t>
  </si>
  <si>
    <t xml:space="preserve">is completely blind, which causes great difficulty in some daily activities, worry and anxiety, and great difficulty going outside the home without assistance. </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</si>
  <si>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</si>
  <si>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</si>
  <si>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</si>
  <si>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</si>
  <si>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</si>
  <si>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</si>
  <si>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</si>
  <si>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</si>
  <si>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</si>
  <si>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</si>
  <si>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</si>
  <si>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</si>
  <si>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</si>
  <si>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</si>
  <si>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</si>
  <si>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</si>
  <si>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Mild abdominopelvic problems due to ascariasis</t>
  </si>
  <si>
    <t>Severe wasting due to ascariasis</t>
  </si>
  <si>
    <t>Severe wasting</t>
  </si>
  <si>
    <t xml:space="preserve">is extremely skinny and has no energy. </t>
  </si>
  <si>
    <t>Asymptomatic trichuriasis</t>
  </si>
  <si>
    <t>Heavy infestation of trichuriasis</t>
  </si>
  <si>
    <t>Mild abdominopelvic problems due to trichuriasis</t>
  </si>
  <si>
    <t>Severe wasting due to trichuriasis</t>
  </si>
  <si>
    <t>Asymptomatic hookworm</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</si>
  <si>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</si>
  <si>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</si>
  <si>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</si>
  <si>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</si>
  <si>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</si>
  <si>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</si>
  <si>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</si>
  <si>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</si>
  <si>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</si>
  <si>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</si>
  <si>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</si>
  <si>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</si>
  <si>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</si>
  <si>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</si>
  <si>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</si>
  <si>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</si>
  <si>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</si>
  <si>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</si>
  <si>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Heavy clonorchiasis due to food-borne trematodiases</t>
  </si>
  <si>
    <t>Heavy fascioliasis due to food-borne trematodiases</t>
  </si>
  <si>
    <t>Heavy intestinal fluke infection due to food-borne trematodiases</t>
  </si>
  <si>
    <t>Heavy opisthorchiasis due to food-borne trematodiases</t>
  </si>
  <si>
    <t>Cerebral paragonimiasis</t>
  </si>
  <si>
    <t>Disfigurement level 1 due to leprosy</t>
  </si>
  <si>
    <t>Disfigurement level 2 due to leprosy</t>
  </si>
  <si>
    <t>Ebola cases</t>
  </si>
  <si>
    <t>Post-Ebola chronic fatigue syndrome</t>
  </si>
  <si>
    <t>Asymptomatic Zika infection</t>
  </si>
  <si>
    <t>Acute Zika infection</t>
  </si>
  <si>
    <t>Congenital Zika syndrome</t>
  </si>
  <si>
    <t>Guillainâ€“BarrÃ© syndrome due to Zika infection</t>
  </si>
  <si>
    <t>Mild pain due to Guinea worm emergence</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</si>
  <si>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</si>
  <si>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</si>
  <si>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</si>
  <si>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Acute infection due to other neglected tropical diseases</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</si>
  <si>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</si>
  <si>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</si>
  <si>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</si>
  <si>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</si>
  <si>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</si>
  <si>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</si>
  <si>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</si>
  <si>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 xml:space="preserve">is hyperactive and has difficulty concentrating, remembering things, and completing tasks. </t>
  </si>
  <si>
    <t>Borderline intellectual disability due to meningitis</t>
  </si>
  <si>
    <t>Borderline intellectual functioning</t>
  </si>
  <si>
    <t>is slow in learning at school. As an adult, the person has some difficulty doing complex or unfamiliar tasks but otherwise functions independently.</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</si>
  <si>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</si>
  <si>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</si>
  <si>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</si>
  <si>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</si>
  <si>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</si>
  <si>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</si>
  <si>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</si>
  <si>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</si>
  <si>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</si>
  <si>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</si>
  <si>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</si>
  <si>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</si>
  <si>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</si>
  <si>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</si>
  <si>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</si>
  <si>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</si>
  <si>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</si>
  <si>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</si>
  <si>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</si>
  <si>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</si>
  <si>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</si>
  <si>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</si>
  <si>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</si>
  <si>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</si>
  <si>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</si>
  <si>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</si>
  <si>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</si>
  <si>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</si>
  <si>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</si>
  <si>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</si>
  <si>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</si>
  <si>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</si>
  <si>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</si>
  <si>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</si>
  <si>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</si>
  <si>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</si>
  <si>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</si>
  <si>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</si>
  <si>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</si>
  <si>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</si>
  <si>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</si>
  <si>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Moderately severe hearing loss with ringing due to meningitis</t>
  </si>
  <si>
    <t>Hearing loss, moderately severe, with ringing</t>
  </si>
  <si>
    <t>Monocular distance vision loss due to meningitis</t>
  </si>
  <si>
    <t>Distance vision, monocular</t>
  </si>
  <si>
    <t>is blind in one eye and has difficulty judging distances</t>
  </si>
  <si>
    <t>Epilepsy due to meningitis</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</si>
  <si>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</si>
  <si>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</si>
  <si>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</si>
  <si>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</si>
  <si>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</si>
  <si>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</si>
  <si>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</si>
  <si>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</si>
  <si>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</si>
  <si>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</si>
  <si>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</si>
  <si>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</si>
  <si>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</si>
  <si>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</si>
  <si>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Epilepsy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</si>
  <si>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</si>
  <si>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</si>
  <si>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</si>
  <si>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</si>
  <si>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</si>
  <si>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</si>
  <si>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</si>
  <si>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</si>
  <si>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</si>
  <si>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impairment with epilepsy due to neonatal tetanus</t>
  </si>
  <si>
    <t>Moderate motor impairment with blindness and epilepsy due to neonatal tetanus</t>
  </si>
  <si>
    <t>Moderate motor plus cognitive impairment with blindness due to neonatal tetanus</t>
  </si>
  <si>
    <t>Moderate motor plus cognitive impairment with epilepsy due to neonatal tetanus</t>
  </si>
  <si>
    <t>Moderate motor plus cognitive impairment with blindness and epilepsy due to neonatal tetanus</t>
  </si>
  <si>
    <t xml:space="preserve">Severe motor impairment with blindness due to neonatal tetanus </t>
  </si>
  <si>
    <t>Severe motor impairment with epilepsy due to neonatal tetanus</t>
  </si>
  <si>
    <t>Severe motor impairment with blindness and epilepsy due to neonatal tetanus</t>
  </si>
  <si>
    <t>Severe motor plus cognitive impairment with blindness due to neonatal tetanus</t>
  </si>
  <si>
    <t>Severe motor plus cognitive impairment with epilepsy due to neonatal tetanus</t>
  </si>
  <si>
    <t>Severe motor plus cognitive impairment with blindness and epilepsy due to neonatal tetanus</t>
  </si>
  <si>
    <t>Moderate measles</t>
  </si>
  <si>
    <t>Severe measles</t>
  </si>
  <si>
    <t>Chickenpox</t>
  </si>
  <si>
    <t>Herpes zoster</t>
  </si>
  <si>
    <t>has a blistering skin rash that causes pain, with some burning and itching.</t>
  </si>
  <si>
    <t>Asymptomatic acute hepatitis A</t>
  </si>
  <si>
    <t>Moderate acute hepatitis A</t>
  </si>
  <si>
    <t>Severe acute hepatitis A</t>
  </si>
  <si>
    <t>Asymptomatic acute hepatitis B</t>
  </si>
  <si>
    <t>Moderate acute hepatitis B</t>
  </si>
  <si>
    <t>Severe acute hepatitis B</t>
  </si>
  <si>
    <t>Asymptomatic acute hepatitis C</t>
  </si>
  <si>
    <t>Moderate acute hepatitis C</t>
  </si>
  <si>
    <t>Severe acute hepatitis C</t>
  </si>
  <si>
    <t>Asymptomatic acute hepatitis E</t>
  </si>
  <si>
    <t>Moderate acute hepatitis E</t>
  </si>
  <si>
    <t>Severe acute hepatitis E</t>
  </si>
  <si>
    <t>Guillain-BarrÃ© syndrome due to other infectious diseases</t>
  </si>
  <si>
    <t>Mild anemia due to other infectious diseases</t>
  </si>
  <si>
    <t>Moderate anemia due to other infectious diseases</t>
  </si>
  <si>
    <t>Severe anemia due to other infectious diseases</t>
  </si>
  <si>
    <t>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</si>
  <si>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</si>
  <si>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</si>
  <si>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</si>
  <si>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</si>
  <si>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</si>
  <si>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</si>
  <si>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</si>
  <si>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 without anemia</t>
  </si>
  <si>
    <t>Long term sequelae of severe pre-eclampsia</t>
  </si>
  <si>
    <t>Tension-type headaches, mild motor plus cognitive impairment</t>
  </si>
  <si>
    <t>Long term sequelae of eclampsia</t>
  </si>
  <si>
    <t>Other hypertensive disorders of pregnancy</t>
  </si>
  <si>
    <t>Severe pre-eclampsia</t>
  </si>
  <si>
    <t>Moderate abdominal pain, tension-type headaches, mild motor plus cognitive impairment</t>
  </si>
  <si>
    <t>Eclampsia</t>
  </si>
  <si>
    <t>Moderate abdominal pain and severe epilepsy</t>
  </si>
  <si>
    <t>Obstructed labor, acute event</t>
  </si>
  <si>
    <t>Rectovaginal fistula</t>
  </si>
  <si>
    <t xml:space="preserve">has an abnormal opening between her vagina and rectum causing flatulence and feces to escape through the vagina. The person gets infections in her vagina, and has pain when urinating. </t>
  </si>
  <si>
    <t>Vesicovaginal fistula</t>
  </si>
  <si>
    <t>has an abnormal opening between the bladder and the vagina, which makes her unable to control urinating. The woman is anxious and depressed.</t>
  </si>
  <si>
    <t>Maternal abortive outcome</t>
  </si>
  <si>
    <t>Ectopic Pregnancy</t>
  </si>
  <si>
    <t>Other maternal disorders</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</si>
  <si>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</si>
  <si>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</si>
  <si>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</si>
  <si>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</si>
  <si>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</si>
  <si>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</si>
  <si>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</si>
  <si>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</si>
  <si>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</si>
  <si>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</si>
  <si>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</si>
  <si>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</si>
  <si>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</si>
  <si>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</si>
  <si>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</si>
  <si>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impairment with epilepsy due to neonatal preterm birth complications 32-36wks</t>
  </si>
  <si>
    <t>Moderate motor impairment with epilepsy due to neonatal preterm birth complications 28-32wks</t>
  </si>
  <si>
    <t>Moderate motor impairment with epilepsy due to neonatal preterm birth complications &lt;28wks</t>
  </si>
  <si>
    <t>Moderate motor impairment with blindness and epilepsy due to neonatal preterm birth complications 32-36wks</t>
  </si>
  <si>
    <t>Moderate motor impairment with blindness and epilepsy due to neonatal preterm birth complications 28-32wks</t>
  </si>
  <si>
    <t>Moderate motor impairment with blindness and epilepsy due to neonatal preterm birth complications &lt;28wks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</si>
  <si>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</si>
  <si>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</si>
  <si>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</si>
  <si>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Moderate motor plus cognitive impairment with epilepsy due to neonatal preterm birth complications 32-36wks</t>
  </si>
  <si>
    <t>Moderate motor plus cognitive impairment with epilepsy due to neonatal preterm birth complications &lt;28wks</t>
  </si>
  <si>
    <t>Moderate motor plus cognitive impairment with epilepsy due to neonatal preterm birth complications 28-32wks</t>
  </si>
  <si>
    <t>Moderate motor plus cognitive impairment with blindness and epilepsy due to neonatal preterm birth complications 32-36wks</t>
  </si>
  <si>
    <t>Moderate motor plus cognitive impairment with blindness and epilepsy due to neonatal preterm birth complications &lt;28wks</t>
  </si>
  <si>
    <t>Moderate motor plus cognitive impairment with blindness and epilepsy due to neonatal preterm birth complications 28-32wks</t>
  </si>
  <si>
    <t xml:space="preserve">Severe motor impairment with blindness due to neonatal preterm birth complications 28-32wks </t>
  </si>
  <si>
    <t xml:space="preserve">Severe motor impairment with blindness due to neonatal preterm birth complications &lt;28wks </t>
  </si>
  <si>
    <t xml:space="preserve">Severe motor impairment with blindness due to neonatal preterm birth complications 32-36wks </t>
  </si>
  <si>
    <t>Severe motor impairment with epilepsy due to neonatal preterm birth complications 32-36wks</t>
  </si>
  <si>
    <t>Severe motor impairment with epilepsy due to neonatal preterm birth complications &lt;28wks</t>
  </si>
  <si>
    <t>Severe motor impairment with epilepsy due to neonatal preterm birth complications 28-32wks</t>
  </si>
  <si>
    <t>Severe motor impairment with blindness and epilepsy due to neonatal preterm birth complications &lt;28wks</t>
  </si>
  <si>
    <t>Severe motor impairment with blindness and epilepsy due to neonatal preterm birth complications 28-32wks</t>
  </si>
  <si>
    <t>Severe motor impairment with blindness and epilepsy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</si>
  <si>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</si>
  <si>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</si>
  <si>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</si>
  <si>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Severe motor plus cognitive impairment with epilepsy due to neonatal preterm birth complications &lt;28wks</t>
  </si>
  <si>
    <t>Severe motor plus cognitive impairment with epilepsy due to neonatal preterm birth complications 32-36wks</t>
  </si>
  <si>
    <t>Severe motor plus cognitive impairment with epilepsy due to neonatal preterm birth complications 28-32wks</t>
  </si>
  <si>
    <t>Severe motor plus cognitive impairment with blindness and epilepsy due to neonatal preterm birth complications 28-32wks</t>
  </si>
  <si>
    <t>Severe motor plus cognitive impairment with blindness and epilepsy due to neonatal preterm birth complications &lt;28wks</t>
  </si>
  <si>
    <t>Severe motor plus cognitive impairment with blindness and epilepsy due to neonatal preterm birth complications 32-36wks</t>
  </si>
  <si>
    <t>Mild vision impairment due to retinopathy of prematurity</t>
  </si>
  <si>
    <t>Distance vision, mild impairment</t>
  </si>
  <si>
    <t>has some difficulty with distance vision, for example reading signs, but no other problems with eyesight.</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</si>
  <si>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</si>
  <si>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</si>
  <si>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</si>
  <si>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</si>
  <si>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</si>
  <si>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</si>
  <si>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</si>
  <si>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</si>
  <si>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</si>
  <si>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</si>
  <si>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</si>
  <si>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</si>
  <si>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impairment with epilepsy due to neonatal encephalopathy due to birth asphyxia and trauma</t>
  </si>
  <si>
    <t>Moderate motor impairment with blindness and epilepsy due to neonatal encephalopathy due to birth asphyxia and trauma</t>
  </si>
  <si>
    <t>Moderate motor plus cognitive impairment with blindness due to neonatal encephalopathy due to birth asphyxia and trauma</t>
  </si>
  <si>
    <t>Moderate motor plus cognitive impairment with epilepsy due to neonatal encephalopathy due to birth asphyxia and trauma</t>
  </si>
  <si>
    <t>Moderate motor plus cognitive impairment with blindness and epilepsy due to neonatal encephalopathy due to birth asphyxia and trauma</t>
  </si>
  <si>
    <t xml:space="preserve">Severe motor impairment with blindness due to neonatal encephalopathy due to birth asphyxia and trauma </t>
  </si>
  <si>
    <t>Severe motor impairment with epilepsy due to neonatal encephalopathy due to birth asphyxia and trauma</t>
  </si>
  <si>
    <t>Severe motor impairment with blindness and epilepsy due to neonatal encephalopathy due to birth asphyxia and trauma</t>
  </si>
  <si>
    <t>Severe motor plus cognitive impairment with blindness due to neonatal encephalopathy due to birth asphyxia and trauma</t>
  </si>
  <si>
    <t>Severe motor plus cognitive impairment with epilepsy due to neonatal encephalopathy due to birth asphyxia and trauma</t>
  </si>
  <si>
    <t>Severe motor plus cognitive impairment with blindness and epilepsy due to neonatal encephalopathy due to birth asphyxia and trauma</t>
  </si>
  <si>
    <t xml:space="preserve">Asymptomatic neonatal encephalopathy due to birth asphyxia and trauma </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</si>
  <si>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</si>
  <si>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</si>
  <si>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</si>
  <si>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</si>
  <si>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</si>
  <si>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impairment with epilepsy due to neonatal sepsis and other neonatal infections</t>
  </si>
  <si>
    <t>Moderate motor impairment with blindness and epilepsy due to neonatal sepsis and other neonatal infections</t>
  </si>
  <si>
    <t>Moderate motor plus cognitive impairment with blindness due to neonatal sepsis and other neonatal infections</t>
  </si>
  <si>
    <t>Moderate motor plus cognitive impairment with epilepsy due to neonatal sepsis and other neonatal infections</t>
  </si>
  <si>
    <t>Moderate motor plus cognitive impairment with blindness and epilepsy due to neonatal sepsis and other neonatal infections</t>
  </si>
  <si>
    <t>Severe motor impairment with blindness due to neonatal sepsis and other neonatal infections</t>
  </si>
  <si>
    <t>Severe motor impairment with epilepsy due to neonatal sepsis and other neonatal infections</t>
  </si>
  <si>
    <t>Severe motor impairment with blindness and epilepsy due to neonatal sepsis and other neonatal infections</t>
  </si>
  <si>
    <t>Severe motor plus cognitive impairment with blindness due to neonatal sepsis and other neonatal infections</t>
  </si>
  <si>
    <t>Severe motor plus cognitive impairment with epilepsy due to neonatal sepsis and other neonatal infections</t>
  </si>
  <si>
    <t>Severe motor plus cognitive impairment with blindness and epilepsy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</si>
  <si>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</si>
  <si>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</si>
  <si>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</si>
  <si>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</si>
  <si>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</si>
  <si>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impairment with epilepsy due to hemolytic disease and other neonatal jaundice</t>
  </si>
  <si>
    <t>Moderate motor impairment with blindness and epilepsy due to hemolytic disease and other neonatal jaundice</t>
  </si>
  <si>
    <t>Moderate motor plus cognitive impairment with blindness due to hemolytic disease and other neonatal jaundice</t>
  </si>
  <si>
    <t>Moderate motor plus cognitive impairment with epilepsy due to hemolytic disease and other neonatal jaundice</t>
  </si>
  <si>
    <t>Moderate motor plus cognitive impairment with blindness and epilepsy due to hemolytic disease and other neonatal jaundice</t>
  </si>
  <si>
    <t xml:space="preserve">Severe motor impairment with blindness due to hemolytic disease and other neonatal jaundice </t>
  </si>
  <si>
    <t>Severe motor impairment with epilepsy due to hemolytic disease and other neonatal jaundice</t>
  </si>
  <si>
    <t>Severe motor impairment with blindness and epilepsy due to hemolytic disease and other neonatal jaundice</t>
  </si>
  <si>
    <t>Severe motor plus cognitive impairment with blindness due to hemolytic disease and other neonatal jaundice</t>
  </si>
  <si>
    <t>Severe motor plus cognitive impairment with epilepsy due to hemolytic disease and other neonatal jaundice</t>
  </si>
  <si>
    <t>Severe motor plus cognitive impairment with blindness and epilepsy due to hemolytic disease and other neonatal jaundice</t>
  </si>
  <si>
    <t>Other neonatal disorders</t>
  </si>
  <si>
    <t>Moderate wasting with edema</t>
  </si>
  <si>
    <t>Kwashiorkor</t>
  </si>
  <si>
    <t xml:space="preserve">is very tired and irritable and has diarrhea. </t>
  </si>
  <si>
    <t>Severe wasting without edema</t>
  </si>
  <si>
    <t>Moderate wasting without edema</t>
  </si>
  <si>
    <t>Severe wasting with edema</t>
  </si>
  <si>
    <t>Kwashiorkor and severe wasting</t>
  </si>
  <si>
    <t>Visible goiter without symptoms</t>
  </si>
  <si>
    <t>Visible goiter with profound intellectual disability due to iodine deficiency</t>
  </si>
  <si>
    <t>Intellectual disability / mental retardation, profound and Iodine-deficiency goiter</t>
  </si>
  <si>
    <t>Visible goiter with severe intellectual disability due to iodine deficiency</t>
  </si>
  <si>
    <t>Intellectual disability / mental retardation, severe and Iodine-deficiency goiter</t>
  </si>
  <si>
    <t>Vitamin A deficiency, asymptomatic</t>
  </si>
  <si>
    <t>Vitamin A deficiency, with moderate vision impairment</t>
  </si>
  <si>
    <t xml:space="preserve">Vitamin A deficiency, with severe vision impairment </t>
  </si>
  <si>
    <t>Vitamin A deficiency, with blindness</t>
  </si>
  <si>
    <t>Vitamin A deficiency, with mild anemia</t>
  </si>
  <si>
    <t>Vitamin A deficiency, with moderate anemia</t>
  </si>
  <si>
    <t>Vitamin A deficiency, with severe anemia</t>
  </si>
  <si>
    <t>Mild iron-deficiency anemia</t>
  </si>
  <si>
    <t>Moderate iron-deficiency anemia</t>
  </si>
  <si>
    <t>Severe iron-deficiency anemia</t>
  </si>
  <si>
    <t>Other nutritional deficiencies</t>
  </si>
  <si>
    <t>Diagnosis and primary therapy phase of mouth cancer</t>
  </si>
  <si>
    <t xml:space="preserve">Cancer, diagnosis and primary therapy </t>
  </si>
  <si>
    <t>has pain, nausea, fatigue, weight loss and high anxiety.</t>
  </si>
  <si>
    <t>Metastatic phase of mouth cancer</t>
  </si>
  <si>
    <t>Cancer, metastatic</t>
  </si>
  <si>
    <t>has severe pain, extreme fatigue, weight loss and high anxiety.</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</si>
  <si>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</si>
  <si>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</si>
  <si>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</si>
  <si>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</si>
  <si>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</si>
  <si>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</si>
  <si>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</si>
  <si>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</si>
  <si>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</si>
  <si>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</si>
  <si>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</si>
  <si>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</si>
  <si>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</si>
  <si>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</si>
  <si>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</si>
  <si>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</si>
  <si>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</si>
  <si>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</si>
  <si>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</si>
  <si>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</si>
  <si>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</si>
  <si>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</si>
  <si>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</si>
  <si>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</si>
  <si>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 xml:space="preserve">has a pouch attached to an opening in the belly to collect and empty stools. </t>
  </si>
  <si>
    <t>Terminal phase of colon and rectum cancers</t>
  </si>
  <si>
    <t>Controlled phase of colon and rectum cancers, without stoma</t>
  </si>
  <si>
    <t>Controlled phase of colon and rectum cancers, with stoma</t>
  </si>
  <si>
    <t>Stoma and generic medication</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</si>
  <si>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</si>
  <si>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</si>
  <si>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</si>
  <si>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</si>
  <si>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</si>
  <si>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</si>
  <si>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</si>
  <si>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</si>
  <si>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</si>
  <si>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</si>
  <si>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</si>
  <si>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</si>
  <si>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</si>
  <si>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</si>
  <si>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</si>
  <si>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</si>
  <si>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</si>
  <si>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</si>
  <si>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</si>
  <si>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</si>
  <si>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</si>
  <si>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</si>
  <si>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</si>
  <si>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</si>
  <si>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</si>
  <si>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</si>
  <si>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</si>
  <si>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</si>
  <si>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</si>
  <si>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</si>
  <si>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</si>
  <si>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</si>
  <si>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</si>
  <si>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</si>
  <si>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</si>
  <si>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</si>
  <si>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</si>
  <si>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</si>
  <si>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</si>
  <si>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 xml:space="preserve">has difficulty speaking, and others find it difficult to understand. </t>
  </si>
  <si>
    <t>Controlled phase of larynx cancer, without laryngectomy</t>
  </si>
  <si>
    <t>Controlled phase of larynx cancer, with laryngectomy</t>
  </si>
  <si>
    <t>Speech problems and generic medication</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</si>
  <si>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</si>
  <si>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</si>
  <si>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</si>
  <si>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</si>
  <si>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</si>
  <si>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</si>
  <si>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</si>
  <si>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</si>
  <si>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</si>
  <si>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</si>
  <si>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</si>
  <si>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</si>
  <si>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</si>
  <si>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</si>
  <si>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</si>
  <si>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</si>
  <si>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</si>
  <si>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</si>
  <si>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</si>
  <si>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</si>
  <si>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</si>
  <si>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</si>
  <si>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</si>
  <si>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</si>
  <si>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</si>
  <si>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</si>
  <si>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</si>
  <si>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 xml:space="preserve">had one of her breasts removed and sometimes has pain or swelling in the arms. </t>
  </si>
  <si>
    <t>Terminal phase of breast cancer</t>
  </si>
  <si>
    <t>Controlled phase of breast cancer, without mastectomy</t>
  </si>
  <si>
    <t>Controlled phase of breast cancer, with mastectomy</t>
  </si>
  <si>
    <t>Mastectomy and generic medication</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</si>
  <si>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</si>
  <si>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</si>
  <si>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</si>
  <si>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</si>
  <si>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</si>
  <si>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</si>
  <si>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</si>
  <si>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</si>
  <si>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</si>
  <si>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</si>
  <si>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</si>
  <si>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</si>
  <si>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</si>
  <si>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</si>
  <si>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</si>
  <si>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</si>
  <si>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</si>
  <si>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</si>
  <si>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Controlled phase of prostate cancer, with incontinence</t>
  </si>
  <si>
    <t>Incontinence and generic medication</t>
  </si>
  <si>
    <t>Incontinence from prostate cancer, beyond 10 years</t>
  </si>
  <si>
    <t>Urinary incontinence</t>
  </si>
  <si>
    <t>cannot control urinating.</t>
  </si>
  <si>
    <t>Impotence from prostate cancer, beyond 10 years</t>
  </si>
  <si>
    <t>Impotence</t>
  </si>
  <si>
    <t>has difficulty in obtaining or maintaining an erection.</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</si>
  <si>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</si>
  <si>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</si>
  <si>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</si>
  <si>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</si>
  <si>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</si>
  <si>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</si>
  <si>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</si>
  <si>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</si>
  <si>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</si>
  <si>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</si>
  <si>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</si>
  <si>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</si>
  <si>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</si>
  <si>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</si>
  <si>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</si>
  <si>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</si>
  <si>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</si>
  <si>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</si>
  <si>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</si>
  <si>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</si>
  <si>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</si>
  <si>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</si>
  <si>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</si>
  <si>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</si>
  <si>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</si>
  <si>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</si>
  <si>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</si>
  <si>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</si>
  <si>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</si>
  <si>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</si>
  <si>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</si>
  <si>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</si>
  <si>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</si>
  <si>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</si>
  <si>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</si>
  <si>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</si>
  <si>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</si>
  <si>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</si>
  <si>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</si>
  <si>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</si>
  <si>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</si>
  <si>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</si>
  <si>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</si>
  <si>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</si>
  <si>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</si>
  <si>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</si>
  <si>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</si>
  <si>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</si>
  <si>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</si>
  <si>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</si>
  <si>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</si>
  <si>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</si>
  <si>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</si>
  <si>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</si>
  <si>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</si>
  <si>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</si>
  <si>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</si>
  <si>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</si>
  <si>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</si>
  <si>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</si>
  <si>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</si>
  <si>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</si>
  <si>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</si>
  <si>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</si>
  <si>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</si>
  <si>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</si>
  <si>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</si>
  <si>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</si>
  <si>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</si>
  <si>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</si>
  <si>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</si>
  <si>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</si>
  <si>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</si>
  <si>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</si>
  <si>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</si>
  <si>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</si>
  <si>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</si>
  <si>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</si>
  <si>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</si>
  <si>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</si>
  <si>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</si>
  <si>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</si>
  <si>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 xml:space="preserve">Rheumatic heart disease, without heart failure </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</si>
  <si>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</si>
  <si>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</si>
  <si>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</si>
  <si>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</si>
  <si>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</si>
  <si>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ischemic heart disease</t>
  </si>
  <si>
    <t>Angina pectoris, mild</t>
  </si>
  <si>
    <t>has chest pain that occurs with strenuous physical activity, such as running or lifting heavy objects. After a brief rest, the pain goes away.</t>
  </si>
  <si>
    <t>Moderate ischemic heart disease</t>
  </si>
  <si>
    <t>Angina pectoris, moderate</t>
  </si>
  <si>
    <t>has chest pain that occurs with moderate physical activity, such as walking uphill or more than half a kilometer (around a quarter-mile) on level ground. After a brief rest, the pain goes away.</t>
  </si>
  <si>
    <t>Severe ischemic heart disease</t>
  </si>
  <si>
    <t>Angina pectoris, severe</t>
  </si>
  <si>
    <t>has chest pain that occurs with minimal physical activity, such as walking only a short distance. After a brief rest, the pain goes away. The person avoids most physical activities because of the pain.</t>
  </si>
  <si>
    <t>Asymptomatic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</si>
  <si>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</si>
  <si>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</si>
  <si>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</si>
  <si>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</si>
  <si>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</si>
  <si>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</si>
  <si>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</si>
  <si>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Acute myocardial infarction 3 to 28 days</t>
  </si>
  <si>
    <t>Acute myocardial infarction, days 3-28</t>
  </si>
  <si>
    <t>gets short of breath after heavy physical activity, and tires easily, but has no problems when at rest. The person has to take medication every day and has some anxiety.</t>
  </si>
  <si>
    <t>Acute ischemic stroke severity level 1</t>
  </si>
  <si>
    <t>Stroke, long-term consequences, mild</t>
  </si>
  <si>
    <t>has some difficulty in moving around and some weakness in one hand, but is able to walk without help.</t>
  </si>
  <si>
    <t>Acute ischemic stroke severity level 2, without heart failure</t>
  </si>
  <si>
    <t>Stroke, long-term consequences, moderate</t>
  </si>
  <si>
    <t>has some difficulty in moving around, and in using the hands for lifting and holding things, dressing and grooming.</t>
  </si>
  <si>
    <t>Acute ischemic stroke severity level 2, with asymptomatic heart failure</t>
  </si>
  <si>
    <t>Stroke, long-term consequences, moderate and Generic uncomplicated disease: worry and daily medication</t>
  </si>
  <si>
    <t>Acute ischemic stroke severity level 2, with mild heart failure</t>
  </si>
  <si>
    <t>Stroke, long-term consequences, moderate; Heart failure, mild</t>
  </si>
  <si>
    <t>Acute ischemic stroke severity level 2, with moderate heart failure</t>
  </si>
  <si>
    <t>Stroke, long-term consequences, moderate; Heart failure, moderate</t>
  </si>
  <si>
    <t>Acute ischemic stroke severity level 2, with severe heart failure</t>
  </si>
  <si>
    <t>Stroke, long-term consequences, moderate; Heart failure, severe</t>
  </si>
  <si>
    <t>Acute ischemic stroke severity level 3, without heart failure</t>
  </si>
  <si>
    <t>Stroke, long-term consequences, moderate plus cognition problems</t>
  </si>
  <si>
    <t>has some difficulty in moving around, in using the hands for lifting and holding things, dressing and grooming, and in speaking. The person is often forgetful and confused.</t>
  </si>
  <si>
    <t>Acute ischemic stroke severity level 3, with asymptomatic heart failure</t>
  </si>
  <si>
    <t>Stroke, long-term consequences, moderate plus cognition problems and Generic uncomplicated disease: worry and daily medication</t>
  </si>
  <si>
    <t>Acute ischemic stroke severity level 3, with mild heart failure</t>
  </si>
  <si>
    <t>Stroke, long-term consequences, moderate plus cognition problems; Heart failure, mild</t>
  </si>
  <si>
    <t>Acute ischemic stroke severity level 3, with moderate heart failure</t>
  </si>
  <si>
    <t>Stroke, long-term consequences, moderate plus cognition problems; Heart failure, moderate</t>
  </si>
  <si>
    <t>Acute ischemic stroke severity level 3, with severe heart failure</t>
  </si>
  <si>
    <t>Stroke, long-term consequences, moderate plus cognition problems; Heart failure, severe</t>
  </si>
  <si>
    <t>Acute ischemic stroke severity level 4, without heart failure</t>
  </si>
  <si>
    <t>Stroke, long-term consequences, severe</t>
  </si>
  <si>
    <t>is confined to bed or a wheelchair, has difficulty speaking and depends on others for feeding, toileting and dressing.</t>
  </si>
  <si>
    <t>Acute ischemic stroke severity level 4, with asymptomatic heart failure</t>
  </si>
  <si>
    <t>Stroke, long-term consequences, severe and Generic uncomplicated disease: worry and daily medication</t>
  </si>
  <si>
    <t>Acute ischemic stroke severity level 4, with mild heart failure</t>
  </si>
  <si>
    <t>Stroke, long-term consequences, severe; Heart failure, mild</t>
  </si>
  <si>
    <t>Acute ischemic stroke severity level 4, with moderate heart failure</t>
  </si>
  <si>
    <t>Stroke, long-term consequences, severe; Heart failure, moderate</t>
  </si>
  <si>
    <t>Acute ischemic stroke severity level 4, with severe heart failure</t>
  </si>
  <si>
    <t>Stroke, long-term consequences, severe; Heart failure, severe</t>
  </si>
  <si>
    <t>Acute ischemic stroke severity level 5, without heart failure</t>
  </si>
  <si>
    <t>Stroke, long-term consequences, severe plus cognition problems</t>
  </si>
  <si>
    <t>is confined to bed or a wheelchair, depends on others for feeding, toileting and dressing, and has difficulty speaking, thinking clearly and remembering things.</t>
  </si>
  <si>
    <t>Acute ischemic stroke severity level 5, with asymptomatic heart failure</t>
  </si>
  <si>
    <t>Stroke, long-term consequences, severe plus cognition problems and Generic uncomplicated disease: worry and daily medication</t>
  </si>
  <si>
    <t>Acute ischemic stroke severity level 5, with mild heart failure</t>
  </si>
  <si>
    <t>Stroke, long-term consequences, severe plus cognition problems; Heart failure, mild</t>
  </si>
  <si>
    <t>Acute ischemic stroke severity level 5, with moderate heart failure</t>
  </si>
  <si>
    <t>Stroke, long-term consequences, severe plus cognition problems; Heart failure, moderate</t>
  </si>
  <si>
    <t>Acute ischemic stroke severity level 5, with severe heart failure</t>
  </si>
  <si>
    <t>Stroke, long-term consequences, severe plus cognition problems; Heart failure, severe</t>
  </si>
  <si>
    <t>Asymptomatic chronic ischemic stroke</t>
  </si>
  <si>
    <t>Chronic ischemic stroke severity level 1</t>
  </si>
  <si>
    <t>Acute intracerebral hemorrhage severity level 1</t>
  </si>
  <si>
    <t>Acute intracerebral hemorrhage severity level 2, without heart failure</t>
  </si>
  <si>
    <t>Acute intracerebral hemorrhage severity level 2, with asymptomatic heart failure</t>
  </si>
  <si>
    <t>Acute intracerebral hemorrhage severity level 2, with mild heart failure</t>
  </si>
  <si>
    <t>Acute intracerebral hemorrhage severity level 2, with moderate heart failure</t>
  </si>
  <si>
    <t>Acute intracerebral hemorrhage severity level 2, with severe heart failure</t>
  </si>
  <si>
    <t>Acute intracerebral hemorrhage severity level 3, without heart failure</t>
  </si>
  <si>
    <t>Acute intracerebral hemorrhage severity level 3, with asymptomatic heart failure</t>
  </si>
  <si>
    <t>Acute intracerebral hemorrhage severity level 3, with mild heart failure</t>
  </si>
  <si>
    <t>Acute intracerebral hemorrhage severity level 3, with moderate heart failure</t>
  </si>
  <si>
    <t>Acute intracerebral hemorrhage severity level 3, with severe heart failure</t>
  </si>
  <si>
    <t>Acute intracerebral hemorrhage severity level 4, without heart failure</t>
  </si>
  <si>
    <t>Acute intracerebral hemorrhage severity level 4, with asymptomatic heart failure</t>
  </si>
  <si>
    <t>Acute intracerebral hemorrhage severity level 4, with mild heart failure</t>
  </si>
  <si>
    <t>Acute intracerebral hemorrhage severity level 4, with moderate heart failure</t>
  </si>
  <si>
    <t>Acute intracerebral hemorrhage severity level 4, with severe heart failure</t>
  </si>
  <si>
    <t>Acute intracerebral hemorrhage severity level 5, without heart failure</t>
  </si>
  <si>
    <t>Acute intracerebral hemorrhage severity level 5, with asymptomatic heart failure</t>
  </si>
  <si>
    <t>Acute intracerebral hemorrhage severity level 5, with mild heart failure</t>
  </si>
  <si>
    <t>Acute intracerebral hemorrhage severity level 5, with moderate heart failure</t>
  </si>
  <si>
    <t>Acute intracerebral hemorrhage severity level 5, with severe heart failure</t>
  </si>
  <si>
    <t>Asymptomatic chronic intracerebral hemorrhage</t>
  </si>
  <si>
    <t>Chronic intracerebral hemorrhage severity level 1</t>
  </si>
  <si>
    <t>Acute subarachnoid hemorrhage severity level 1</t>
  </si>
  <si>
    <t>Acute subarachnoid hemorrhage severity level 2, without heart failure</t>
  </si>
  <si>
    <t>Acute subarachnoid hemorrhage severity level 2, with asymptomatic heart failure</t>
  </si>
  <si>
    <t>Acute subarachnoid hemorrhage severity level 2, with mild heart failure</t>
  </si>
  <si>
    <t>Acute subarachnoid hemorrhage severity level 2, with moderate heart failure</t>
  </si>
  <si>
    <t>Acute subarachnoid hemorrhage severity level 2, with severe heart failure</t>
  </si>
  <si>
    <t>Acute subarachnoid hemorrhage severity level 3, without heart failure</t>
  </si>
  <si>
    <t>Acute subarachnoid hemorrhage severity level 3, with asymptomatic heart failure</t>
  </si>
  <si>
    <t>Acute subarachnoid hemorrhage severity level 3, with mild heart failure</t>
  </si>
  <si>
    <t>Acute subarachnoid hemorrhage severity level 3, with moderate heart failure</t>
  </si>
  <si>
    <t>Acute subarachnoid hemorrhage severity level 3, with severe heart failure</t>
  </si>
  <si>
    <t>Acute subarachnoid hemorrhage severity level 4, without heart failure</t>
  </si>
  <si>
    <t>Acute subarachnoid hemorrhage severity level 4, with asymptomatic heart failure</t>
  </si>
  <si>
    <t>Acute subarachnoid hemorrhage severity level 4, with mild heart failure</t>
  </si>
  <si>
    <t>Acute subarachnoid hemorrhage severity level 4, with moderate heart failure</t>
  </si>
  <si>
    <t>Acute subarachnoid hemorrhage severity level 4, with severe heart failure</t>
  </si>
  <si>
    <t>Acute subarachnoid hemorrhage severity level 5, without heart failure</t>
  </si>
  <si>
    <t>Acute subarachnoid hemorrhage severity level 5, with asymptomatic heart failure</t>
  </si>
  <si>
    <t>Acute subarachnoid hemorrhage severity level 5, with mild heart failure</t>
  </si>
  <si>
    <t>Acute subarachnoid hemorrhage severity level 5, with moderate heart failure</t>
  </si>
  <si>
    <t>Acute subarachnoid hemorrhage severity level 5, with severe heart failure</t>
  </si>
  <si>
    <t>Asymptomatic chronic subarachnoid hemorrhage</t>
  </si>
  <si>
    <t>Chronic subarachnoid hemorrhage severity level 1</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</si>
  <si>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</si>
  <si>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</si>
  <si>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</si>
  <si>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</si>
  <si>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</si>
  <si>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</si>
  <si>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</si>
  <si>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</si>
  <si>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</si>
  <si>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</si>
  <si>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</si>
  <si>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</si>
  <si>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</si>
  <si>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</si>
  <si>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</si>
  <si>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</si>
  <si>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</si>
  <si>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</si>
  <si>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</si>
  <si>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</si>
  <si>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</si>
  <si>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</si>
  <si>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</si>
  <si>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</si>
  <si>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</si>
  <si>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</si>
  <si>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</si>
  <si>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</si>
  <si>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</si>
  <si>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</si>
  <si>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</si>
  <si>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</si>
  <si>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</si>
  <si>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Pulmonary arterial hypertension with no heart failure</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</si>
  <si>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</si>
  <si>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</si>
  <si>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</si>
  <si>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</si>
  <si>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with asymptomatic heart failure</t>
  </si>
  <si>
    <t>Symptomatic atrial fibrilation with mild heart failure</t>
  </si>
  <si>
    <t>Symptomatic atrial fibrilation with moderate heart failure</t>
  </si>
  <si>
    <t>Symptomatic atrial fibrillation with severe heart failure</t>
  </si>
  <si>
    <t>Symptomatic atrial fibrillation with no heart failure</t>
  </si>
  <si>
    <t>Asymptomatic atrial fibrillation and flutter</t>
  </si>
  <si>
    <t>Symptomatic claudication due to peripheral arterial disease</t>
  </si>
  <si>
    <t>Claudication</t>
  </si>
  <si>
    <t>has cramping pains in the legs after walking a medium distance. The pain goes away after a short rest.</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</si>
  <si>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</si>
  <si>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</si>
  <si>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</si>
  <si>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</si>
  <si>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</si>
  <si>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</si>
  <si>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</si>
  <si>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</si>
  <si>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</si>
  <si>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</si>
  <si>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</si>
  <si>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</si>
  <si>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</si>
  <si>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</si>
  <si>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</si>
  <si>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</si>
  <si>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</si>
  <si>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Moderate heart failure due to severe chronic obstructive pulmonary disease</t>
  </si>
  <si>
    <t>Severe COPD and other chronic respiratory, with moderate heart failure</t>
  </si>
  <si>
    <t>Severe heart failure due to severe chronic obstructive pulmonary disease</t>
  </si>
  <si>
    <t>Severe COPD and other chronic respiratory, with severe heart failure</t>
  </si>
  <si>
    <t>Controlled, medically managed heart failure due to severe chronic obstructive pulmonary disease</t>
  </si>
  <si>
    <t>COPD and other chronic respiratory problems, severe and generic uncomplicated disease: worry and daily medication</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</si>
  <si>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</si>
  <si>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</si>
  <si>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</si>
  <si>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</si>
  <si>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</si>
  <si>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</si>
  <si>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</si>
  <si>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</si>
  <si>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</si>
  <si>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</si>
  <si>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</si>
  <si>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</si>
  <si>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</si>
  <si>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</si>
  <si>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</si>
  <si>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</si>
  <si>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</si>
  <si>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</si>
  <si>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</si>
  <si>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</si>
  <si>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</si>
  <si>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</si>
  <si>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</si>
  <si>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</si>
  <si>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</si>
  <si>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</si>
  <si>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</si>
  <si>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</si>
  <si>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</si>
  <si>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</si>
  <si>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</si>
  <si>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</si>
  <si>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</si>
  <si>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</si>
  <si>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</si>
  <si>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</si>
  <si>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</si>
  <si>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</si>
  <si>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</si>
  <si>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 xml:space="preserve">has wheezing and cough once a month, which does not cause difficulty with daily activities. </t>
  </si>
  <si>
    <t>Partially controlled asthma</t>
  </si>
  <si>
    <t>Asthma, partially controlled</t>
  </si>
  <si>
    <t>has wheezing and cough once a week, which causes some difficulty with daily activities.</t>
  </si>
  <si>
    <t>Uncontrolled asthma</t>
  </si>
  <si>
    <t>Asthma, uncontrolled</t>
  </si>
  <si>
    <t>has wheezing, cough and shortness of breath more than twice a week, which causes difficulty with daily activities and sometimes wakes the person at night.</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</si>
  <si>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</si>
  <si>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</si>
  <si>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</si>
  <si>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</si>
  <si>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</si>
  <si>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</si>
  <si>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</si>
  <si>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</si>
  <si>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Other chronic respiratory diseases</t>
  </si>
  <si>
    <t>Cirrhosis and other chronic liver diseases due to hepatitis B, decompensated, with controlled, medically managed heart failure</t>
  </si>
  <si>
    <t>Decompensated cirrhosis of the liver, Generic uncomplicated disease: worry and daily medication</t>
  </si>
  <si>
    <t>Cirrhosis and other chronic liver diseases due to hepatitis B, decompensated, with mild heart failure</t>
  </si>
  <si>
    <t>Decompensated cirrhosis of the liver; Heart failure, mild</t>
  </si>
  <si>
    <t>Cirrhosis and other chronic liver diseases due to hepatitis B, decompensated, with moderate heart failure</t>
  </si>
  <si>
    <t>Decompensated cirrhosis of the liver; Heart failure, moderate</t>
  </si>
  <si>
    <t>Cirrhosis and other chronic liver diseases due to hepatitis B, decompensated, with severe heart failure</t>
  </si>
  <si>
    <t>Decompensated cirrhosis of the liver; Heart failure, severe</t>
  </si>
  <si>
    <t>Cirrhosis and other chronic liver diseases due to hepatitis B, decompensated, without anemia or heart failure</t>
  </si>
  <si>
    <t xml:space="preserve">Decompensated cirrhosis of the liver </t>
  </si>
  <si>
    <t>has a swollen belly and swollen legs. The person feels weakness, fatigue and loss of appetite.</t>
  </si>
  <si>
    <t>Cirrhosis and other chronic liver diseases due to hepatitis B, decompensated, with mild anemia</t>
  </si>
  <si>
    <t>Decompensated cirrhosis of the liver and mild anemia</t>
  </si>
  <si>
    <t>Cirrhosis and other chronic liver diseases due to hepatitis B, decompensated, with moderate anemia</t>
  </si>
  <si>
    <t>Decompensated cirrhosis of the liver and moderate anemia</t>
  </si>
  <si>
    <t>Cirrhosis and other chronic liver diseases due to hepatitis B, decompensated, with severe anemia</t>
  </si>
  <si>
    <t>Decompensated cirrhosis of the liver and severe anemia</t>
  </si>
  <si>
    <t>Cirrhosis and other chronic liver diseases due to hepatitis B, compensated</t>
  </si>
  <si>
    <t>Chronic hepatitis B without cirrhosis</t>
  </si>
  <si>
    <t>Cirrhosis and other chronic liver diseases due to hepatitis C, decompensated, with controlled, medically managed heart failure</t>
  </si>
  <si>
    <t>Cirrhosis and other chronic liver diseases due to hepatitis C, decompensated, with mild heart failure</t>
  </si>
  <si>
    <t>Cirrhosis and other chronic liver diseases due to hepatitis C, decompensated, with moderate heart failure</t>
  </si>
  <si>
    <t>Cirrhosis and other chronic liver diseases due to hepatitis C, decompensated, with severe heart failure</t>
  </si>
  <si>
    <t>Cirrhosis and other chronic liver diseases due to hepatitis c, decompensated, without anemia or heart failure</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</si>
  <si>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</si>
  <si>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</si>
  <si>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</si>
  <si>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</si>
  <si>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</si>
  <si>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 controlled, medically managed heart failure</t>
  </si>
  <si>
    <t>Cirrhosis and other chronic liver diseases due to alcohol, decompensated, with mild heart failure</t>
  </si>
  <si>
    <t>Cirrhosis and other chronic liver diseases due to alcohol, decompensated, with moderate heart failure</t>
  </si>
  <si>
    <t>Cirrhosis and other chronic liver diseases due to alcohol, decompensated, with severe heart failure</t>
  </si>
  <si>
    <t>Cirrhosis and other chronic liver diseases due to alcohol, decompensated, without anemia or heart failure</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</si>
  <si>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</si>
  <si>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</si>
  <si>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</si>
  <si>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</si>
  <si>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</si>
  <si>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controlled, medically managed heart failure</t>
  </si>
  <si>
    <t>Cirrhosis and other chronic liver diseases due to NASH, decompensated, with mild heart failure</t>
  </si>
  <si>
    <t>Cirrhosis and other chronic liver diseases due to NASH, decompensated, with moderate heart failure</t>
  </si>
  <si>
    <t>Cirrhosis and other chronic liver diseases due to NASH, decompensated, with severe heart failure</t>
  </si>
  <si>
    <t>Cirrhosis and other chronic liver diseases due to NASH, decompensated, without anemia or heart failure</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</si>
  <si>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</si>
  <si>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</si>
  <si>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</si>
  <si>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</si>
  <si>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cause, decompensated, with mild heart failure</t>
  </si>
  <si>
    <t>Cirrhosis and other chronic liver diseases due to other cause, decompensated, with controlled, medically managed heart failure</t>
  </si>
  <si>
    <t>Cirrhosis and other chronic liver diseases due to other cause, decompensated, with moderate heart failure</t>
  </si>
  <si>
    <t>Cirrhosis and other chronic liver diseases due to other cause, decompensated, with severe heart failure</t>
  </si>
  <si>
    <t>Cirrhosis and other chronic liver diseases due to other causes, decompensated, without anemia or heart failure</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</si>
  <si>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</si>
  <si>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</si>
  <si>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</si>
  <si>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 (asymptomatic)</t>
  </si>
  <si>
    <t>Severe, acute, uncomplicated PUD with no anemia</t>
  </si>
  <si>
    <t>Severe, acute, uncomplicated PUD with mild anemia</t>
  </si>
  <si>
    <t>Abdominopelvic problem, severe and mild anemia</t>
  </si>
  <si>
    <t>Severe, acute, uncomplicated PUD with moderate anemia</t>
  </si>
  <si>
    <t>Abdominopelvic problem, severe and moderate anemia</t>
  </si>
  <si>
    <t>Severe, acute, uncomplicated PUD with severe anemia</t>
  </si>
  <si>
    <t>Abdominopelvic problem, severe and severe anemia</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</si>
  <si>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</si>
  <si>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</si>
  <si>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</si>
  <si>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</si>
  <si>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</si>
  <si>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</si>
  <si>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</si>
  <si>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</si>
  <si>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</si>
  <si>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Mildly symptomatic PUD with moderate anemia</t>
  </si>
  <si>
    <t>Mild abdominal pain with moderate anemia</t>
  </si>
  <si>
    <t>Mildly symptomatic PUD with severe anemia</t>
  </si>
  <si>
    <t>Mild abdominal pain with severe anemia</t>
  </si>
  <si>
    <t>Moderately symptomatic PUD with severe anemia</t>
  </si>
  <si>
    <t>Moderately symptomatic PUD with mild anemia</t>
  </si>
  <si>
    <t>Moderate abdominal pain with mild anemia</t>
  </si>
  <si>
    <t>Moderately symptomatic PUD with moderate anemia</t>
  </si>
  <si>
    <t>Moderate abdominal pain with moderate anemia</t>
  </si>
  <si>
    <t>Complicated PUD with mild anemia</t>
  </si>
  <si>
    <t>Gastric bleeding and anemia, mild</t>
  </si>
  <si>
    <t>Complicated PUD with moderate anemia</t>
  </si>
  <si>
    <t>Gastric bleeding and anemia, moderate</t>
  </si>
  <si>
    <t>Complicated PUD with severe anemia</t>
  </si>
  <si>
    <t>Gastric bleeding and anemia, severe</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</si>
  <si>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</si>
  <si>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</si>
  <si>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</si>
  <si>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</si>
  <si>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</si>
  <si>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</si>
  <si>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</si>
  <si>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</si>
  <si>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</si>
  <si>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</si>
  <si>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</si>
  <si>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</si>
  <si>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</si>
  <si>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</si>
  <si>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</si>
  <si>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</si>
  <si>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</si>
  <si>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</si>
  <si>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</si>
  <si>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</si>
  <si>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</si>
  <si>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</si>
  <si>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</si>
  <si>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</si>
  <si>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</si>
  <si>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</si>
  <si>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</si>
  <si>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</si>
  <si>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</si>
  <si>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</si>
  <si>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</si>
  <si>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</si>
  <si>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</si>
  <si>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Asymptomatic ulcerative colitis</t>
  </si>
  <si>
    <t>Ulcerative colitis with mild anemia</t>
  </si>
  <si>
    <t>Crohn disease or ulcerative colitis, mild anemia</t>
  </si>
  <si>
    <t>Ulcerative colitis with moderate anemia</t>
  </si>
  <si>
    <t>Crohn disease or ulcerative colitis, moderate anemia</t>
  </si>
  <si>
    <t>Ulcerative colitis with severe anemia</t>
  </si>
  <si>
    <t>Crohn disease or ulcerative colitis, severe anemia</t>
  </si>
  <si>
    <t>Ulcerative colitis, symptomatic, without anemia</t>
  </si>
  <si>
    <t>Crohn disease or ulcerative colitis</t>
  </si>
  <si>
    <t>has cramping abdominal pain, has diarrhea several times a day, and feels very tired for two months every year. When the person does not have symptoms, there is anxiety about them returning.</t>
  </si>
  <si>
    <t>Asymptomatic Crohn's disease</t>
  </si>
  <si>
    <t>Crohn's disease with mild anemia</t>
  </si>
  <si>
    <t>Crohn's disease with moderate anemia</t>
  </si>
  <si>
    <t>Crohn's disease with severe anemia</t>
  </si>
  <si>
    <t>Crohn's disease, symptomatic, without anemia</t>
  </si>
  <si>
    <t>Vascular intestinal disorders</t>
  </si>
  <si>
    <t>Mild symptomatic episodes gallbladder and biliary diseases</t>
  </si>
  <si>
    <t xml:space="preserve">Moderate symptomatic episodes gallbladder and biliary diseases </t>
  </si>
  <si>
    <t>Severe symptomatic episodes gallbladder and biliary diseases</t>
  </si>
  <si>
    <t>Asymptomatic gallbladder and biliary diseases</t>
  </si>
  <si>
    <t>Acute pancreatitis</t>
  </si>
  <si>
    <t>Infectious disease, acute episode, severe and abdominopelvic problem, severe</t>
  </si>
  <si>
    <t>Mild chronic pancreatitis</t>
  </si>
  <si>
    <t>Moderate chronic pancreatitis</t>
  </si>
  <si>
    <t>Severe chronic pancreatitis</t>
  </si>
  <si>
    <t>Asymptomatic chronic pancreatitis</t>
  </si>
  <si>
    <t>Other digestive diseases</t>
  </si>
  <si>
    <t>Mild Alzheimer's disease and other dementias</t>
  </si>
  <si>
    <t>Dementia, mild</t>
  </si>
  <si>
    <t>has some trouble remembering recent events, and finds it hard to concentrate and make decisions and plans.</t>
  </si>
  <si>
    <t>Moderate Alzheimer's disease and other dementias</t>
  </si>
  <si>
    <t>Dementia, moderate</t>
  </si>
  <si>
    <t>has memory problems and confusion, feels disoriented, at times hears voices that are not real, and needs help with some daily activities.</t>
  </si>
  <si>
    <t>Severe Alzheimer's disease and other dementias</t>
  </si>
  <si>
    <t>Dementia, severe</t>
  </si>
  <si>
    <t>has complete memory loss; no longer recognizes close family members; and requires help with all daily activities.</t>
  </si>
  <si>
    <t>Mild Parkinson's disease</t>
  </si>
  <si>
    <t>Parkinson disease, mild</t>
  </si>
  <si>
    <t xml:space="preserve">has mild tremors and moves a little slowly, but is able to walk and do daily activities without assistance. </t>
  </si>
  <si>
    <t>Moderate Parkinson's disease</t>
  </si>
  <si>
    <t>Parkinson disease, moderate</t>
  </si>
  <si>
    <t>has moderate tremors and moves slowly, which causes some difficulty in walking and daily activities. The person has some trouble swallowing, talking, sleeping, and remembering things.</t>
  </si>
  <si>
    <t>Severe Parkinson's disease</t>
  </si>
  <si>
    <t>Parkinson disease, severe</t>
  </si>
  <si>
    <t xml:space="preserve">has severe tremors and moves very slowly, which causes great difficulty in walking and daily activities. The person falls easily and has a lot of difficulty talking, swallowing, sleeping, and remembering things. </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</si>
  <si>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</si>
  <si>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</si>
  <si>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</si>
  <si>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</si>
  <si>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Idiopathic, less severe epilepsy</t>
  </si>
  <si>
    <t>Epilepsy, seizures 1-11 per year</t>
  </si>
  <si>
    <t>has sudden seizures two to five times a year, with violent muscle contractions and stiffness, loss of consciousness, and loss of urine or bowel control.</t>
  </si>
  <si>
    <t>Mild multiple sclerosis</t>
  </si>
  <si>
    <t>Multiple sclerosis, mild</t>
  </si>
  <si>
    <t>has mild loss of feeling in one hand, is a little unsteady while walking, has slight loss of vision in one eye, and often needs to urinate urgently.</t>
  </si>
  <si>
    <t>Moderate multiple sclerosis</t>
  </si>
  <si>
    <t>Multiple sclerosis, moderate</t>
  </si>
  <si>
    <t>needs help walking, has difficulty with writing and arm coordination, has loss of vision in one eye and cannot control urinating.</t>
  </si>
  <si>
    <t>Severe multiple sclerosis</t>
  </si>
  <si>
    <t>Multiple sclerosis, severe</t>
  </si>
  <si>
    <t>has slurred speech and difficulty swallowing. The person has weak arms and hands, very limited and stiff leg movement, has loss of vision in both eyes and cannot control urinating.</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</si>
  <si>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</si>
  <si>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</si>
  <si>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</si>
  <si>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</si>
  <si>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</si>
  <si>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</si>
  <si>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</si>
  <si>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</si>
  <si>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</si>
  <si>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</si>
  <si>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</si>
  <si>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</si>
  <si>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Mild motor impairment, moderate respiratory problems, and speech problems due to motor neuron disease</t>
  </si>
  <si>
    <t>Mild motor impairment with moderate respiratory problems and speech problems</t>
  </si>
  <si>
    <t>Mild motor impairment, severe respiratory problems and speech problems due to motor neuron disease</t>
  </si>
  <si>
    <t>Mild motor impairment with severe respiratory problems and speech problems</t>
  </si>
  <si>
    <t>Moderate motor impairment, mild respiratory problems, and speech problems due to motor neuron disease</t>
  </si>
  <si>
    <t>Moderate motor impairment with mild respiratory problems and speech problems</t>
  </si>
  <si>
    <t>Moderate motor impairment, moderate respiratory problems, and speech problems due to motor neuron disease</t>
  </si>
  <si>
    <t>Moderate motor impairment with moderate respiratory problems and speech problems</t>
  </si>
  <si>
    <t>Moderate motor impairment, severe respiratory problems, and speech problems due to motor neuron disease</t>
  </si>
  <si>
    <t>Moderate motor impairment with severe respiratory problems and speech problems</t>
  </si>
  <si>
    <t>Severe motor impairment, mild respiratory problems, and speech problems due to motor neuron disease</t>
  </si>
  <si>
    <t>Severe motor impairment with mild respiratory problems and speech problems</t>
  </si>
  <si>
    <t>Severe motor impairment, moderate respiratory problems, and speech problems due to motor neuron disease</t>
  </si>
  <si>
    <t>Severe motor impairment with moderate respiratory problems and speech problems</t>
  </si>
  <si>
    <t>Severe motor impairment, severe respiratory problems, and speech problems due to motor neuron disease</t>
  </si>
  <si>
    <t>Severe motor impairment with severe respiratory problems and speech problems</t>
  </si>
  <si>
    <t>Mild motor impairment and mild respiratory problems due to motor neuron disease</t>
  </si>
  <si>
    <t>Mild motor impairment and mild respiratory problems</t>
  </si>
  <si>
    <t>Mild motor impairment and moderate respiratory problems due to motor neuron disease</t>
  </si>
  <si>
    <t>Mild motor impairment and moderate respiratory problems</t>
  </si>
  <si>
    <t>Mild motor impairment and severe respiratory problems due to motor neuron disease</t>
  </si>
  <si>
    <t>Mild motor impairment and severe respiratory problems</t>
  </si>
  <si>
    <t>Moderate motor impairment and mild respiratory problems due to motor neuron disease</t>
  </si>
  <si>
    <t>Moderate motor impairment and mild respiratory problems</t>
  </si>
  <si>
    <t>Moderate motor impairment and moderate respiratory problems due to motor neuron disease</t>
  </si>
  <si>
    <t>Moderate motor impairment and moderate respiratory problems</t>
  </si>
  <si>
    <t>Moderate motor impairment and severe respiratory problems due to motor neuron disease</t>
  </si>
  <si>
    <t>Moderate motor impairment and severe respiratory problems</t>
  </si>
  <si>
    <t>Severe motor impairment and mild respiratory problems due to motor neuron disease</t>
  </si>
  <si>
    <t>Severe motor impairment and mild respiratory problems</t>
  </si>
  <si>
    <t>Severe motor impairment and moderate respiratory problems due to motor neuron disease</t>
  </si>
  <si>
    <t>Severe motor impairment and moderate respiratory problems</t>
  </si>
  <si>
    <t>Severe motor impairment and severe respiratory problems due to motor neuron disease</t>
  </si>
  <si>
    <t>Severe motor impairment and severe respiratory problems</t>
  </si>
  <si>
    <t>Mild motor impairment and speech problems due to motor neuron disease</t>
  </si>
  <si>
    <t>Mild motor impairment and speech problems</t>
  </si>
  <si>
    <t>Moderate motor impairment and speech problems due to motor neuron disease</t>
  </si>
  <si>
    <t>Moderate motor impairment and speech problems</t>
  </si>
  <si>
    <t>Severe motor impairment and speech problems due to motor neuron disease</t>
  </si>
  <si>
    <t>Severe motor impairment and speech problems</t>
  </si>
  <si>
    <t>Mild respiratory problems and speech problems due to motor neuron disease</t>
  </si>
  <si>
    <t>Mild respiratory and speech problems</t>
  </si>
  <si>
    <t>Moderate respiratory problems and speech problems due to motor neuron disease</t>
  </si>
  <si>
    <t>Moderate respiratory and speech problems</t>
  </si>
  <si>
    <t>Severe respiratory problems and speech problems due to motor neuron disease</t>
  </si>
  <si>
    <t>Severe respiratory and speech problems</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</si>
  <si>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</si>
  <si>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</si>
  <si>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</si>
  <si>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</si>
  <si>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</si>
  <si>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</si>
  <si>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</si>
  <si>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</si>
  <si>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</si>
  <si>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</si>
  <si>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</si>
  <si>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</si>
  <si>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</si>
  <si>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</si>
  <si>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 xml:space="preserve">has a moderate headache that also affects the neck, which causes difficulty in daily activities. </t>
  </si>
  <si>
    <t>Symptomatic definite tension-type headache</t>
  </si>
  <si>
    <t>Asymptomatic probable tension-type headache</t>
  </si>
  <si>
    <t>Asymptomatic definite tension-type headache</t>
  </si>
  <si>
    <t>Guillain-BarrÃ© syndrome due to other neurological disorders</t>
  </si>
  <si>
    <t>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</si>
  <si>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</si>
  <si>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</si>
  <si>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</si>
  <si>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Schizophrenia residual state</t>
  </si>
  <si>
    <t>Schizophrenia, residual state</t>
  </si>
  <si>
    <t>hears and sees things that are not real and has trouble communicating. The person can be forgetful, has difficulty with daily activities, and thinks about hurting himself (or herself).</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</si>
  <si>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</si>
  <si>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</si>
  <si>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</si>
  <si>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</si>
  <si>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</si>
  <si>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</si>
  <si>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Severe major depressive disorder</t>
  </si>
  <si>
    <t>Major depressive disorder, severe episode</t>
  </si>
  <si>
    <t>has overwhelming, constant sadness and cannot function in daily life. The person sometimes loses touch with reality and wants to harm or kill himself (or herself).</t>
  </si>
  <si>
    <t>Major depressive disorder, currently without symptoms</t>
  </si>
  <si>
    <t>Symptomatic dysthymia</t>
  </si>
  <si>
    <t>Dysthymia, currently without symptoms</t>
  </si>
  <si>
    <t>Bipolar disorder depressive state</t>
  </si>
  <si>
    <t>Bipolar disorder manic state</t>
  </si>
  <si>
    <t xml:space="preserve">Bipolar disorder, manic episode </t>
  </si>
  <si>
    <t xml:space="preserve">is hyperactive, hears and believes things that are not real, and engages in impulsive and aggressive behavior that endanger the person and others. </t>
  </si>
  <si>
    <t>Bipolar disorder residual state</t>
  </si>
  <si>
    <t xml:space="preserve">Bipolar disorder, residual state </t>
  </si>
  <si>
    <t xml:space="preserve">has mild mood swings, irritability and some difficulty with daily activities. </t>
  </si>
  <si>
    <t>Mild anxiety disorders</t>
  </si>
  <si>
    <t>Anxiety disorders, mild</t>
  </si>
  <si>
    <t>feels mildly anxious and worried, which makes it slightly difficult to concentrate, remember things, and sleep. The person tires easily but is able to perform daily activities.</t>
  </si>
  <si>
    <t>Moderate anxiety disorders</t>
  </si>
  <si>
    <t>Anxiety disorders, moderate</t>
  </si>
  <si>
    <t>feels anxious and worried, which makes it difficult to concentrate, remember things, and sleep. The person tires easily and finds it difficult to perform daily activities.</t>
  </si>
  <si>
    <t>Severe anxiety disorders</t>
  </si>
  <si>
    <t>Anxiety disorders, severe</t>
  </si>
  <si>
    <t xml:space="preserve">constantly feels very anxious and worried, which makes it difficult to concentrate, remember things and sleep. The person has lost pleasure in life and thinks about suicide. </t>
  </si>
  <si>
    <t>Anxiety disorders, currently without symptoms</t>
  </si>
  <si>
    <t>Anorexia nervosa</t>
  </si>
  <si>
    <t>feels an overwhelming need to starve and exercises excessively to lose weight. The person is very thin, weak and anxious.</t>
  </si>
  <si>
    <t>Bulimia nervosa</t>
  </si>
  <si>
    <t xml:space="preserve">Bulimia nervosa </t>
  </si>
  <si>
    <t>has uncontrolled overeating followed by guilt, starving, and vomiting to lose weight.</t>
  </si>
  <si>
    <t>Autism spectrum disorders without intellectual disability</t>
  </si>
  <si>
    <t>Autism spectrum disorder without intellectual disability</t>
  </si>
  <si>
    <t>Autism spectrum disorders with borderline intellectual disability</t>
  </si>
  <si>
    <t>Autism spectrum disorder with borderline intellectual disability</t>
  </si>
  <si>
    <t>Autism spectrum disorders with mild intellectual disability</t>
  </si>
  <si>
    <t>Autism spectrum disorder with mild intellectual disability</t>
  </si>
  <si>
    <t>Autism spectrum disorders with moderate intellectual disability</t>
  </si>
  <si>
    <t>Autism spectrum disorder with moderate intellectual disability</t>
  </si>
  <si>
    <t>Autism spectrum disorders with severe intellectual disability</t>
  </si>
  <si>
    <t>Autism spectrum disorder with severe intellectual disability</t>
  </si>
  <si>
    <t>Autism spectrum disorders with profound intellectual disability</t>
  </si>
  <si>
    <t>Autism spectrum disorder with profound intellectual disability</t>
  </si>
  <si>
    <t>Symptomatic attention-deficit/hyperactivity disorder</t>
  </si>
  <si>
    <t>Symptomatic conduct disorder</t>
  </si>
  <si>
    <t>Conduct disorder</t>
  </si>
  <si>
    <t>has frequent behavior problems, which are sometimes violent. The person often has difficulty interacting with other people and feels irritable.</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</si>
  <si>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</si>
  <si>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</si>
  <si>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</si>
  <si>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</si>
  <si>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</si>
  <si>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</si>
  <si>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</si>
  <si>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</si>
  <si>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</si>
  <si>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</si>
  <si>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</si>
  <si>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</si>
  <si>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</si>
  <si>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</si>
  <si>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</si>
  <si>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</si>
  <si>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</si>
  <si>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</si>
  <si>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</si>
  <si>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Moderate alcohol dependence</t>
  </si>
  <si>
    <t>Alcohol use disorder, moderate</t>
  </si>
  <si>
    <t xml:space="preserve">drinks a lot, gets drunk almost every week and has great difficulty controlling the urge to drink. Drinking and recovering cause great difficulty in daily activities, sleep loss, and fatigue. </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</si>
  <si>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</si>
  <si>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</si>
  <si>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</si>
  <si>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Very mild alcohol dependence</t>
  </si>
  <si>
    <t>Alcohol use disorder, very mild</t>
  </si>
  <si>
    <t>drinks alcohol daily and has difficulty controlling the urge to drink. When sober, the person functions normally.</t>
  </si>
  <si>
    <t>Asymptomatic alcohol dependence</t>
  </si>
  <si>
    <t>Mild fetal alcohol syndrome</t>
  </si>
  <si>
    <t>Fetal alcohol syndrome, mild</t>
  </si>
  <si>
    <t>is a little slow in developing physically and mentally, which causes some difficulty in learning but no other difficulties in daily activities.</t>
  </si>
  <si>
    <t>Moderate fetal alcohol syndrome</t>
  </si>
  <si>
    <t>Fetal alcohol syndrome, moderate</t>
  </si>
  <si>
    <t>is slow in developing physically and mentally, which causes some difficulty in daily activities.</t>
  </si>
  <si>
    <t>Severe fetal alcohol syndrome</t>
  </si>
  <si>
    <t>Fetal alcohol syndrome, severe</t>
  </si>
  <si>
    <t>is very slow in developing physically and mentally, which causes great difficulty in daily activities.</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</si>
  <si>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</si>
  <si>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</si>
  <si>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</si>
  <si>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</si>
  <si>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Mild opioid dependence</t>
  </si>
  <si>
    <t>Heroin and other opioid dependence, mild</t>
  </si>
  <si>
    <t>uses heroin (or methadone)Ã‚Â daily and has difficulty controlling the habit. When not using, the person functions normally.</t>
  </si>
  <si>
    <t>Asymptomatic opioid dependence</t>
  </si>
  <si>
    <t>Asymptomatic cocaine dependence</t>
  </si>
  <si>
    <t>Mild cocaine dependence</t>
  </si>
  <si>
    <t>Cocaine dependence, mild</t>
  </si>
  <si>
    <t>uses cocaine at least once a week and has some difficulty controlling the habit. When not using, the person functions normally.</t>
  </si>
  <si>
    <t>Severe cocaine dependence with no heart failure</t>
  </si>
  <si>
    <t>Cocaine dependence</t>
  </si>
  <si>
    <t>uses cocaine and has difficulty controlling the habit. The person sometimes has mood swings, anxiety, paranoia, hallucinations and sleep problems, and has some difficulty in daily activities.</t>
  </si>
  <si>
    <t>Asymptomatic heart failure due to Severe cocaine dependence</t>
  </si>
  <si>
    <t>Cocaine dependence and Generic uncomplicated disease: worry and daily medication</t>
  </si>
  <si>
    <t>Mild heart failure due to Severe cocaine dependence</t>
  </si>
  <si>
    <t>Cocaine dependence and Heart failure, mild</t>
  </si>
  <si>
    <t>Moderate heart failure due to Severe cocaine dependence</t>
  </si>
  <si>
    <t>Cocaine dependence and Heart failure, moderate</t>
  </si>
  <si>
    <t>Severe heart failure due to Severe cocaine dependence</t>
  </si>
  <si>
    <t>Cocaine dependence and Heart failure, severe</t>
  </si>
  <si>
    <t>Asymptomatic amphetamine dependence</t>
  </si>
  <si>
    <t>Mild amphetamine dependence</t>
  </si>
  <si>
    <t>Amphetamine dependence, mild</t>
  </si>
  <si>
    <t>uses stimulants (drugs) at least once a week and has some difficulty controlling the habit. When not using, the person functions normally.</t>
  </si>
  <si>
    <t>Severe amphetamine dependence with no heart failure</t>
  </si>
  <si>
    <t>Amphetamine dependence</t>
  </si>
  <si>
    <t xml:space="preserve">uses stimulants (drugs) and has difficulty controlling the habit. The person sometimes has depression, hallucinations and mood swings, and has difficulty in daily activities. </t>
  </si>
  <si>
    <t>Asymptomatic heart failure due to Severe amphetamine dependence</t>
  </si>
  <si>
    <t>Amphetamine dependence and Generic uncomplicated disease: worry and daily medication</t>
  </si>
  <si>
    <t>Mild heart failure due to Severe amphetamine dependence</t>
  </si>
  <si>
    <t>Amphetamine dependence and Heart failure, mild</t>
  </si>
  <si>
    <t>Moderate heart failure due to Severe amphetamine dependence</t>
  </si>
  <si>
    <t>Amphetamine dependence and Heart failure, moderate</t>
  </si>
  <si>
    <t>Severe heart failure due to Severe amphetamine dependence</t>
  </si>
  <si>
    <t>Amphetamine dependence and Heart failure, severe</t>
  </si>
  <si>
    <t>Asymptomatic cannabis dependence</t>
  </si>
  <si>
    <t>Mild cannabis dependence</t>
  </si>
  <si>
    <t>Cannabis dependence, mild</t>
  </si>
  <si>
    <t xml:space="preserve">uses marijuana at least once a week and has some difficulty controlling the habit. When not using, the person functions normally. </t>
  </si>
  <si>
    <t>Severe cannabis dependence</t>
  </si>
  <si>
    <t>Cannabis dependence</t>
  </si>
  <si>
    <t>uses marijuana daily and has difficulty controlling the habit. The person sometimes has mood swings, anxiety and hallucinations, and has some difficulty in daily activities.</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</si>
  <si>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</si>
  <si>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</si>
  <si>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</si>
  <si>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</si>
  <si>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</si>
  <si>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</si>
  <si>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</si>
  <si>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</si>
  <si>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Diabetic foot due to neuropathy due to diabetes mellitus type 1</t>
  </si>
  <si>
    <t>Diabetic neuropathy with diabetic foot</t>
  </si>
  <si>
    <t>Diabetic neuropathy and amputation with treatment due to diabetes mellitus type 1</t>
  </si>
  <si>
    <t>Diabetic neuropathy with treated amputation</t>
  </si>
  <si>
    <t>Diabetic neuropathy and amputation without treatment due to diabetes mellitus type 1</t>
  </si>
  <si>
    <t>Diabetic neuropathy with untreated amputation</t>
  </si>
  <si>
    <t>Uncomplicated diabetes mellitus type 2</t>
  </si>
  <si>
    <t>Moderate vision impairment due to diabetes mellitus type 2 retinopathy</t>
  </si>
  <si>
    <t>Severe vision impairment due to diabetes mellitus type 2 retinopathy</t>
  </si>
  <si>
    <t>Blindness due to diabetes mellitus type 2 retinopathy</t>
  </si>
  <si>
    <t xml:space="preserve">Diabetic neuropathy due to diabetes mellitus type 2, without diabetic foot or amputation </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</si>
  <si>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</si>
  <si>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</si>
  <si>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</si>
  <si>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</si>
  <si>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</si>
  <si>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</si>
  <si>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</si>
  <si>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End-stage renal disease on dialysis due to type 1 diabetes mellitus, without anemia</t>
  </si>
  <si>
    <t>End-stage renal disease, on dialysis</t>
  </si>
  <si>
    <t xml:space="preserve">is tired and has itching, cramps, headache, joint pains and shortness of breath. The person needs intensive medical care every other day lasting about half a day. </t>
  </si>
  <si>
    <t>End-stage renal disease on dialysis due to type 1 diabetes mellitus, with mild anemia</t>
  </si>
  <si>
    <t>End-stage renal disease, on dialysis and mild anemia</t>
  </si>
  <si>
    <t>End-stage renal disease on dialysis due to type 1 diabetes mellitus, with moderate anemia</t>
  </si>
  <si>
    <t>End-stage renal disease, on dialysis and moderate anemia</t>
  </si>
  <si>
    <t>End-stage renal disease on dialysis due to type 1 diabetes mellitus, with severe anemia</t>
  </si>
  <si>
    <t>End-stage renal disease, on dialysis and severe anemia</t>
  </si>
  <si>
    <t>Stage 3 chronic kidney disease due to type 1 diabetes mellitus, with mild anemia</t>
  </si>
  <si>
    <t>Stage 3 chronic kidney disease due to type 1 diabetes mellitus, with moderate anemia</t>
  </si>
  <si>
    <t>Stage 3 chronic kidney disease due to type 1 diabetes mellitus, with severe anemia</t>
  </si>
  <si>
    <t>Stage 3 chronic kidney disease due to type 1 diabetes mellitus, without anemia</t>
  </si>
  <si>
    <t>Stage 4 chronic kidney disease untreated due to type 1 diabetes mellitus, without anemia</t>
  </si>
  <si>
    <t>Chronic kidney disease (stage IV)</t>
  </si>
  <si>
    <t>tires easily, has nausea, reduced appetite and difficulty sleeping.</t>
  </si>
  <si>
    <t>Stage 4 chronic kidney disease untreated due to type 1 diabetes mellitus, with mild anemia</t>
  </si>
  <si>
    <t>Mild anemia with Stage IV CKD</t>
  </si>
  <si>
    <t>Stage 4 chronic kidney disease untreated due to type 1 diabetes mellitus, with moderate anemia</t>
  </si>
  <si>
    <t>Moderate anemia with Stage IV CKD</t>
  </si>
  <si>
    <t>Stage 4 chronic kidney disease untreated due to type 1 diabetes mellitus, with severe anemia</t>
  </si>
  <si>
    <t>Severe anemia with Stage IV CKD</t>
  </si>
  <si>
    <t>Stage 5 chronic kidney disease untreated due to type 1 diabetes mellitus, without anemia or heart faliure</t>
  </si>
  <si>
    <t>Stage 5 chronic kidney disease untreated due to type 1 diabetes mellitus, with mild anemia</t>
  </si>
  <si>
    <t>Mild anemia and terminal phase, without medication (for cancers, end-stage kidney/liver disease)</t>
  </si>
  <si>
    <t>Stage 5 chronic kidney disease untreated due to type 1 diabetes mellitus, with moderate anemia</t>
  </si>
  <si>
    <t>Moderate anemia and terminal phase, without medication (for cancers, end-stage kidney/liver disease)</t>
  </si>
  <si>
    <t>Stage 5 chronic kidney disease untreated due to type 1 diabetes mellitus, with severe anemia</t>
  </si>
  <si>
    <t>Severe anemia and terminal phase, without medication (for cancers, end-stage kidney/liver disease)</t>
  </si>
  <si>
    <t>Stage 5 chronic kidney disease untreated due to type 1 diabetes mellitus, with asymptomatic heart failure</t>
  </si>
  <si>
    <t>Generic uncomplicated disease: worry and daily medication, Chronic kidney disease (stage IV)</t>
  </si>
  <si>
    <t>Stage 5 chronic kidney disease untreated due to type 1 diabetes mellitus, with mild heart failure</t>
  </si>
  <si>
    <t>Heart failure, mild; Chronic kidney disease (stage IV)</t>
  </si>
  <si>
    <t>Stage 5 chronic kidney disease untreated due to type 1 diabetes mellitus, with moderate heart failure</t>
  </si>
  <si>
    <t>Heart failure, moderate; Chronic kidney disease (stage IV)</t>
  </si>
  <si>
    <t>Stage 5 chronic kidney disease untreated due to type 1 diabetes mellitus, with severe heart failure</t>
  </si>
  <si>
    <t>Heart failure, severe; Chronic kidney disease (stage IV)</t>
  </si>
  <si>
    <t>Stage 1-2 chronic kidney disease with preserved GFR due to type 2 diabetes mellitus</t>
  </si>
  <si>
    <t>End-stage renal disease after transplant due to type 2 diabetes mellitus</t>
  </si>
  <si>
    <t>End-stage renal disease on dialysis due to type 2 diabetes mellitus, without anemia</t>
  </si>
  <si>
    <t>End-stage renal disease on dialysis due to type 2 diabetes mellitus, with mild anemia</t>
  </si>
  <si>
    <t>End-stage renal disease on dialysis due to type 2 diabetes mellitus, with moderate anemia</t>
  </si>
  <si>
    <t>End-stage renal disease on dialysis due to type 2 diabetes mellitus, with severe anemia</t>
  </si>
  <si>
    <t>Stage 3 chronic kidney disease due to type 2 diabetes mellitus, with mild anemia</t>
  </si>
  <si>
    <t>Stage 3 chronic kidney disease due to type 2 diabetes mellitus, with mdoerate anemia</t>
  </si>
  <si>
    <t>Stage 3 chronic kidney disease due to type 2 diabetes mellitus, with severe anemia</t>
  </si>
  <si>
    <t>Stage 3 chronic kidney disease due to type 2 diabetes mellitus, without anemia</t>
  </si>
  <si>
    <t>Stage 4 chronic kidney disease untreated due to type 2 diabetes mellitus, without anemia</t>
  </si>
  <si>
    <t>Stage 4 chronic kidney disease untreated due to type 2 diabetes mellitus, with mild anemia</t>
  </si>
  <si>
    <t>Stage 4 chronic kidney disease untreated due to type 2 diabetes mellitus, with mdoerate anemia</t>
  </si>
  <si>
    <t>Stage 4 chronic kidney disease untreated due to type 2 diabetes mellitus, with severe anemia</t>
  </si>
  <si>
    <t>Stage 5 chronic kidney disease untreated due to type 2 diabetes mellitus, without anemia</t>
  </si>
  <si>
    <t>Stage 5 chronic kidney disease untreated due to type 2 diabetes mellitus, with mild anemia</t>
  </si>
  <si>
    <t>Stage 5 chronic kidney disease untreated due to type 2 diabetes mellitus, with moderate anemia</t>
  </si>
  <si>
    <t>Stage 5 chronic kidney disease untreated due to type 2 diabetes mellitus, with severe anemia</t>
  </si>
  <si>
    <t>Stage 5 chronic kidney disease untreated due to type 2 diabetes mellitus, with asymptomatic heart failure</t>
  </si>
  <si>
    <t>Stage 5 chronic kidney disease untreated due to type 2 diabetes mellitus, with mild heart failure</t>
  </si>
  <si>
    <t>Stage 5 chronic kidney disease untreated due to type 2 diabetes mellitus, with moderate heart failure</t>
  </si>
  <si>
    <t>Stage 5 chronic kidney disease untreated due to type 2 diabetes mellitus, with severe heart failure</t>
  </si>
  <si>
    <t>End-stage renal disease after transplant due to hypertension</t>
  </si>
  <si>
    <t>End-stage renal disease on dialysis due to hypertension, without anemia</t>
  </si>
  <si>
    <t xml:space="preserve">End-stage renal disease on dialysis due to hypertension, with mild anemia </t>
  </si>
  <si>
    <t>End-stage renal disease on dialysis due to hypertension, with moderate anemia</t>
  </si>
  <si>
    <t>End-stage renal disease on dialysis due to hypertension, with severe anemia</t>
  </si>
  <si>
    <t>Stage 1-2 chronic kidney disease with preserved GFR due to hypertension</t>
  </si>
  <si>
    <t>Stage 3 chronic kidney disease due to hypertension, with mild anemia</t>
  </si>
  <si>
    <t>Stage 3 chronic kidney disease due to hypertension, with moderate anemia</t>
  </si>
  <si>
    <t>Stage 3 chronic kidney disease due to hypertension, with severe anemia</t>
  </si>
  <si>
    <t>Stage 3 chronic kidney disease due to hypertension, without anemia</t>
  </si>
  <si>
    <t>Stage 4 chronic kidney disease untreated due to hypertension, without anemia</t>
  </si>
  <si>
    <t>Stage 4 chronic kidney disease untreated due to hypertension, with mild anemia</t>
  </si>
  <si>
    <t>Stage 4 chronic kidney disease untreated due to hypertension, with moderate anemia</t>
  </si>
  <si>
    <t>Stage 4 chronic kidney disease untreated due to hypertension, with severe anemia</t>
  </si>
  <si>
    <t>Stage 5 chronic kidney disease untreated without anemia due to hypertension</t>
  </si>
  <si>
    <t>Stage 5 chronic kidney disease untreated due to hypertension, with mild anemia</t>
  </si>
  <si>
    <t>Stage 5 chronic kidney disease untreated due to hypertension, with moderate anemia</t>
  </si>
  <si>
    <t>Stage 5 chronic kidney disease untreated due to hypertension, with severe anemia</t>
  </si>
  <si>
    <t>Stage 5 chronic kidney disease untreated due to hypertension, with asymptomatic heart failure</t>
  </si>
  <si>
    <t>Stage 5 chronic kidney disease untreated due to hypertension, with mild heart failure</t>
  </si>
  <si>
    <t>Stage 5 chronic kidney disease untreated due to hypertension, with moderate heart failure</t>
  </si>
  <si>
    <t>Stage 5 chronic kidney disease untreated due to hypertension, with severe heart failure</t>
  </si>
  <si>
    <t>End-stage renal disease after transplant due to glomerulonephritis</t>
  </si>
  <si>
    <t>End-stage renal disease on dialysis due to glomerulonephritis, without anemia</t>
  </si>
  <si>
    <t>End-stage renal disease on dialysis due to glomerulonephritis, with mild anemia</t>
  </si>
  <si>
    <t>End-stage renal disease on dialysis due to glomerulonephritis, with moderate anemia</t>
  </si>
  <si>
    <t>End-stage renal disease on dialysis due to glomerulonephritis, with severe anemia</t>
  </si>
  <si>
    <t>Stage 1-2 chronic kidney disease with preserved GFR due to glomerulonephritis</t>
  </si>
  <si>
    <t>Stage 3 chronic kidney disease due to glomerulonephritis, with mild anemia</t>
  </si>
  <si>
    <t>Stage 3 chronic kidney disease due to glomerulonephritis, with moderate anemia</t>
  </si>
  <si>
    <t>Stage 3 chronic kidney disease due to glomerulonephritis, with severe anemia</t>
  </si>
  <si>
    <t>Stage 3 chronic kidney disease due to glomerulonephritis, without anemia</t>
  </si>
  <si>
    <t>Stage 4 chronic kidney disease untreated due to glomerulonephritis, without anemia</t>
  </si>
  <si>
    <t>Stage 4 chronic kidney disease untreated due to glomerulonephritis, with mild anemia</t>
  </si>
  <si>
    <t>Stage 4 chronic kidney disease untreated due to glomerulonephritis, with moderate anemia</t>
  </si>
  <si>
    <t>Stage 4 chronic kidney disease untreated due to glomerulonephritis, with severe anemia</t>
  </si>
  <si>
    <t>Stage 5 chronic kidney disease untreated due to glomerulonephritis, without anemia</t>
  </si>
  <si>
    <t>Stage 5 chronic kidney disease untreated due to glomerulonephritis, with mild anemia</t>
  </si>
  <si>
    <t>Stage 5 chronic kidney disease untreated due to glomerulonephritis, with moderate anemia</t>
  </si>
  <si>
    <t>Stage 5 chronic kidney disease untreated due to glomerulonephritis, with severe anemia</t>
  </si>
  <si>
    <t>Stage 5 chronic kidney disease untreated due to glomerulonephritis, with asymptomatic heart failure</t>
  </si>
  <si>
    <t>Stage 5 chronic kidney disease untreated due to glomerulonephritis, with mild heart failure</t>
  </si>
  <si>
    <t>Stage 5 chronic kidney disease untreated due to glomerulonephritis, with moderate heart failure</t>
  </si>
  <si>
    <t>Stage 5 chronic kidney disease untreated due to glomerulonephritis, with severe heart failure</t>
  </si>
  <si>
    <t>End-stage renal disease after transplant due to other and unspecified causes</t>
  </si>
  <si>
    <t>End-stage renal disease on dialysis due to other and unspecified causes, without anemia</t>
  </si>
  <si>
    <t xml:space="preserve">End-stage renal disease on dialysis due to other and unspecified causes, with mild anemia </t>
  </si>
  <si>
    <t>End-stage renal disease on dialysis due to other and unspecified causes, with moderate anemia</t>
  </si>
  <si>
    <t>End-stage renal disease on dialysis due to other and unspecified causes, with severe anemia</t>
  </si>
  <si>
    <t>Stage 1-2 chronic kidney disease with preserved GFR due to other causes</t>
  </si>
  <si>
    <t>Stage 3 chronic kidney disease due to other and unspecified causes, with mild anemia</t>
  </si>
  <si>
    <t>Stage 3 chronic kidney disease due to other and unspecified causes, with moderate anemia</t>
  </si>
  <si>
    <t>Stage 3 chronic kidney disease due to other and unspecified causes, with severe anemia</t>
  </si>
  <si>
    <t>Stage 3 chronic kidney disease due to other and unspecified causes, without anemia</t>
  </si>
  <si>
    <t>Stage 4 chronic kidney disease untreated due to other and unspecified causes, without anemia</t>
  </si>
  <si>
    <t>Stage 4 chronic kidney disease untreated due to other and unspecified causes, with mild anemia</t>
  </si>
  <si>
    <t>Stage 4 chronic kidney disease untreated due to other and unspecified causes, with moderate anemia</t>
  </si>
  <si>
    <t>Stage 4 chronic kidney disease untreated due to other and unspecified causes, with severe anemia</t>
  </si>
  <si>
    <t>Stage 5 chronic kidney disease untreated due to other and unspecified causes, without anemia</t>
  </si>
  <si>
    <t>Stage 5 chronic kidney disease untreated due to other and unspecified causes, with mild anemia</t>
  </si>
  <si>
    <t>Stage 5 chronic kidney disease untreated due to other and unspecified causes, with moderate anemia</t>
  </si>
  <si>
    <t>Stage 5 chronic kidney disease untreated due to other and unspecified causes, with severe anemia</t>
  </si>
  <si>
    <t>Stage 5 chronic kidney disease untreated due to other and unspecified causes, with asymptomatic heart failure</t>
  </si>
  <si>
    <t>Stage 5 chronic kidney disease untreated due to other and unspecified causes, with mild heart failure</t>
  </si>
  <si>
    <t>Stage 5 chronic kidney disease untreated due to other and unspecified causes, with moderate heart failure</t>
  </si>
  <si>
    <t>Stage 5 chronic kidney disease untreated due to other and unspecified causes, with severe heart failure</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</si>
  <si>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</si>
  <si>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</si>
  <si>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</si>
  <si>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</si>
  <si>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</si>
  <si>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</si>
  <si>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</si>
  <si>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</si>
  <si>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</si>
  <si>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</si>
  <si>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</si>
  <si>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</si>
  <si>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</si>
  <si>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</si>
  <si>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</si>
  <si>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</si>
  <si>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</si>
  <si>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</si>
  <si>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</si>
  <si>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</si>
  <si>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</si>
  <si>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</si>
  <si>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</si>
  <si>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</si>
  <si>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</si>
  <si>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</si>
  <si>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</si>
  <si>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</si>
  <si>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</si>
  <si>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</si>
  <si>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</si>
  <si>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</si>
  <si>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</si>
  <si>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</si>
  <si>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</si>
  <si>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</si>
  <si>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</si>
  <si>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</si>
  <si>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</si>
  <si>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</si>
  <si>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</si>
  <si>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</si>
  <si>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</si>
  <si>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</si>
  <si>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</si>
  <si>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</si>
  <si>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</si>
  <si>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</si>
  <si>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</si>
  <si>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</si>
  <si>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</si>
  <si>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</si>
  <si>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 xml:space="preserve">has difficulty seeing things that are nearer than 3 feet, but has no difficulty with seeing things at a distance. </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</si>
  <si>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</si>
  <si>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</si>
  <si>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</si>
  <si>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</si>
  <si>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</si>
  <si>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</si>
  <si>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</si>
  <si>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</si>
  <si>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</si>
  <si>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</si>
  <si>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</si>
  <si>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</si>
  <si>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</si>
  <si>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</si>
  <si>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</si>
  <si>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</si>
  <si>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</si>
  <si>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</si>
  <si>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</si>
  <si>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</si>
  <si>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</si>
  <si>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</si>
  <si>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</si>
  <si>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</si>
  <si>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</si>
  <si>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Moderate rheumatoid arthritis</t>
  </si>
  <si>
    <t>Musculoskeletal problems, generalized, moderate</t>
  </si>
  <si>
    <t>has pain and deformity in most joints, causing difficulty moving around, getting up and down, and using the hands for lifting and carrying. The person often feels fatigue.</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</si>
  <si>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</si>
  <si>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</si>
  <si>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</si>
  <si>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Asymptomatic rheumatoid arthritis</t>
  </si>
  <si>
    <t>Mild osteoarthritis of the hip</t>
  </si>
  <si>
    <t>Musculoskeletal problems, lower limbs, mild</t>
  </si>
  <si>
    <t>has pain in the leg, which causes some difficulty running, walking long distances, and getting up and down.</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</si>
  <si>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</si>
  <si>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</si>
  <si>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</si>
  <si>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</si>
  <si>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</si>
  <si>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</si>
  <si>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</si>
  <si>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</si>
  <si>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</si>
  <si>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</si>
  <si>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</si>
  <si>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</si>
  <si>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</si>
  <si>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</si>
  <si>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</si>
  <si>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</si>
  <si>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</si>
  <si>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</si>
  <si>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</si>
  <si>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</si>
  <si>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</si>
  <si>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</si>
  <si>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</si>
  <si>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Mild low back pain with leg pain</t>
  </si>
  <si>
    <t>Moderate low back pain with leg pain</t>
  </si>
  <si>
    <t>Severe low back pain without leg pain</t>
  </si>
  <si>
    <t>Back pain, severe, without leg pain</t>
  </si>
  <si>
    <t>has severe back pain, which causes difficulty dressing, sitting, standing, walking, and lifting things. The person sleeps poorly and feels worried.</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</si>
  <si>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</si>
  <si>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</si>
  <si>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</si>
  <si>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</si>
  <si>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</si>
  <si>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</si>
  <si>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</si>
  <si>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</si>
  <si>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</si>
  <si>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</si>
  <si>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</si>
  <si>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</si>
  <si>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Severe neck pain</t>
  </si>
  <si>
    <t>Neck pain, severe</t>
  </si>
  <si>
    <t>has severe neck pain, and difficulty turning the head and lifting things. The person gets headaches and arm pain, sleeps poorly, and feels tired and worried.</t>
  </si>
  <si>
    <t>Moderate neck pain</t>
  </si>
  <si>
    <t>Neck pain, moderate</t>
  </si>
  <si>
    <t>has constant neck pain, and has difficulty turning the head, holding arms up, and lifting things</t>
  </si>
  <si>
    <t>Most severe neck pain</t>
  </si>
  <si>
    <t>Neck pain, most severe</t>
  </si>
  <si>
    <t xml:space="preserve">has constant neck pain and arm pain, and difficulty turning the head, holding arms up, and lifting things. The person gets headaches, sleeps poorly, and feels tired and worried. </t>
  </si>
  <si>
    <t>Polyarticular gout</t>
  </si>
  <si>
    <t>Symptomatic episodes of gout</t>
  </si>
  <si>
    <t>Gout, acute</t>
  </si>
  <si>
    <t xml:space="preserve">has severe pain and swelling in the leg, making it very difficult to get up and down, stand, walk, lift, and carry heavy things. The person has trouble sleeping because of the pain. </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</si>
  <si>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</si>
  <si>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</si>
  <si>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</si>
  <si>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</si>
  <si>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</si>
  <si>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</si>
  <si>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</si>
  <si>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</si>
  <si>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</si>
  <si>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</si>
  <si>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</si>
  <si>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</si>
  <si>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</si>
  <si>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</si>
  <si>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</si>
  <si>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</si>
  <si>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</si>
  <si>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</si>
  <si>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</si>
  <si>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</si>
  <si>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</si>
  <si>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</si>
  <si>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</si>
  <si>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</si>
  <si>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</si>
  <si>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</si>
  <si>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</si>
  <si>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</si>
  <si>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</si>
  <si>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</si>
  <si>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</si>
  <si>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Severe motor impairment, moderate intellectual disability and incontinence due to encephalocele</t>
  </si>
  <si>
    <t>Severe motor impairment with moderate intellectual disability and incontinence</t>
  </si>
  <si>
    <t>Severe motor impairment, severe intellectual disability and incontinence due to encephalocele</t>
  </si>
  <si>
    <t>Severe motor impairment with severe intellectual disability and incontinence</t>
  </si>
  <si>
    <t>Severe motor impairment, profound intellectual disability and incontinence due to encephalocele</t>
  </si>
  <si>
    <t>Severe motor impairment and mild intellectual disability due to encephalocele</t>
  </si>
  <si>
    <t>Severe motor impairment with mild intellectual disability</t>
  </si>
  <si>
    <t>Severe motor impairment and moderate intellectual disability due to encephalocele</t>
  </si>
  <si>
    <t>Severe motor impairment with moderate intellectual disability</t>
  </si>
  <si>
    <t>Severe motor impairment and severe intellectual disability due to encephalocele</t>
  </si>
  <si>
    <t>Severe motor impairment with severe intellectual disability</t>
  </si>
  <si>
    <t>Borderline intellectual disability and incontinence due to encephalocele</t>
  </si>
  <si>
    <t>Borderline intellectual functioning and urinary incontinence</t>
  </si>
  <si>
    <t>Mild intellectual disability and incontinence due to encephalocele</t>
  </si>
  <si>
    <t>Mild intellectual disability and urinary incontinence</t>
  </si>
  <si>
    <t>Moderate intellectual disability and incontinence due to encephalocele</t>
  </si>
  <si>
    <t>Moderate intellectual disability and urinary incontinence</t>
  </si>
  <si>
    <t>Severe intellectual disability and incontinence due to encephalocele</t>
  </si>
  <si>
    <t>Severe intellectual disability and urinary incontinence</t>
  </si>
  <si>
    <t>Profound intellectual disability and incontinence due to encephalocele</t>
  </si>
  <si>
    <t>Profound intellectual disability and urinary incontinence</t>
  </si>
  <si>
    <t>Mild motor impairment and borderline intellectual disability due to encephalocele</t>
  </si>
  <si>
    <t>Mild motor impairment and borderline intellectual functioning</t>
  </si>
  <si>
    <t>Moderate motor impairment and borderline intellectual disability due to encephalocele</t>
  </si>
  <si>
    <t>Moderate motor impairment and borderline intellectual functioning</t>
  </si>
  <si>
    <t>Severe motor impairment and borderline intellectual disability due to encephalocele</t>
  </si>
  <si>
    <t>Severe motor impairment and borderline intellectual functioning</t>
  </si>
  <si>
    <t>Moderate motor impairment and mild intellectual disability due to encephalocele</t>
  </si>
  <si>
    <t>Moderate motor impairment and mild intellectual functioning</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</si>
  <si>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</si>
  <si>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</si>
  <si>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</si>
  <si>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</si>
  <si>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Moderate motor impairment and severe intellectual disability due to encephalocele</t>
  </si>
  <si>
    <t>Moderate motor impairment and severe intellectual functioning</t>
  </si>
  <si>
    <t>Mild motor impairment, borderline intellectual disability and incontinence due to encephalocele</t>
  </si>
  <si>
    <t>Mild motor impairment, borderline intellectual functioning, and urinary incontinence</t>
  </si>
  <si>
    <t>Moderate motor impairment, borderline intellectual disability and incontinence due to encephalocele</t>
  </si>
  <si>
    <t>Moderate motor impairment, borderline intellectual functioning, and urinary incontinence</t>
  </si>
  <si>
    <t>Severe motor impairment, borderline intellectual disability and incontinence due to encephalocele</t>
  </si>
  <si>
    <t>Severe motor impairment, borderline intellectual functioning, and urinary incontinence</t>
  </si>
  <si>
    <t>Mild motor impairment, mild intellectual disability and incontinence due to encephalocele</t>
  </si>
  <si>
    <t>Mild motor impairment, mild intellectual functioning, and urinary incontinence</t>
  </si>
  <si>
    <t>Moderate motor impairment, mild intellectual disability and incontinence due to encephalocele</t>
  </si>
  <si>
    <t>Moderate motor impairment, mild intellectual functioning, and urinary incontinence</t>
  </si>
  <si>
    <t>Mild motor impairment, moderate intellectual disability and incontinence due to encephalocele</t>
  </si>
  <si>
    <t>Mild motor impairment, moderate intellectual functioning, and urinary incontinence</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</si>
  <si>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</si>
  <si>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</si>
  <si>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</si>
  <si>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</si>
  <si>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Moderate motor impairment, severe intellectual disability and incontinence due to encephalocele</t>
  </si>
  <si>
    <t>Moderate motor impairment, servere intellectual functioning, and urinary incontinence</t>
  </si>
  <si>
    <t>Mild motor impairment and incontinence due to encephalocele</t>
  </si>
  <si>
    <t>Mild motor impairment and urinary incontinence</t>
  </si>
  <si>
    <t>Moderate motor impairment and incontinence due to encephalocele</t>
  </si>
  <si>
    <t>Moderate motor impairment and urinary incontinence</t>
  </si>
  <si>
    <t>Moderate motor impairment, profound intellectual disability and incontinence due to encephalocele</t>
  </si>
  <si>
    <t>Mild motor impairment, profound intellectual functioning, and urinary incontinence</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</si>
  <si>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</si>
  <si>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</si>
  <si>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</si>
  <si>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</si>
  <si>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</si>
  <si>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</si>
  <si>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</si>
  <si>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</si>
  <si>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</si>
  <si>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</si>
  <si>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</si>
  <si>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</si>
  <si>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</si>
  <si>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</si>
  <si>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</si>
  <si>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</si>
  <si>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</si>
  <si>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</si>
  <si>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</si>
  <si>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</si>
  <si>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</si>
  <si>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</si>
  <si>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</si>
  <si>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</si>
  <si>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</si>
  <si>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</si>
  <si>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</si>
  <si>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</si>
  <si>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</si>
  <si>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</si>
  <si>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</si>
  <si>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</si>
  <si>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</si>
  <si>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</si>
  <si>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</si>
  <si>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</si>
  <si>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</si>
  <si>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Moderate motor impairment and profound intellectual disability due to spina bifida</t>
  </si>
  <si>
    <t>Moderate motor impairment with profound intellectual disability</t>
  </si>
  <si>
    <t>Moderate motor impairment, profound intellectual disability and incontinence due to spina bifida</t>
  </si>
  <si>
    <t>Moderate motor impairment with profound intellectual disability and incontinence</t>
  </si>
  <si>
    <t>Congenital heart disease without heart failure or intellectual disability due to critical malformations of great vessels, congenital valvular heart disease and patent ductus arteriosus</t>
  </si>
  <si>
    <t>Congenital heart disease</t>
  </si>
  <si>
    <t>(custom DW from MEPS)</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</si>
  <si>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</si>
  <si>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</si>
  <si>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</si>
  <si>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</si>
  <si>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</si>
  <si>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</si>
  <si>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borderline intellectual disability and mild heart failure due to critical malformations of great vessels, congenital valvular heart disease and patent ductus arteriosus</t>
  </si>
  <si>
    <t>Congenital heart disease, borderline intellectual functioning, and mild heart failure</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</si>
  <si>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</si>
  <si>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</si>
  <si>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</si>
  <si>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</si>
  <si>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</si>
  <si>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</si>
  <si>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</si>
  <si>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</si>
  <si>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</si>
  <si>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</si>
  <si>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</si>
  <si>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</si>
  <si>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</si>
  <si>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</si>
  <si>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</si>
  <si>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</si>
  <si>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</si>
  <si>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</si>
  <si>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</si>
  <si>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</si>
  <si>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</si>
  <si>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</si>
  <si>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</si>
  <si>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</si>
  <si>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</si>
  <si>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</si>
  <si>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</si>
  <si>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</si>
  <si>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</si>
  <si>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</si>
  <si>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</si>
  <si>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</si>
  <si>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</si>
  <si>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</si>
  <si>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</si>
  <si>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</si>
  <si>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</si>
  <si>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</si>
  <si>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</si>
  <si>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</si>
  <si>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borderline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</si>
  <si>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</si>
  <si>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</si>
  <si>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</si>
  <si>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</si>
  <si>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</si>
  <si>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</si>
  <si>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</si>
  <si>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</si>
  <si>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</si>
  <si>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</si>
  <si>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</si>
  <si>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</si>
  <si>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</si>
  <si>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</si>
  <si>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</si>
  <si>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</si>
  <si>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</si>
  <si>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</si>
  <si>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</si>
  <si>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borderline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</si>
  <si>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</si>
  <si>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</si>
  <si>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</si>
  <si>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</si>
  <si>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</si>
  <si>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</si>
  <si>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</si>
  <si>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</si>
  <si>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</si>
  <si>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</si>
  <si>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</si>
  <si>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</si>
  <si>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</si>
  <si>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</si>
  <si>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</si>
  <si>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</si>
  <si>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</si>
  <si>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</si>
  <si>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</si>
  <si>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</si>
  <si>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borderline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</si>
  <si>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</si>
  <si>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</si>
  <si>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</si>
  <si>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</si>
  <si>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</si>
  <si>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</si>
  <si>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</si>
  <si>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</si>
  <si>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borderline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</si>
  <si>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</si>
  <si>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</si>
  <si>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</si>
  <si>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</si>
  <si>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</si>
  <si>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</si>
  <si>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</si>
  <si>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</si>
  <si>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</si>
  <si>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</si>
  <si>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</si>
  <si>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</si>
  <si>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</si>
  <si>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</si>
  <si>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</si>
  <si>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</si>
  <si>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</si>
  <si>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</si>
  <si>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</si>
  <si>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</si>
  <si>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borderline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</si>
  <si>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</si>
  <si>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</si>
  <si>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</si>
  <si>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</si>
  <si>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</si>
  <si>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</si>
  <si>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</si>
  <si>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</si>
  <si>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</si>
  <si>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borderline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</si>
  <si>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</si>
  <si>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</si>
  <si>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</si>
  <si>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</si>
  <si>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</si>
  <si>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</si>
  <si>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</si>
  <si>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</si>
  <si>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</si>
  <si>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</si>
  <si>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</si>
  <si>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</si>
  <si>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</si>
  <si>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</si>
  <si>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</si>
  <si>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</si>
  <si>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</si>
  <si>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</si>
  <si>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</si>
  <si>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</si>
  <si>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borderline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</si>
  <si>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</si>
  <si>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</si>
  <si>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</si>
  <si>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</si>
  <si>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</si>
  <si>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</si>
  <si>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</si>
  <si>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</si>
  <si>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</si>
  <si>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</si>
  <si>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</si>
  <si>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</si>
  <si>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</si>
  <si>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</si>
  <si>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</si>
  <si>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</si>
  <si>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</si>
  <si>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</si>
  <si>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</si>
  <si>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</si>
  <si>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</si>
  <si>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</si>
  <si>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</si>
  <si>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</si>
  <si>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</si>
  <si>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</si>
  <si>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</si>
  <si>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</si>
  <si>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</si>
  <si>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</si>
  <si>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</si>
  <si>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</si>
  <si>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</si>
  <si>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</si>
  <si>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</si>
  <si>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</si>
  <si>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Mild intellectual disability, mild dementia, and congenital heart disease due to Down syndrome</t>
  </si>
  <si>
    <t>Congenital heart disease, mild dementia, mild intellectual disability</t>
  </si>
  <si>
    <t>Moderate intellectual disability, mild dementia, and congenital heart disease due to Down syndrome</t>
  </si>
  <si>
    <t>Congenital heart disease, mild dementia, moderate intellectual disability</t>
  </si>
  <si>
    <t>Severe intellectual disability, mild dementia, and congenital heart disease due to Down syndrome</t>
  </si>
  <si>
    <t>Congenital heart disease, mild dementia, severe intellectual disability</t>
  </si>
  <si>
    <t>Profound intellectual disability, mild dementia, and congenital heart disease due to Down syndrome</t>
  </si>
  <si>
    <t>Congenital heart disease, mild dementia, profound intellectual disability</t>
  </si>
  <si>
    <t>Borderline intellectual disability, moderate dementia, and congenital heart disease due to Down syndrome</t>
  </si>
  <si>
    <t>Congenital heart disease, moderate dementia, borderline intellectual disability</t>
  </si>
  <si>
    <t>Mild intellectual disability, moderate dementia, and congenital heart disease due to Down syndrome</t>
  </si>
  <si>
    <t>Congenital heart disease, moderate dementia, mild intellectual disability</t>
  </si>
  <si>
    <t>Moderate intellectual disability, moderate dementia, and congenital heart disease due to Down syndrome</t>
  </si>
  <si>
    <t>Congenital heart disease, moderate dementia, moderate intellectual disability</t>
  </si>
  <si>
    <t>Severe intellectual disability, moderate dementia, and congenital heart disease due to Down syndrome</t>
  </si>
  <si>
    <t>Congenital heart disease, moderate dementia, severe intellectual disability</t>
  </si>
  <si>
    <t>Profound intellectual disability, moderate dementia, and congenital heart disease due to Down syndrome</t>
  </si>
  <si>
    <t>Congenital heart disease, moderate dementia, profound intellectual disability</t>
  </si>
  <si>
    <t>Borderline intellectual disability, severe dementia, and congenital heart disease due to Down syndrome</t>
  </si>
  <si>
    <t>Congenital heart disease, severe dementia, borderline intellectual disability</t>
  </si>
  <si>
    <t>Mild intellectual disability, severe dementia, and congenital heart disease due to Down syndrome</t>
  </si>
  <si>
    <t>Congenital heart disease, severe dementia, mild intellectual disability</t>
  </si>
  <si>
    <t>Moderate intellectual disability, severe dementia, and congenital heart disease due to Down syndrome</t>
  </si>
  <si>
    <t>Congenital heart disease, severe dementia, moderate intellectual disability</t>
  </si>
  <si>
    <t>Severe intellectual disability, severe dementia, and congenital heart disease due to Down syndrome</t>
  </si>
  <si>
    <t>Congenital heart disease, severe dementia, severe intellectual disability</t>
  </si>
  <si>
    <t>Profound intellectual disability, severe dementia, and congenital heart disease due to Down syndrome</t>
  </si>
  <si>
    <t>Congenital heart disease, severe dementia, profound intellectual disability</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</si>
  <si>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</si>
  <si>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</si>
  <si>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</si>
  <si>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</si>
  <si>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</si>
  <si>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</si>
  <si>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</si>
  <si>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</si>
  <si>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</si>
  <si>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</si>
  <si>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</si>
  <si>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</si>
  <si>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</si>
  <si>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</si>
  <si>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</si>
  <si>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</si>
  <si>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</si>
  <si>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</si>
  <si>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</si>
  <si>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</si>
  <si>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</si>
  <si>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</si>
  <si>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</si>
  <si>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</si>
  <si>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</si>
  <si>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</si>
  <si>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</si>
  <si>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</si>
  <si>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</si>
  <si>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</si>
  <si>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</si>
  <si>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</si>
  <si>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</si>
  <si>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</si>
  <si>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</si>
  <si>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</si>
  <si>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</si>
  <si>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</si>
  <si>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</si>
  <si>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</si>
  <si>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Borderline intellectual disability with infertility due to Klinefelter syndrome</t>
  </si>
  <si>
    <t>Borderline intellectual disability with primary infertility</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</si>
  <si>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</si>
  <si>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</si>
  <si>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</si>
  <si>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</si>
  <si>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</si>
  <si>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</si>
  <si>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</si>
  <si>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</si>
  <si>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</si>
  <si>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</si>
  <si>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</si>
  <si>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</si>
  <si>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</si>
  <si>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</si>
  <si>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</si>
  <si>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</si>
  <si>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</si>
  <si>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</si>
  <si>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</si>
  <si>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</si>
  <si>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</si>
  <si>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</si>
  <si>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</si>
  <si>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</si>
  <si>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</si>
  <si>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</si>
  <si>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</si>
  <si>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</si>
  <si>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</si>
  <si>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</si>
  <si>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</si>
  <si>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</si>
  <si>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</si>
  <si>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</si>
  <si>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</si>
  <si>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</si>
  <si>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</si>
  <si>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</si>
  <si>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</si>
  <si>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</si>
  <si>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</si>
  <si>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</si>
  <si>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</si>
  <si>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</si>
  <si>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</si>
  <si>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</si>
  <si>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</si>
  <si>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</si>
  <si>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</si>
  <si>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</si>
  <si>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</si>
  <si>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</si>
  <si>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</si>
  <si>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</si>
  <si>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</si>
  <si>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</si>
  <si>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</si>
  <si>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Disfigurement level 2 and moderate motor impairment due to congenital limb deficiency</t>
  </si>
  <si>
    <t>Level 2 disfigurement with moderate motor impairment</t>
  </si>
  <si>
    <t>Disfigurement level 2 with pain and mild motor impairment due to congenital limb deficiency</t>
  </si>
  <si>
    <t>Level 2 disfigurement with itch/pain and mild motor impairment</t>
  </si>
  <si>
    <t>Disfigurement level 2 with pain and moderate motor impairment due to congenital limb deficiency</t>
  </si>
  <si>
    <t>Level 2 disfigurement with itch/pain and moderate motor impairment</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</si>
  <si>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</si>
  <si>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</si>
  <si>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</si>
  <si>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</si>
  <si>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</si>
  <si>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</si>
  <si>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</si>
  <si>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</si>
  <si>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</si>
  <si>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</si>
  <si>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</si>
  <si>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</si>
  <si>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</si>
  <si>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</si>
  <si>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</si>
  <si>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</si>
  <si>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</si>
  <si>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</si>
  <si>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Primary infertility and recurrent urinary tract infections or other abdominal issues due to congenital genital anomalies</t>
  </si>
  <si>
    <t>Mild abdominal pain and primary infertility</t>
  </si>
  <si>
    <t>Atypical genitalia, infertility, impotence, and recurrent urinary tract infections or other abdominal issues and impotence due to congenital genital anomalies</t>
  </si>
  <si>
    <t>Mild abdominopelvic problem,  primary infertility, impotence, and level 1 disfigurement</t>
  </si>
  <si>
    <t>Infertility, impotence, and recurrent urinary tract infections or other abdominal issues and impotence due to congenital genital anomalies</t>
  </si>
  <si>
    <t>Mild abdominopelvic problem,  primary infertility, and impotence</t>
  </si>
  <si>
    <t>Impotence and recurrent urinary tract infections or other abdominal issues due to congenital genital anomalies</t>
  </si>
  <si>
    <t>Mild abdominopelvic problem and impotence</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</si>
  <si>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</si>
  <si>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</si>
  <si>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</si>
  <si>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</si>
  <si>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</si>
  <si>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</si>
  <si>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</si>
  <si>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</si>
  <si>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</si>
  <si>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Atypical genitalia, recurrent urinary tract infections or other abdominal issues and impotence due to congenital anomalies of the urinary tract</t>
  </si>
  <si>
    <t>Infertility and impotence due to congenital genital anomalies</t>
  </si>
  <si>
    <t>Primary infertility and impotence</t>
  </si>
  <si>
    <t>Atypical genital and recurrent urinary tract infections and other abdominal issues due to congenital genital anomalies</t>
  </si>
  <si>
    <t>Mild abdominopelvic problem and level 1 disfigurement</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</si>
  <si>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</si>
  <si>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</si>
  <si>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</si>
  <si>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</si>
  <si>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</si>
  <si>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</si>
  <si>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</si>
  <si>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</si>
  <si>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</si>
  <si>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</si>
  <si>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</si>
  <si>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</si>
  <si>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</si>
  <si>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</si>
  <si>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</si>
  <si>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</si>
  <si>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</si>
  <si>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</si>
  <si>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</si>
  <si>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</si>
  <si>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Chronic abdominal pain and mild chronic respiratory problems due to congenital diaphragmatic hernia</t>
  </si>
  <si>
    <t>Mild abdominopelvic problem and mild COPD and other chronic respiratory problems</t>
  </si>
  <si>
    <t>Chronic abdominal pain and developmental delay due to congenital diaphragmatic hernia</t>
  </si>
  <si>
    <t>Mild abdominopelvic problem and mild intellectual disability</t>
  </si>
  <si>
    <t>Disfigurement and mild chronic respiratory problems due to congenital diaphragmatic hernia</t>
  </si>
  <si>
    <t>Level 1 disfigurement with itch/pain and mild COPD and other chronic respiratory problems</t>
  </si>
  <si>
    <t>Disfigurement and developmental delay due to congenital diaphragmatic hernia</t>
  </si>
  <si>
    <t>Level 1 disfigurement with itch/pain and mild intellectual disability</t>
  </si>
  <si>
    <t xml:space="preserve"> Mild chronic respiratory problems and developmental delay due to congenital diaphragmatic hernia</t>
  </si>
  <si>
    <t>Mild intellectual disability and mild COPD and other chronic respiratory problem</t>
  </si>
  <si>
    <t>Chronic abdominal pain, disfigurement and  chronic respiratory problems due to congenital diaphragmatic hernia</t>
  </si>
  <si>
    <t xml:space="preserve">Mild abdominopelvic problem,  mild COPD and other chronic respiratory problems, and level 1 disfigurement with itch/pain </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</si>
  <si>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</si>
  <si>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</si>
  <si>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</si>
  <si>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Disfigurement, chronic respiratory problems and developmental delay due to congenital diaphragmatic hernia</t>
  </si>
  <si>
    <t>Mild COPD and other chronic respiratory problems, mild intellectual disability, and level 1 disfigurement with itch/pain</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</si>
  <si>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</si>
  <si>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</si>
  <si>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</si>
  <si>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</si>
  <si>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</si>
  <si>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</si>
  <si>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</si>
  <si>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</si>
  <si>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</si>
  <si>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</si>
  <si>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Dysphagia or acid reflux and chronic abdominal pain due to congenital atresia and/or stenosis of the digestive tract</t>
  </si>
  <si>
    <t>Mild abdominopelvic problem and moderate abdominopelvic problem</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</si>
  <si>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</si>
  <si>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</si>
  <si>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</si>
  <si>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</si>
  <si>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</si>
  <si>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</si>
  <si>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</si>
  <si>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</si>
  <si>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</si>
  <si>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</si>
  <si>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</si>
  <si>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</si>
  <si>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</si>
  <si>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</si>
  <si>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Other congenital birth defects</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</si>
  <si>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</si>
  <si>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</si>
  <si>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</si>
  <si>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</si>
  <si>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</si>
  <si>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</si>
  <si>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</si>
  <si>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</si>
  <si>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</si>
  <si>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</si>
  <si>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</si>
  <si>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</si>
  <si>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</si>
  <si>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</si>
  <si>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</si>
  <si>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</si>
  <si>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</si>
  <si>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</si>
  <si>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</si>
  <si>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</si>
  <si>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Asymptomatic benign prostatic hyperplasia</t>
  </si>
  <si>
    <t>Idiopathic primary male infertility</t>
  </si>
  <si>
    <t>Idiopathic secondary male infertility</t>
  </si>
  <si>
    <t>Other urinary diseases</t>
  </si>
  <si>
    <t>Uterine fibroids, symptomatic, without anemia</t>
  </si>
  <si>
    <t>Uterine fibroids, asymptomatic</t>
  </si>
  <si>
    <t>Uterine fibroids, symptomatic, with mild anemia</t>
  </si>
  <si>
    <t>Uterine fibroids, symptomatic, with moderate anemia</t>
  </si>
  <si>
    <t>Uterine fibroids, symptomatic, with severe anemia</t>
  </si>
  <si>
    <t>Primary infertility due to polycystic ovarian syndrome</t>
  </si>
  <si>
    <t>Hirsutism and secondary infertility due to polycystic ovarian syndrome</t>
  </si>
  <si>
    <t>Disfigurement level 1 and secondary infertility</t>
  </si>
  <si>
    <t>Hirsutism due to polycystic ovarian syndrome</t>
  </si>
  <si>
    <t>Asymptomatic polycystic ovarian syndrome</t>
  </si>
  <si>
    <t>Hirsutism and primary infertility due to polycystic ovarian syndrome</t>
  </si>
  <si>
    <t>Secondary infertility due to polycystic ovarian syndrome</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</si>
  <si>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</si>
  <si>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</si>
  <si>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</si>
  <si>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</si>
  <si>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</si>
  <si>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</si>
  <si>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</si>
  <si>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</si>
  <si>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</si>
  <si>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</si>
  <si>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</si>
  <si>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Severe abdominal pain and primary infertility due to endometriosis</t>
  </si>
  <si>
    <t>Severe abdominal pain and primary infertility</t>
  </si>
  <si>
    <t>Mild abdominal pain and secondary infertility due to endometriosis</t>
  </si>
  <si>
    <t>Mild abdominal pain and secondary infertility</t>
  </si>
  <si>
    <t>Moderate abdominal pain and secondary infertility due to endometriosis</t>
  </si>
  <si>
    <t>Moderate abdominal pain and secondary infertility</t>
  </si>
  <si>
    <t>Severe abdominal pain and secondary infertility due to endometriosis</t>
  </si>
  <si>
    <t>Severe abdominal pain and secondary infertility</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</si>
  <si>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</si>
  <si>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</si>
  <si>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</si>
  <si>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</si>
  <si>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</si>
  <si>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</si>
  <si>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</si>
  <si>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Depression due to premenstrual syndrome</t>
  </si>
  <si>
    <t>Abdominal pain due to premenstrual syndrome</t>
  </si>
  <si>
    <t>Asymptomatic premenstrual syndrome</t>
  </si>
  <si>
    <t>Abdominal pain and depression due to premenstrual syndrome</t>
  </si>
  <si>
    <t>Mild abdominal pain and mild depression</t>
  </si>
  <si>
    <t>Mild other gynecological disorders</t>
  </si>
  <si>
    <t>Menstrual disorders, without anemia</t>
  </si>
  <si>
    <t>Moderate other gynecological disorders</t>
  </si>
  <si>
    <t>Severe other gynecological disorders</t>
  </si>
  <si>
    <t>Asymptomatic other gynecological disorders</t>
  </si>
  <si>
    <t>Menstrual disorders, with mild anemia</t>
  </si>
  <si>
    <t>Menstrual disorders, with moderate anemia</t>
  </si>
  <si>
    <t>Menstrual disorders, with severe anemia</t>
  </si>
  <si>
    <t>Other combined sequelae of hemoglobin E/beta-thalassemia</t>
  </si>
  <si>
    <t>Hemoglobin E/beta-thalassemia, with mild anemia</t>
  </si>
  <si>
    <t>Hemoglobin E/beta-thalassemia, with moderate anemia</t>
  </si>
  <si>
    <t>Hemoglobin E/beta-thalassemia, with severe anemia</t>
  </si>
  <si>
    <t>Severe infection associated with hemoglobin E/beta-thalassemia</t>
  </si>
  <si>
    <t>Generic uncomplicated disease: anxiety about diagnosis; Heart failure, severe</t>
  </si>
  <si>
    <t>Other combined sequelae of hemoglobin H disease</t>
  </si>
  <si>
    <t>Hemoglobin H disease, with mild anemia</t>
  </si>
  <si>
    <t>Hemoglobin H disease, with moderate anemia</t>
  </si>
  <si>
    <t>Hemoglobin H disease, with severe anemia</t>
  </si>
  <si>
    <t>Severe infection associated with hemoglobin H disease</t>
  </si>
  <si>
    <t>Other combined sequelae of beta-thalassemia major</t>
  </si>
  <si>
    <t>Mild anemia due to beta-thalassemia major</t>
  </si>
  <si>
    <t>Moderate anemia due to beta-thalassemia major</t>
  </si>
  <si>
    <t>Severe anemia due to beta-thalassemia major</t>
  </si>
  <si>
    <t>Severe infection associated with beta-thalassemia major</t>
  </si>
  <si>
    <t>Mild heart failure due to thalassemias</t>
  </si>
  <si>
    <t>Moderate heart failure due to thalassemias</t>
  </si>
  <si>
    <t>Severe heart failure due to thalassemias</t>
  </si>
  <si>
    <t>Asymptomatic heart failure due to thalassemias</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</si>
  <si>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</si>
  <si>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</si>
  <si>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</si>
  <si>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</si>
  <si>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</si>
  <si>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</si>
  <si>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</si>
  <si>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</si>
  <si>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Mild anemia due to hemoglobin SC disease</t>
  </si>
  <si>
    <t>Moderate anemia due to hemoglobin SC disease</t>
  </si>
  <si>
    <t>Severe anemia due to hemoglobin SC disease</t>
  </si>
  <si>
    <t>Stroke due to hemoglobin SC disease</t>
  </si>
  <si>
    <t>Generic uncomplicated disease anxiety; long-term consequences due to stroke</t>
  </si>
  <si>
    <t>Vaso-occlusive crises due to hemoglobin SC disease</t>
  </si>
  <si>
    <t>Generic uncomplicated disease anxiety and severe abdominopelvic problem</t>
  </si>
  <si>
    <t>Vaso-occlusive crises and stroke due to hemoglobin SC disease</t>
  </si>
  <si>
    <t>Generic uncomplicated disease anxiety; long-term consequences due to stroke; severe abdominopelvic problem</t>
  </si>
  <si>
    <t>Other combined sequelae of hemoglobin SC disease</t>
  </si>
  <si>
    <t>Mild anemia due to mild sickle cell/beta-thalassemia</t>
  </si>
  <si>
    <t>Moderate anemia due to mild sickle cell/beta-thalassemia</t>
  </si>
  <si>
    <t>Severe anemia due to mild sickle cell/beta-thalassemia</t>
  </si>
  <si>
    <t>Stroke due to mild sickle cell/beta-thalassemia</t>
  </si>
  <si>
    <t>Vaso-occlusive crises due to mild sickle cell/beta-thalassemia</t>
  </si>
  <si>
    <t>Vaso-occlusive crises and stroke due to mild sickle cell/beta-thalassemia</t>
  </si>
  <si>
    <t>Mild anemia due to homozygous sickle cell and severe sickle cell/beta-thalassemia</t>
  </si>
  <si>
    <t>Moderate anemia due to homozygous sickle cell and severe sickle cell/beta-thalassemia</t>
  </si>
  <si>
    <t>Severe anemia due to homozygous sickle cell and severe sickle cell/beta-thalassemia</t>
  </si>
  <si>
    <t xml:space="preserve">Stroke due to homozygous sickle cell and severe sickle cell/beta-thalassemia </t>
  </si>
  <si>
    <t>Vaso-occlusive crises due to homozygous sickle cell and severe sickle cell/beta-thalassemia</t>
  </si>
  <si>
    <t>Vaso-occlusive crises and stroke due to homozygous sickle cell and severe sickle cell/beta-thalassemia</t>
  </si>
  <si>
    <t>Other combined sequelae of mild sickle cell/beta-thalassemia exclusivity adjustment</t>
  </si>
  <si>
    <t>Other combined sequelae of homozygous sickle cell and severe sickle cell/beta-thalassemia</t>
  </si>
  <si>
    <t>Asymptomatic sickle cell trait</t>
  </si>
  <si>
    <t>Mild anemia due to sickle cell trait</t>
  </si>
  <si>
    <t>Moderate anemia due to sickle cell trait</t>
  </si>
  <si>
    <t>Severe anemia due to sickle cell trait</t>
  </si>
  <si>
    <t>G6PD deficiency, without anemia or heart failure</t>
  </si>
  <si>
    <t>G6PD deficiency, with mild anemia</t>
  </si>
  <si>
    <t>G6PD deficiency, with moderate anemia</t>
  </si>
  <si>
    <t>G6PD deficiency, with severe anemia</t>
  </si>
  <si>
    <t>G6PD deficiency, with mild heart failure</t>
  </si>
  <si>
    <t>G6PD deficiency, with moderate heart failure</t>
  </si>
  <si>
    <t>G6PD deficiency, with severe heart failure</t>
  </si>
  <si>
    <t xml:space="preserve">G6PD deficiency, with asymptomatic heart failure </t>
  </si>
  <si>
    <t>Hemizygous G6PD deficiency, with mild anemia</t>
  </si>
  <si>
    <t>Hemizygous G6PD deficiency, with moderate anemia</t>
  </si>
  <si>
    <t>Hemizygous G6PD deficiency, with severe anemia</t>
  </si>
  <si>
    <t>Hemizygous G6PD deficiency, asymptomatic</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</si>
  <si>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</si>
  <si>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</si>
  <si>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</si>
  <si>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</si>
  <si>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</si>
  <si>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</si>
  <si>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</si>
  <si>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Other hemoglobinopathies and hemolytic anemias residual</t>
  </si>
  <si>
    <t xml:space="preserve">Asymptomatic hyperthyroidism </t>
  </si>
  <si>
    <t>Mild anemia due to hyperthyroidism</t>
  </si>
  <si>
    <t>Moderate anemia due to hyperthyroidism</t>
  </si>
  <si>
    <t>Severe anemia due to hyperthyroidism</t>
  </si>
  <si>
    <t>Asymptomatic hypothyroidism</t>
  </si>
  <si>
    <t>Mild anemia due to hypothyroidism</t>
  </si>
  <si>
    <t>Moderate anemia due to hypothyroidism</t>
  </si>
  <si>
    <t>Severe anemia due to hypothyroidism</t>
  </si>
  <si>
    <t>Mild heart failure due to hyperthyroidism</t>
  </si>
  <si>
    <t>Moderate heart failure due to hyperthyroidism</t>
  </si>
  <si>
    <t>Severe heart failure due to hyperthyroidism</t>
  </si>
  <si>
    <t>Controlled, medically managed heart failure due to hyperthyroidism</t>
  </si>
  <si>
    <t>Mild heart failure due to hypothyroidism</t>
  </si>
  <si>
    <t>Moderate heart failure due to hypothyroidism</t>
  </si>
  <si>
    <t>Severe heart failure due to hypothyroidism</t>
  </si>
  <si>
    <t>Controlled, medically managed heart failure due to hypothyroidism</t>
  </si>
  <si>
    <t>Asymptomatic other endocrine, metabolic, blood, immune disorders</t>
  </si>
  <si>
    <t>Mild anemia due to other endocrine, metabolic, blood, immune disorders</t>
  </si>
  <si>
    <t>Moderate anemia due to other endocrine, metabolic, blood, immune disorders</t>
  </si>
  <si>
    <t>Severe anemia due to other endocrine, metabolic, blood, immune disorders</t>
  </si>
  <si>
    <t>Pain due to caries of deciduous teeth</t>
  </si>
  <si>
    <t>Dental caries, symptomatic</t>
  </si>
  <si>
    <t xml:space="preserve">has a toothache, which causes some difficulty in eating. </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</si>
  <si>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</si>
  <si>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</si>
  <si>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</si>
  <si>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</si>
  <si>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</si>
  <si>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</si>
  <si>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Difficulty eating due to edentulism and severe tooth loss</t>
  </si>
  <si>
    <t>Severe tooth loss</t>
  </si>
  <si>
    <t>has lost more than 20 teeth including front and back, and has great difficulty in eating meat, fruits, and vegetables.</t>
  </si>
  <si>
    <t>Asymptomatic edentulism and severe tooth loss</t>
  </si>
  <si>
    <t>Mild other oral disorders</t>
  </si>
  <si>
    <t>Severe other oral disorders</t>
  </si>
  <si>
    <t>Symptomatic hypothyroidism without anemia or heart failure</t>
  </si>
  <si>
    <t>Hypothyroidism</t>
  </si>
  <si>
    <t>has low energy and feels cold.</t>
  </si>
  <si>
    <t>Mild symptomatic hyperthyroidism without anemia or heart failure</t>
  </si>
  <si>
    <t>Moderate/severe symptomatic hyperthyroidism without anemia or heart failure</t>
  </si>
  <si>
    <t>Hyperthyroidism</t>
  </si>
  <si>
    <t>feels nervous, has palpitations, sweats a lot and has difficulty sleeping.</t>
  </si>
  <si>
    <t>Moderate symptomatic other endocrine, metabolic, blood, immune disorders without anemia or heart failure</t>
  </si>
  <si>
    <t>Severe symptomatic other endocrine, metabolic, blood, immune disorders without anemia or heart failure</t>
  </si>
  <si>
    <t>Thrombocytopenic purpura</t>
  </si>
  <si>
    <t>easily bruises and sometimes bleeds from the gums and nose; feels weak and has some difficulty with daily activities.</t>
  </si>
  <si>
    <t>Late symptomatic congenital syphilis, interstitial keratitis</t>
  </si>
  <si>
    <t>Chronic ischemic stroke severity level 2, with asymptomatic heart failure</t>
  </si>
  <si>
    <t>Chronic ischemic stroke severity level 2, with mild heart failure</t>
  </si>
  <si>
    <t>Chronic ischemic stroke severity level 2, with moderate heart failure</t>
  </si>
  <si>
    <t>Chronic ischemic stroke severity level 2, with severe heart failure</t>
  </si>
  <si>
    <t>Chronic ischemic stroke severity level 2, without heart failure</t>
  </si>
  <si>
    <t>Chronic ischemic stroke severity level 3, with asymptomatic heart failure, no dementia</t>
  </si>
  <si>
    <t>Chronic ischemic stroke severity level 3, with mild heart failure, no dementia</t>
  </si>
  <si>
    <t>Chronic ischemic stroke severity level 3, with moderate heart failure, no dementia</t>
  </si>
  <si>
    <t>Chronic ischemic stroke severity level 3, with severe heart failure, no dementia</t>
  </si>
  <si>
    <t>Chronic ischemic stroke severity level 3, without heart failure, no dementia</t>
  </si>
  <si>
    <t>Chronic ischemic stroke severity level 4, with asymptomatic heart failure</t>
  </si>
  <si>
    <t>Chronic ischemic stroke severity level 4, with mild heart failure</t>
  </si>
  <si>
    <t>Chronic ischemic stroke severity level 4, with moderate heart failure</t>
  </si>
  <si>
    <t>Chronic ischemic stroke severity level 4, with severe heart failure</t>
  </si>
  <si>
    <t>Chronic ischemic stroke severity level 4, without heart failure</t>
  </si>
  <si>
    <t>Chronic ischemic stroke severity level 5, without heart failure, no dementia</t>
  </si>
  <si>
    <t>Chronic ischemic stroke severity level 5, with asymptomatic heart failure, no dementia</t>
  </si>
  <si>
    <t>Chronic ischemic stroke severity level 5, with mild heart failure, no dementia</t>
  </si>
  <si>
    <t>Chronic ischemic stroke severity level 5, with moderate heart failure, no dementia</t>
  </si>
  <si>
    <t>Chronic ischemic stroke severity level 5, with severe heart failure, no dementia</t>
  </si>
  <si>
    <t>Chronic subarachnoid hemorrhage severity level 2, with asymptomatic heart failure</t>
  </si>
  <si>
    <t>Chronic subarachnoid hemorrhage severity level 2, with mild heart failure</t>
  </si>
  <si>
    <t>Chronic subarachnoid hemorrhage severity level 2, with moderate heart failure</t>
  </si>
  <si>
    <t>Chronic subarachnoid hemorrhage severity level 2, with severe heart failure</t>
  </si>
  <si>
    <t>Chronic subarachnoid hemorrhage severity level 2, without heart failure</t>
  </si>
  <si>
    <t>Chronic subarachnoid hemorrhage severity level 3, with asymptomatic heart failure, no dementia</t>
  </si>
  <si>
    <t>Chronic subarachnoid hemorrhage severity level 3, with mild heart failure, no dementia</t>
  </si>
  <si>
    <t>Chronic subarachnoid hemorrhage severity level 3, with moderate heart failure, no dementia</t>
  </si>
  <si>
    <t>Chronic subarachnoid hemorrhage severity level 3, with severe heart failure, no dementia</t>
  </si>
  <si>
    <t>Chronic subarachnoid hemorrhage severity level 3, without heart failure, no dementia</t>
  </si>
  <si>
    <t>Chronic subarachnoid hemorrhage severity level 4, with asymptomatic heart failure</t>
  </si>
  <si>
    <t>Chronic subarachnoid hemorrhage severity level 4, with mild heart failure</t>
  </si>
  <si>
    <t>Chronic subarachnoid hemorrhage severity level 4, with moderate heart failure</t>
  </si>
  <si>
    <t>Chronic subarachnoid hemorrhage severity level 4, with severe heart failure</t>
  </si>
  <si>
    <t>Chronic subarachnoid hemorrhage severity level 4, without heart failure</t>
  </si>
  <si>
    <t>Chronic subarachnoid hemorrhage severity level 5, with asymptomatic heart failure, no dementia</t>
  </si>
  <si>
    <t>Chronic subarachnoid hemorrhage severity level 5, with mild heart failure, no dementia</t>
  </si>
  <si>
    <t>Chronic subarachnoid hemorrhage severity level 5, with moderate heart failure, no dementia</t>
  </si>
  <si>
    <t>Chronic subarachnoid hemorrhage severity level 5, with severe heart failure, no dementia</t>
  </si>
  <si>
    <t>Chronic subarachnoid hemorrhage severity level 5, without heart failure, no dementia</t>
  </si>
  <si>
    <t>Chronic intracerebral hemorrhage severity level 2, with asymptomatic heart failure</t>
  </si>
  <si>
    <t>Chronic intracerebral hemorrhage severity level 2, with mild heart failure</t>
  </si>
  <si>
    <t>Chronic intracerebral hemorrhage severity level 2, with moderate heart failure</t>
  </si>
  <si>
    <t>Chronic intracerebral hemorrhage severity level 2, with severe heart failure</t>
  </si>
  <si>
    <t>Chronic intracerebral hemorrhage severity level 2, without heart failure</t>
  </si>
  <si>
    <t>Chronic intracerebral hemorrhage severity level 3, with asymptomatic heart failure, no dementia</t>
  </si>
  <si>
    <t>Chronic intracerebral hemorrhage severity level 3, with mild heart failure, no dementia</t>
  </si>
  <si>
    <t>Chronic intracerebral hemorrhage severity level 3, with moderate heart failure, no dementia</t>
  </si>
  <si>
    <t>Chronic intracerebral hemorrhage severity level 3, with severe heart failure, no dementia</t>
  </si>
  <si>
    <t>Chronic intracerebral hemorrhage severity level 3, without heart failure, no dementia</t>
  </si>
  <si>
    <t>Chronic intracerebral hemorrhage severity level 4, with asymptomatic heart failure</t>
  </si>
  <si>
    <t>Chronic intracerebral hemorrhage severity level 4, with mild heart failure</t>
  </si>
  <si>
    <t>Chronic intracerebral hemorrhage severity level 4, with moderate heart failure</t>
  </si>
  <si>
    <t>Chronic intracerebral hemorrhage severity level 4, with severe heart failure</t>
  </si>
  <si>
    <t>Chronic intracerebral hemorrhage severity level 4, without heart failure</t>
  </si>
  <si>
    <t>Chronic intracerebral hemorrhage severity level 5, with asymptomatic heart failure, no dementia</t>
  </si>
  <si>
    <t>Chronic intracerebral hemorrhage severity level 5, with mild heart failure, no dementia</t>
  </si>
  <si>
    <t>Chronic intracerebral hemorrhage severity level 5, with moderate heart failure, no dementia</t>
  </si>
  <si>
    <t>Chronic intracerebral hemorrhage severity level 5, with severe heart failure, no dementia</t>
  </si>
  <si>
    <t>Chronic intracerebral hemorrhage severity level 5, without heart failure, no dementia</t>
  </si>
  <si>
    <t>Chronic ischemic stroke severity level 3, with asymptomatic heart failure, with mild dementia</t>
  </si>
  <si>
    <t>Chronic ischemic stroke severity level 3, with mild heart failure, with mild dementia</t>
  </si>
  <si>
    <t>Stroke, long-term consequences, moderate; Dementia, mild; Heart failure, mild</t>
  </si>
  <si>
    <t>Chronic ischemic stroke severity level 3, with moderate heart failure, with mild dementia</t>
  </si>
  <si>
    <t>Stroke, long-term consequences, moderate; Dementia, mild; Heart failure, moderate</t>
  </si>
  <si>
    <t>Chronic ischemic stroke severity level 3, with severe heart failure, with mild dementia</t>
  </si>
  <si>
    <t>Stroke, long-term consequences, moderate; Dementia, mild; Heart failure, severe</t>
  </si>
  <si>
    <t>Chronic ischemic stroke severity level 3, without heart failure, with mild dementia</t>
  </si>
  <si>
    <t>Stroke, long-term consequences, mild; Dementia, mild</t>
  </si>
  <si>
    <t>Chronic ischemic stroke severity level 5, without heart failure, with mild dementia</t>
  </si>
  <si>
    <t>Chronic ischemic stroke severity level 5, with asymptomatic heart failure, with mild dementia</t>
  </si>
  <si>
    <t>Stroke, long-term consequences, severe; Dementia, mild; Generic uncomplicated disease: worry and daily medication</t>
  </si>
  <si>
    <t>Chronic ischemic stroke severity level 5, with mild heart failure, with mild dementia</t>
  </si>
  <si>
    <t>Stroke, long-term consequences, severe; Dementia, mild; Heart failure, mild</t>
  </si>
  <si>
    <t>Chronic ischemic stroke severity level 5, with moderate heart failure, with mild dementia</t>
  </si>
  <si>
    <t>Stroke, long-term consequences, severe; Dementia, mild; Heart failure, moderate</t>
  </si>
  <si>
    <t>Chronic ischemic stroke severity level 5, with severe heart failure, with mild dementia</t>
  </si>
  <si>
    <t>Stroke, long-term consequences, severe; Dementia, mild; Heart failure, severe</t>
  </si>
  <si>
    <t>Chronic subarachnoid hemorrhage severity level 3, with asymptomatic heart failure, with mild dementia</t>
  </si>
  <si>
    <t>Stroke, long-term consequences, moderate; Dementia, mild; Generic uncomplicated disease: worry and daily medication</t>
  </si>
  <si>
    <t>Chronic subarachnoid hemorrhage severity level 3, with mild heart failure, with mild dementia</t>
  </si>
  <si>
    <t>Chronic subarachnoid hemorrhage severity level 3, with moderate heart failure, with mild dementia</t>
  </si>
  <si>
    <t>Chronic subarachnoid hemorrhage severity level 3, with severe heart failure, with mild dementia</t>
  </si>
  <si>
    <t>Chronic subarachnoid hemorrhage severity level 3, without heart failure, with mild dementia</t>
  </si>
  <si>
    <t>Chronic subarachnoid hemorrhage severity level 5, with asymptomatic heart failure, with mild dementia</t>
  </si>
  <si>
    <t>Chronic subarachnoid hemorrhage severity level 5, with mild heart failure, with mild dementia</t>
  </si>
  <si>
    <t>Chronic subarachnoid hemorrhage severity level 5, with moderate heart failure, with mild dementia</t>
  </si>
  <si>
    <t>Chronic subarachnoid hemorrhage severity level 5, with severe heart failure, with mild dementia</t>
  </si>
  <si>
    <t>Chronic subarachnoid hemorrhage severity level 5, without heart failure, with mild dementia</t>
  </si>
  <si>
    <t>Chronic intracerebral hemorrhage severity level 3, with asymptomatic heart failure, with mild dementia</t>
  </si>
  <si>
    <t>Chronic intracerebral hemorrhage severity level 3, with mild heart failure, with mild dementia</t>
  </si>
  <si>
    <t>Chronic intracerebral hemorrhage severity level 3, with moderate heart failure, with mild dementia</t>
  </si>
  <si>
    <t>Chronic intracerebral hemorrhage severity level 3, with severe heart failure, with mild dementia</t>
  </si>
  <si>
    <t>Chronic intracerebral hemorrhage severity level 3, without heart failure, with mild dementia</t>
  </si>
  <si>
    <t>Chronic intracerebral hemorrhage severity level 5, with asymptomatic heart failure, with mild dementia</t>
  </si>
  <si>
    <t>Chronic intracerebral hemorrhage severity level 5, with mild heart failure, with mild dementia</t>
  </si>
  <si>
    <t>Chronic intracerebral hemorrhage severity level 5, with moderate heart failure, with mild dementia</t>
  </si>
  <si>
    <t>Chronic intracerebral hemorrhage severity level 5, with severe heart failure, with mild dementia</t>
  </si>
  <si>
    <t>Chronic intracerebral hemorrhage severity level 5, without heart failure, with mild dementia</t>
  </si>
  <si>
    <t>Chronic ischemic stroke severity level 3, with asymptomatic heart failure, with moderate dementia</t>
  </si>
  <si>
    <t>Stroke, long-term consequences, moderate; Dementia, moderate; Generic uncomplicated disease: worry and daily medication</t>
  </si>
  <si>
    <t>Chronic ischemic stroke severity level 3, with mild heart failure, with moderate dementia</t>
  </si>
  <si>
    <t>Stroke, long-term consequences, moderate; Dementia, moderate; Heart failure, mild</t>
  </si>
  <si>
    <t>Chronic ischemic stroke severity level 3, with moderate heart failure, with moderate dementia</t>
  </si>
  <si>
    <t>Stroke, long-term consequences, moderate; Dementia, moderate; Heart failure, moderate</t>
  </si>
  <si>
    <t>Chronic ischemic stroke severity level 3, with severe heart failure, with moderate dementia</t>
  </si>
  <si>
    <t>Stroke, long-term consequences, moderate; Dementia, moderate; Heart failure, severe</t>
  </si>
  <si>
    <t>Chronic ischemic stroke severity level 3, without heart failure, with moderate dementia</t>
  </si>
  <si>
    <t>Stroke, long-term consequences, mild; Dementia, moderate</t>
  </si>
  <si>
    <t>Chronic ischemic stroke severity level 5, without heart failure, with moderate dementia</t>
  </si>
  <si>
    <t>Chronic ischemic stroke severity level 5, with asymptomatic heart failure, with moderate dementia</t>
  </si>
  <si>
    <t>Stroke, long-term consequences, severe; Dementia, moderate; Generic uncomplicated disease: worry and daily medication</t>
  </si>
  <si>
    <t>Chronic ischemic stroke severity level 5, with mild heart failure, with moderate dementia</t>
  </si>
  <si>
    <t>Stroke, long-term consequences, severe; Dementia, moderate; Heart failure, mild</t>
  </si>
  <si>
    <t>Chronic ischemic stroke severity level 5, with moderate heart failure, with moderate dementia</t>
  </si>
  <si>
    <t>Stroke, long-term consequences, severe; Dementia, moderate; Heart failure, moderate</t>
  </si>
  <si>
    <t>Chronic ischemic stroke severity level 5, with severe heart failure, with moderate dementia</t>
  </si>
  <si>
    <t>Stroke, long-term consequences, severe; Dementia, moderate; Heart failure, severe</t>
  </si>
  <si>
    <t>Chronic subarachnoid hemorrhage severity level 3, with asymptomatic heart failure, with moderate dementia</t>
  </si>
  <si>
    <t>Chronic subarachnoid hemorrhage severity level 3, with mild heart failure, with moderate dementia</t>
  </si>
  <si>
    <t>Chronic subarachnoid hemorrhage severity level 3, with moderate heart failure, with moderate dementia</t>
  </si>
  <si>
    <t>Chronic subarachnoid hemorrhage severity level 3, with severe heart failure, with moderate dementia</t>
  </si>
  <si>
    <t>Chronic subarachnoid hemorrhage severity level 3, without heart failure, with moderate dementia</t>
  </si>
  <si>
    <t>Chronic subarachnoid hemorrhage severity level 5, with asymptomatic heart failure, with moderate dementia</t>
  </si>
  <si>
    <t>Chronic subarachnoid hemorrhage severity level 5, with mild heart failure, with moderate dementia</t>
  </si>
  <si>
    <t>Chronic subarachnoid hemorrhage severity level 5, with moderate heart failure, with moderate dementia</t>
  </si>
  <si>
    <t>Chronic subarachnoid hemorrhage severity level 5, with severe heart failure, with moderate dementia</t>
  </si>
  <si>
    <t>Chronic subarachnoid hemorrhage severity level 5, without heart failure, with moderate dementia</t>
  </si>
  <si>
    <t>Chronic intracerebral hemorrhage severity level 3, with asymptomatic heart failure, with moderate dementia</t>
  </si>
  <si>
    <t>Chronic intracerebral hemorrhage severity level 3, with mild heart failure, with moderate dementia</t>
  </si>
  <si>
    <t>Chronic intracerebral hemorrhage severity level 3, with moderate heart failure, with moderate dementia</t>
  </si>
  <si>
    <t>Chronic intracerebral hemorrhage severity level 3, with severe heart failure, with moderate dementia</t>
  </si>
  <si>
    <t>Chronic intracerebral hemorrhage severity level 3, without heart failure, with moderate dementia</t>
  </si>
  <si>
    <t>Chronic intracerebral hemorrhage severity level 5, with asymptomatic heart failure, with moderate dementia</t>
  </si>
  <si>
    <t>Chronic intracerebral hemorrhage severity level 5, with mild heart failure, with moderate dementia</t>
  </si>
  <si>
    <t>Chronic intracerebral hemorrhage severity level 5, with moderate heart failure, with moderate dementia</t>
  </si>
  <si>
    <t>Chronic intracerebral hemorrhage severity level 5, with severe heart failure, with moderate dementia</t>
  </si>
  <si>
    <t>Chronic intracerebral hemorrhage severity level 5, without heart failure, with moderate dementia</t>
  </si>
  <si>
    <t>Chronic ischemic stroke severity level 3, with asymptomatic heart failure, with severe dementia</t>
  </si>
  <si>
    <t>Stroke, long-term consequences, moderate; Dementia, severe; Generic uncomplicated disease: worry and daily medication</t>
  </si>
  <si>
    <t>Chronic ischemic stroke severity level 3, with mild heart failure, with severe dementia</t>
  </si>
  <si>
    <t>Stroke, long-term consequences, moderate; Dementia, severe; Heart failure, mild</t>
  </si>
  <si>
    <t>Chronic ischemic stroke severity level 3, with moderate heart failure, with severe dementia</t>
  </si>
  <si>
    <t>Stroke, long-term consequences, moderate; Dementia, severe; Heart failure, moderate</t>
  </si>
  <si>
    <t>Chronic ischemic stroke severity level 3, with severe heart failure, with severe dementia</t>
  </si>
  <si>
    <t>Stroke, long-term consequences, moderate; Dementia, severe; Heart failure, severe</t>
  </si>
  <si>
    <t>Chronic ischemic stroke severity level 3, without heart failure, with severe dementia</t>
  </si>
  <si>
    <t>Stroke, long-term consequences, mild; Dementia, severe</t>
  </si>
  <si>
    <t>Chronic ischemic stroke severity level 5, without heart failure, with severe dementia</t>
  </si>
  <si>
    <t>Chronic ischemic stroke severity level 5, with asymptomatic heart failure, with severe dementia</t>
  </si>
  <si>
    <t>Stroke, long-term consequences, severe; Dementia, severe; Generic uncomplicated disease: worry and daily medication</t>
  </si>
  <si>
    <t>Chronic ischemic stroke severity level 5, with mild heart failure, with severe dementia</t>
  </si>
  <si>
    <t>Stroke, long-term consequences, severe; Dementia, severe; Heart failure, mild</t>
  </si>
  <si>
    <t>Chronic ischemic stroke severity level 5, with moderate heart failure, with severe dementia</t>
  </si>
  <si>
    <t>Stroke, long-term consequences, severe; Dementia, severe; Heart failure, moderate</t>
  </si>
  <si>
    <t>Chronic ischemic stroke severity level 5, with severe heart failure, with severe dementia</t>
  </si>
  <si>
    <t>Stroke, long-term consequences, severe; Dementia, severe; Heart failure, severe</t>
  </si>
  <si>
    <t>Chronic subarachnoid hemorrhage severity level 3, with asymptomatic heart failure, with severe dementia</t>
  </si>
  <si>
    <t>Chronic subarachnoid hemorrhage severity level 3, with mild heart failure, with severe dementia</t>
  </si>
  <si>
    <t>Chronic subarachnoid hemorrhage severity level 3, with moderate heart failure, with severe dementia</t>
  </si>
  <si>
    <t>Chronic subarachnoid hemorrhage severity level 3, with severe heart failure, with severe dementia</t>
  </si>
  <si>
    <t>Chronic subarachnoid hemorrhage severity level 3, without heart failure, with severe dementia</t>
  </si>
  <si>
    <t>Chronic subarachnoid hemorrhage severity level 5, with asymptomatic heart failure, with severe dementia</t>
  </si>
  <si>
    <t>Chronic subarachnoid hemorrhage severity level 5, with mild heart failure, with severe dementia</t>
  </si>
  <si>
    <t>Chronic subarachnoid hemorrhage severity level 5, with moderate heart failure, with severe dementia</t>
  </si>
  <si>
    <t>Chronic subarachnoid hemorrhage severity level 5, with severe heart failure, with severe dementia</t>
  </si>
  <si>
    <t>Chronic subarachnoid hemorrhage severity level 5, without heart failure, with severe dementia</t>
  </si>
  <si>
    <t>Chronic intracerebral hemorrhage severity level 3, with asymptomatic heart failure, with severe dementia</t>
  </si>
  <si>
    <t>Chronic intracerebral hemorrhage severity level 3, with mild heart failure, with severe dementia</t>
  </si>
  <si>
    <t>Chronic intracerebral hemorrhage severity level 3, with moderate heart failure, with severe dementia</t>
  </si>
  <si>
    <t>Chronic intracerebral hemorrhage severity level 3, with severe heart failure, with severe dementia</t>
  </si>
  <si>
    <t>Chronic intracerebral hemorrhage severity level 3, without heart failure, with severe dementia</t>
  </si>
  <si>
    <t>Chronic intracerebral hemorrhage severity level 5, with asymptomatic heart failure, with severe dementia</t>
  </si>
  <si>
    <t>Chronic intracerebral hemorrhage severity level 5, with mild heart failure, with severe dementia</t>
  </si>
  <si>
    <t>Chronic intracerebral hemorrhage severity level 5, with moderate heart failure, with severe dementia</t>
  </si>
  <si>
    <t>Chronic intracerebral hemorrhage severity level 5, with severe heart failure, with severe dementia</t>
  </si>
  <si>
    <t>Chronic intracerebral hemorrhage severity level 5, without heart failure, with severe dementia</t>
  </si>
  <si>
    <t>Post-acute fatigue syndrome due to COVID-19</t>
  </si>
  <si>
    <t>Post-acute mild cognitive symptoms due to COVID-19</t>
  </si>
  <si>
    <t>Post-acute severe cognitive symptoms due to COVID-19</t>
  </si>
  <si>
    <t>Post-acute mild respiratory symptoms due to COVID-19</t>
  </si>
  <si>
    <t>Post-acute moderate respiratory symptoms due to COVID-19</t>
  </si>
  <si>
    <t>Post-acute severe respiratory symptoms due to COVID-19</t>
  </si>
  <si>
    <t>Post-acute fatigue syndrome and mild cognitive symptoms due to COVID-19</t>
  </si>
  <si>
    <t>Infectious disease, post-acute consequences (fatigue, emotional lability, insomnia) and Dementia, mild</t>
  </si>
  <si>
    <t>Post-acute fatigue syndrome and severe cognitive symptoms due to COVID-19</t>
  </si>
  <si>
    <t>Infectious disease, post-acute consequences (fatigue, emotional lability, insomnia) and Dementia, moderate</t>
  </si>
  <si>
    <t>Post-acute fatigue syndrome and mild respiratory symptoms due to COVID-19</t>
  </si>
  <si>
    <t>Infectious disease, post-acute consequences (fatigue, emotional lability, insomnia) and COPD and other chronic respiratory problems, mild</t>
  </si>
  <si>
    <t>Post-acute fatigue syndrome and moderate respiratory symptoms due to COVID-19</t>
  </si>
  <si>
    <t>Infectious disease, post-acute consequences (fatigue, emotional lability, insomnia) and COPD and other chronic respiratory problems, moderate</t>
  </si>
  <si>
    <t>Post-acute fatigue syndrome and severe respiratory symptoms due to COVID-19</t>
  </si>
  <si>
    <t>Infectious disease, post-acute consequences (fatigue, emotional lability, insomnia) and COPD and other chronic respiratory problems, severe</t>
  </si>
  <si>
    <t>Post-acute mild respiratory and mild cognitive symptoms due to COVID-19</t>
  </si>
  <si>
    <t>COPD and other chronic respiratory problems, mild and Dementia, mild</t>
  </si>
  <si>
    <t>Post-acute mild respiratory and severe cognitive symptoms due to COVID-19</t>
  </si>
  <si>
    <t>COPD and other chronic respiratory problems, mild and Dementia, moderate</t>
  </si>
  <si>
    <t>Post-acute moderate respiratory and mild cognitive symptoms due to COVID-19</t>
  </si>
  <si>
    <t>COPD and other chronic respiratory problems, moderate and Dementia, mild</t>
  </si>
  <si>
    <t>Post-acute moderate respiratory and severe cognitive symptoms due to COVID-19</t>
  </si>
  <si>
    <t>COPD and other chronic respiratory problems, moderate and Dementia, moderate</t>
  </si>
  <si>
    <t>Post-acute severe respiratory and mild cognitive symptoms due to COVID-19</t>
  </si>
  <si>
    <t>COPD and other chronic respiratory problems, severe and Dementia, mild</t>
  </si>
  <si>
    <t>Post-acute severe respiratory and severe cognitive symptoms due to COVID-19</t>
  </si>
  <si>
    <t>COPD and other chronic respiratory problems, severe and Dementia, moderate</t>
  </si>
  <si>
    <t>Post-acute fatigue syndrome and mild respiratory and mild cognitive symptoms due to COVID-19</t>
  </si>
  <si>
    <t>Infectious disease, post-acute consequences (fatigue, emotional lability, insomnia) and COPD and other chronic respiratory problems, mild and Dementia, mild</t>
  </si>
  <si>
    <t>Post-acute fatigue syndrome and mild respiratory and severe cognitive symptoms due to COVID-19</t>
  </si>
  <si>
    <t>Infectious disease, post-acute consequences (fatigue, emotional lability, insomnia) and COPD and other chronic respiratory problems, mild and Dementia, moderate</t>
  </si>
  <si>
    <t>Post-acute fatigue syndrome and moderate respiratory and mild cognitive symptoms due to COVID-19</t>
  </si>
  <si>
    <t>Infectious disease, post-acute consequences (fatigue, emotional lability, insomnia) and COPD and other chronic respiratory problems, moderate and Dementia, mild</t>
  </si>
  <si>
    <t>Post-acute fatigue syndrome and moderate respiratory and severe cognitive symptoms due to COVID-19</t>
  </si>
  <si>
    <t>Infectious disease, post-acute consequences (fatigue, emotional lability, insomnia) and COPD and other chronic respiratory problems, moderate and Dementia, moderate</t>
  </si>
  <si>
    <t>Post-acute fatigue syndrome and severe respiratory and mild cognitive symptoms due to COVID-19</t>
  </si>
  <si>
    <t>Infectious disease, post-acute consequences (fatigue, emotional lability, insomnia) and COPD and other chronic respiratory problems, severe and Dementia, mild</t>
  </si>
  <si>
    <t>Post-acute fatigue syndrome and severe respiratory and severe cognitive symptoms due to COVID-19</t>
  </si>
  <si>
    <t>Infectious disease, post-acute consequences (fatigue, emotional lability, insomnia) and COPD and other chronic respiratory problems, severe and Dementia, moderate</t>
  </si>
  <si>
    <t>Asymptomatic COVID-19 cases</t>
  </si>
  <si>
    <t>Mild acute COVID-19</t>
  </si>
  <si>
    <t>Moderate acute COVID-19</t>
  </si>
  <si>
    <t>Severe acute COVID-19</t>
  </si>
  <si>
    <t>Critical acute COVID-19</t>
  </si>
  <si>
    <t>Intensive care unit admission</t>
  </si>
  <si>
    <t>is very ill and often asleep or unconscious; when awake cannot move in bed, cannot speak, is completely dependent on others and is anxious</t>
  </si>
  <si>
    <t>Guillain-BarrÃ© Syndrome due to COVID-19</t>
  </si>
  <si>
    <t>Diagnosis and primary therapy phase of low-grade brain and other central nervous system neoplasms</t>
  </si>
  <si>
    <t>Controlled phase of low-grade brain and other central nervous system neoplasms</t>
  </si>
  <si>
    <t>Metastatic phase of low-grade brain and other central nervous system</t>
  </si>
  <si>
    <t>Terminal phase of low-grade brain and other central nervous system</t>
  </si>
  <si>
    <t>Moderate vision impairment due to other corneal opacities</t>
  </si>
  <si>
    <t>Severe vision impairment due to other corneal opacities</t>
  </si>
  <si>
    <t>Blindness due to other corneal opacities</t>
  </si>
  <si>
    <t>Mild heart failure due to peripartum cardiomyopathy</t>
  </si>
  <si>
    <t>Moderate heart failure due to peripartum cardiomyopathy</t>
  </si>
  <si>
    <t>Severe heart failure due to peripartum cardiomyopathy</t>
  </si>
  <si>
    <t>Controlled, medically managed heart failure due to peripartum cardiomyopathy</t>
  </si>
  <si>
    <t>Gestational diabetes mellitus</t>
  </si>
  <si>
    <t>Asymptomatic diverticular disease</t>
  </si>
  <si>
    <t>Mild abdominopelvic problems due to diverticular disease</t>
  </si>
  <si>
    <t>Moderate abdominopelvic problems due to diverticular disease</t>
  </si>
  <si>
    <t>Severe abdominopelvic problems due to diverticular disease</t>
  </si>
  <si>
    <t>Puerperal sepsis with mild anemia</t>
  </si>
  <si>
    <t>Puerperal sepsis with moderate anemia</t>
  </si>
  <si>
    <t>Puerperal sepsis with severe anemia</t>
  </si>
  <si>
    <t>Amputation of both upper limbs (long term, with treatment)</t>
  </si>
  <si>
    <t>has lost part of both arms, leaving pain and tingling in the stumps. The person has two artificial arms that make it possible to do daily activities, with a great deal of extra effort.</t>
  </si>
  <si>
    <t>Amputation of both upper limbs (long term, without treatment)</t>
  </si>
  <si>
    <t>has lost part of both arms, leaving pain and tingling in the stumps. The person needs a great deal of help from others to do even basic daily activities such as eating and using the toilet, and the person is very limited in other activities.</t>
  </si>
  <si>
    <t>Amputation of one upper limb (long-term, with treatment)</t>
  </si>
  <si>
    <t>has lost one hand and part of the arm, leaving pain and tingling in the stump. The person has an artificial arm that makes it possible to lift objects and do daily activities such as cooking, with some extra effort.</t>
  </si>
  <si>
    <t>Amputation of one upper limb (long-term, without treatment)</t>
  </si>
  <si>
    <t>has lost one hand and part of the arm, leaving pain and tingling in the stump. The person needs help from others to lift objects or do daily activities such as cooking.</t>
  </si>
  <si>
    <t>Amputation of finger(s), excluding thumb (long term, with or without treatment)</t>
  </si>
  <si>
    <t>has lost a finger of one hand. At times there is pain and tingling in the stump.</t>
  </si>
  <si>
    <t>Amputation of both lower limbs (long term, with treatment)</t>
  </si>
  <si>
    <t>has lost part of both legs, leaving pain and tingling in the stumps. The person has two artificial legs that make moving around possible, with extra effort.</t>
  </si>
  <si>
    <t>Amputation of both lower limbs (long term, without treatment)</t>
  </si>
  <si>
    <t>has lost part of both legs, leaving pain, tingling, and frequent sores in the stumps. The person has great difficulty moving around, has episodes of depression and anxiety, and needs help from others to do many daily activities.</t>
  </si>
  <si>
    <t>Amputation of one lower limb (long term, with treatment)</t>
  </si>
  <si>
    <t>has lost part of one leg, leaving pain and tingling in the stump. The person has an artificial leg that helps in moving around.</t>
  </si>
  <si>
    <t>Amputation of one lower limb (long term, without treatment)</t>
  </si>
  <si>
    <t xml:space="preserve">has lost part of one leg, leaving pain and tingling in the stump. The person does not have an artificial leg, has frequent sores, and uses crutches. </t>
  </si>
  <si>
    <t>Amputation of thumb (long term)</t>
  </si>
  <si>
    <t xml:space="preserve">has lost one thumb, causing some difficulty in using the hand, pain, and tingling in the stump. </t>
  </si>
  <si>
    <t>Amputation of toe (long-term, with or without treatment)</t>
  </si>
  <si>
    <t xml:space="preserve">has lost one toe, leaving occasional pain and tingling in the stump. </t>
  </si>
  <si>
    <t>Lower airway burns (with or without treatment)</t>
  </si>
  <si>
    <t xml:space="preserve">has a burn in the throat and lungs, which causes great difficulty breathing and a lot of anxiety. </t>
  </si>
  <si>
    <t>Burns, &lt;20% total burned surface area or &lt;10% total burned surface area if head/neck or hands/wrist involved (long term, with or without treatment)</t>
  </si>
  <si>
    <t>has scars caused by a burn. The scars are sometimes painful and itchy.</t>
  </si>
  <si>
    <t>Burns, &lt;20% total burned surface area without lower airway burns (short term, with or without treatment)</t>
  </si>
  <si>
    <t>has a burn on part of the body. Parts of the burned area are painful, and other parts have lost feeling.</t>
  </si>
  <si>
    <t>Burns, ≥20% total burned surface area or ≥10% total burned surface area if head/neck or hands/wrist involved (long term, with treatment)</t>
  </si>
  <si>
    <t>has scars caused by burns over a large part of the body. The scars are frequently painful and itchy, and the person is often sad.</t>
  </si>
  <si>
    <t>Burns, ≥20% total burned surface area or ≥10% total burned surface area if head/neck or hands/wrist involved (long term, without treatment)</t>
  </si>
  <si>
    <t>has severe, disfiguring and itchy scars caused by burns over a large part of the body. The person cannot move some joints, feels sad, and has great difficulty with self-care such as dressing and toileting.</t>
  </si>
  <si>
    <t>Burns, ≥20% total burned surface area (short term, with or without treatment)</t>
  </si>
  <si>
    <t>has a painful burn over a large part of the body. Parts of the burned area have lost feeling, and the person feels anxious and unwell.</t>
  </si>
  <si>
    <t>Dislocation of hip (with or without treatment)</t>
  </si>
  <si>
    <t>walks with a limp and feels discomfort when walking.</t>
  </si>
  <si>
    <t>Dislocation of knee (with or without treatment)</t>
  </si>
  <si>
    <t>has a knee out of joint, causing pain and difficulty moving the knee, which sometimes gives way. The person needs crutches for walking and help with self-care such as dressing.</t>
  </si>
  <si>
    <t>Dislocation of shoulder (with or without treatment)</t>
  </si>
  <si>
    <t>has a shoulder that is out of joint, causing pain and difficulty moving. The person has difficulty with daily activities such as dressing and cooking.</t>
  </si>
  <si>
    <t>Drowning and nonfatal submersion (short or long term, with or without treatment)</t>
  </si>
  <si>
    <t xml:space="preserve">has breathlessness, anxiety, cough, and vomiting. </t>
  </si>
  <si>
    <t>Fracture of clavicle, scapula or humerus (short or long term, with or without treatment)</t>
  </si>
  <si>
    <t>has a broken shoulder bone, which is painful and swollen. The person cannot use the affected arm and has difficulty with getting dressed.</t>
  </si>
  <si>
    <t>Fracture of face bone (short or long term, with or without treatment)</t>
  </si>
  <si>
    <t>has a broken cheek bone or a broken nose or chipped teeth, with swelling and severe pain.</t>
  </si>
  <si>
    <t>Fracture of neck of femur (long term, with treatment)</t>
  </si>
  <si>
    <t>had a broken hip in the past, which was fixed with treatment. The person can only walk short distances, has discomfort when moving around, and has some difficulty in daily activities.</t>
  </si>
  <si>
    <t>Fracture of neck of femur (long term, without treatment)</t>
  </si>
  <si>
    <t>had a broken hip bone in the past, which was never treated and did not heal properly. The person cannot get out of bed and needs help washing and going to the toilet.</t>
  </si>
  <si>
    <t>Fracture of neck of femur (short term, with or without treatment)</t>
  </si>
  <si>
    <t>has broken a hip and is in pain. The person cannot stand or walk, and needs help washing, dressing, and going to the toilet.</t>
  </si>
  <si>
    <t>Fracture of femur, other than femoral neck (long term, with or without treatment)</t>
  </si>
  <si>
    <t>had a broken thigh bone in the past, which was never treated and did not heal properly. The person now has a limp and discomfort when walking.</t>
  </si>
  <si>
    <t>Fracture of femur, other than femoral neck (short term, with or without treatment)</t>
  </si>
  <si>
    <t>has a broken thigh bone. The person has severe pain and swelling and cannot walk.</t>
  </si>
  <si>
    <t>Fracture of foot bones (long term, without treatment)</t>
  </si>
  <si>
    <t>had a broken foot in the past that did not heal properly. The person now has pain in the foot and has some difficulty walking.</t>
  </si>
  <si>
    <t>Fracture of foot bones (short term, with or without treatment)</t>
  </si>
  <si>
    <t xml:space="preserve">has a broken foot bone, which causes pain, swelling, and difficulty walking. </t>
  </si>
  <si>
    <t>Fracture of radius or ulna (long term, without treatment)</t>
  </si>
  <si>
    <t>had a broken forearm in the past that did not heal properly, causing some pain and limited movement in the elbow and wrist. The person has difficulty with daily activities such as dressing.</t>
  </si>
  <si>
    <t>Fracture of radius or ulna (short term, with or without treatment)</t>
  </si>
  <si>
    <t xml:space="preserve">has a broken forearm, which causes severe pain, swelling, and limited movement. </t>
  </si>
  <si>
    <t>Fracture of hand (long term, without treatment)</t>
  </si>
  <si>
    <t>has stiffness in the hand and a weak grip.</t>
  </si>
  <si>
    <t>Fracture of hand (short term, with or without treatment)</t>
  </si>
  <si>
    <t>has a broken hand, causing pain and swelling.</t>
  </si>
  <si>
    <t>Fracture of patella, tibia or fibula or ankle (long term, with or without treatment)</t>
  </si>
  <si>
    <t>had a broken shin bone in the past that did not heal properly. The person has pain in the knee and ankle, and has difficulty walking.</t>
  </si>
  <si>
    <t>Fracture of patella, tibia or fibula or ankle (short term, with or without treatment)</t>
  </si>
  <si>
    <t xml:space="preserve">has a broken shin bone, which causes severe pain, swelling, and difficulty walking. </t>
  </si>
  <si>
    <t>Fracture of pelvis (long term, with or without treatment)</t>
  </si>
  <si>
    <t xml:space="preserve">had a broken pelvis in the past and now walks with a limp. There is often pain in the back and groin, and when urinating and sitting for a long time. </t>
  </si>
  <si>
    <t>Fracture of pelvis (short term, with or without treatment)</t>
  </si>
  <si>
    <t>has a broken pelvis bone, with swelling and bruising. The person has severe pain, and cannot walk or do daily activities.</t>
  </si>
  <si>
    <t>Fracture of sternum and/or fracture of one or two ribs (short or long term, with or without treatment)</t>
  </si>
  <si>
    <t>has a broken rib that causes severe pain in the chest, especially when breathing in. The person has difficulty with daily activities such as dressing.</t>
  </si>
  <si>
    <t>Fracture of skull (short or long term, with or without treatment)</t>
  </si>
  <si>
    <t>has a broken skull, but does not have brain damage. The broken area is painful and swollen.</t>
  </si>
  <si>
    <t>Fracture of vertebral column (short or long term, with or without treatment)</t>
  </si>
  <si>
    <t>has broken back bones and is in pain, but still has full use of arms and legs.</t>
  </si>
  <si>
    <t>Traumatic brain injury, long-term consequences, minor (with or without treatment)</t>
  </si>
  <si>
    <t>has episodes of headaches, memory problems, and difficulty concentrating.</t>
  </si>
  <si>
    <t>Traumatic brain injury, long-term consequences, moderate (with or without treatment)</t>
  </si>
  <si>
    <t xml:space="preserve">has frequent headaches, memory problems, difficulty concentrating, and dizziness. The person is often anxious and moody. </t>
  </si>
  <si>
    <t>Traumatic brain injury, long-term consequences, severe (with or without treatment)</t>
  </si>
  <si>
    <t xml:space="preserve">cannot think clearly and has frequent headaches, memory problems, difficulty concentrating and dizziness. The person is often anxious and moody, and depends on others for feeding, toileting, dressing and walking.  </t>
  </si>
  <si>
    <t>Moderate/Severe traumatic brain injury (short term, with or without treatment)</t>
  </si>
  <si>
    <t>cannot concentrate and has headaches, memory problems, dizziness, and feels angry.</t>
  </si>
  <si>
    <t>Severe chest injury (long term, with or without treatment)</t>
  </si>
  <si>
    <t>had a severe chest injury in the past that has now healed. The person still gets breathless when walking and feels discomfort in the chest.</t>
  </si>
  <si>
    <t>Severe chest injury (short term, with or without treatment)</t>
  </si>
  <si>
    <t xml:space="preserve">has a serious chest injury, which causes severe pain, shortness of breath and anxiety. </t>
  </si>
  <si>
    <t>Concussion</t>
  </si>
  <si>
    <t>has headaches, dizziness, nausea and difficulty concentrating</t>
  </si>
  <si>
    <t>Crush injury (short or long term, with or without treatment)</t>
  </si>
  <si>
    <t xml:space="preserve">had part of the body crushed, leaving pain, swelling, tingling and limited feeling in the affected area.  </t>
  </si>
  <si>
    <t>Injury to eyes (short term)</t>
  </si>
  <si>
    <t>has an injury to one eye, which causes pain and difficulty seeing.</t>
  </si>
  <si>
    <t>Other injuries of muscle and tendon (includes sprains, strains and dislocations other than shoulder, knee, hip)</t>
  </si>
  <si>
    <t>has a strained muscle that causes pain and swelling.</t>
  </si>
  <si>
    <t>Injured nerves (long term)</t>
  </si>
  <si>
    <t>had a nerve injury in the past, which continues to cause some difficulty moving. The person often injures the affected part because it is numb.</t>
  </si>
  <si>
    <t>Injured nerves (short term)</t>
  </si>
  <si>
    <t xml:space="preserve">has a nerve injury, which causes difficulty moving and some loss of feeling in the affected area. </t>
  </si>
  <si>
    <t xml:space="preserve">Spinal cord lesion below neck level (untreated) </t>
  </si>
  <si>
    <t>is paralyzed from the waist down, cannot feel or move the legs and has difficulties with urine and bowel control. Legs are in fixed, bent positions, and the person gets frequent infections and pressure sores.</t>
  </si>
  <si>
    <t>Spinal cord lesion at neck level (treated)</t>
  </si>
  <si>
    <t>is paralyzed from the neck down, with no feeling or control over any part of the body below the neck, and no urine or bowel control.</t>
  </si>
  <si>
    <t xml:space="preserve">Spinal cord lesion at neck level (untreated) </t>
  </si>
  <si>
    <t>is paralyzed from the neck down, with no feeling or control over any part of the body below the neck, and no urine or bowel control. Arms and legs are in fixed, bent positions, and the person gets frequent infections and pressure sores.</t>
  </si>
  <si>
    <t>Open wound (short term, with or without treatment)</t>
  </si>
  <si>
    <t>has a cut in the skin, which causes pain and numbness around the cut.</t>
  </si>
  <si>
    <t>Poisoning (with or without treatment)</t>
  </si>
  <si>
    <t>has drowsiness, stomach pain and vomiting.</t>
  </si>
  <si>
    <t>Variação acumulada no ano durante o Plano Real</t>
  </si>
  <si>
    <t>Brasil</t>
  </si>
  <si>
    <t>199512#dezembro 1995</t>
  </si>
  <si>
    <t>199612#dezembro 1996</t>
  </si>
  <si>
    <t>199712#dezembro 1997</t>
  </si>
  <si>
    <t>199812#dezembro 1998</t>
  </si>
  <si>
    <t>199912#dezembro 1999</t>
  </si>
  <si>
    <t>200012#dezembro 2000</t>
  </si>
  <si>
    <t>200112#dezembro 2001</t>
  </si>
  <si>
    <t>200212#dezembro 2002</t>
  </si>
  <si>
    <t>200312#dezembro 2003</t>
  </si>
  <si>
    <t>200412#dezembro 2004</t>
  </si>
  <si>
    <t>200512#dezembro 2005</t>
  </si>
  <si>
    <t>200612#dezembro 2006</t>
  </si>
  <si>
    <t>200712#dezembro 2007</t>
  </si>
  <si>
    <t>200812#dezembro 2008</t>
  </si>
  <si>
    <t>200912#dezembro 2009</t>
  </si>
  <si>
    <t>201012#dezembro 2010</t>
  </si>
  <si>
    <t>201112#dezembro 2011</t>
  </si>
  <si>
    <t>201212#dezembro 2012</t>
  </si>
  <si>
    <t>201312#dezembro 2013</t>
  </si>
  <si>
    <t>201412#dezembro 2014</t>
  </si>
  <si>
    <t>201512#dezembro 2015</t>
  </si>
  <si>
    <t>201612#dezembro 2016</t>
  </si>
  <si>
    <t>201712#dezembro 2017</t>
  </si>
  <si>
    <t>201812#dezembro 2018</t>
  </si>
  <si>
    <t>201912#dezembro 2019</t>
  </si>
  <si>
    <t>202012#dezembro 2020</t>
  </si>
  <si>
    <t>202112#dezembro 2021</t>
  </si>
  <si>
    <t>202212#dezembro 2022</t>
  </si>
  <si>
    <t>202312#dezembro 2023</t>
  </si>
  <si>
    <t>202412#dezembro 2024</t>
  </si>
  <si>
    <t>Fonte: "IBGE - Índice Nacional de Preços ao Consumidor Amplo"</t>
  </si>
  <si>
    <t>202512#dezembro 2025</t>
  </si>
  <si>
    <t>https://www.ibge.gov.br/en/statistics/economic/prices-and-costs/17136-national-consumer-pricce-index.html?lang=en-GB&amp;t=series-historicas</t>
  </si>
  <si>
    <t>Cumulative</t>
  </si>
  <si>
    <t>Data Updated: 2026-01-05</t>
  </si>
  <si>
    <t>File Created: 2026-02-15 9:17 pm CST</t>
  </si>
  <si>
    <t>BRL to USD exchange rate, 2025</t>
  </si>
  <si>
    <t>brl_usd_fx_2025</t>
  </si>
  <si>
    <t>cpi_2025</t>
  </si>
  <si>
    <t>Schneider, M. et al. Safety and immunogenicity of a single-shot liveattenuated chikungunya vaccine: a double-blind, multicentre, randomised, placebo-controlled, phase 3 trial. Lancet 401, 2138–2147 (2023).
Prosser, L. A. et al. Effects of adverse events on the projected population benefits and cost-effectiveness of using live attenuated influenza vaccine in children aged 6 months to 4 years. Arch. Pediatr. Adolesc. Med. 165, 112–118 (2011).</t>
  </si>
  <si>
    <t>Zeng, W. et al. Impact of a nonfatal dengue episode on disabilityadjusted life years: a systematic analysis. Am. J. Trop. Med. Hyg. 99, 1458 (2018).
Schulte, A. et al. Health-related quality of life after dengue fever, Morelos, Mexico, 2016–2017. Emerg. Infect. Dis. 26, 751 (2020).
Puntasecca, C. J., King, C. H. &amp; LaBeaud, A. D. Measuring the global burden of chikungunya and Zika viruses: a systematic review. PLoS Negl. Trop. Dis. 15, e0009055 (2021).
Seyler, T. et al. Estimating the burden of disease and the economic cost attributable to chikungunya, Andhra Pradesh, India, 2005–2006. Trans. R. Soc. Trop. Med. Hyg. 104, 133–138 (2010).</t>
  </si>
  <si>
    <t>Schneider, M. et al. Safety and immunogenicity of a single shot liveattenuated chikungunya vaccine: a double-blind, multicentre, randomised, placebo-controlled, phase 3 trial. Lancet 401, 2138–2147 (2023)
Leidner, A. J. et al. Cost-effectiveness analysis of vaccination with recombinant zoster vaccine among hematopoietic cell transplant recipients and persons with other immunocompromising conditions aged 19 to 49 years. Value Health 26, 204–215 (2023).</t>
  </si>
  <si>
    <t>Sissoko, D. et al. Seroprevalence and risk factors of chikungunya virus infection in Mayotte, Indian Ocean, 2005-2006: a population-based survey. PLoS ONE 3, e3066 (2008).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</si>
</sst>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4" formatCode="_(&quot;$&quot;* #,##0.00_);_(&quot;$&quot;* \(#,##0.00\);_(&quot;$&quot;* &quot;-&quot;??_);_(@_)"/>
    <numFmt numFmtId="43" formatCode="_(* #,##0.00_);_(* \(#,##0.00\);_(* &quot;-&quot;??_);_(@_)"/>
    <numFmt numFmtId="164" formatCode="#,##0.000"/>
    <numFmt numFmtId="165" formatCode="#,##0.0000"/>
    <numFmt numFmtId="166" formatCode="#,##0.000000"/>
    <numFmt numFmtId="167" formatCode="#,##0.0000000"/>
    <numFmt numFmtId="168" formatCode="#,##0.0"/>
    <numFmt numFmtId="169" formatCode="0.000"/>
    <numFmt numFmtId="170" formatCode="0.00000"/>
    <numFmt numFmtId="171" formatCode="&quot;$&quot;#,##0.00"/>
    <numFmt numFmtId="172" formatCode="General_)"/>
    <numFmt numFmtId="173" formatCode="0.000_)"/>
    <numFmt numFmtId="174" formatCode="0.0_)"/>
    <numFmt numFmtId="175" formatCode="0.0000"/>
    <numFmt numFmtId="176" formatCode="yyyy\-mm\-dd"/>
    <numFmt numFmtId="177" formatCode="0.00000000000000000000000000"/>
  </numFmts>
  <fonts count="53" x14ac:knownFonts="1">
    <font>
      <sz val="12"/>
      <color theme="1"/>
      <name val="Aptos Narrow"/>
      <family val="2"/>
      <scheme val="minor"/>
    </font>
    <font>
      <sz val="12"/>
      <color theme="1"/>
      <name val="Aptos"/>
    </font>
    <font>
      <u/>
      <sz val="12"/>
      <color theme="10"/>
      <name val="Aptos Narrow"/>
      <family val="2"/>
      <scheme val="minor"/>
    </font>
    <font>
      <u/>
      <sz val="12"/>
      <color theme="10"/>
      <name val="Aptos"/>
    </font>
    <font>
      <b/>
      <sz val="12"/>
      <color rgb="FF000000"/>
      <name val="Aptos"/>
    </font>
    <font>
      <sz val="12"/>
      <color rgb="FF000000"/>
      <name val="Aptos"/>
    </font>
    <font>
      <sz val="12"/>
      <color rgb="FFFF0000"/>
      <name val="Aptos"/>
    </font>
    <font>
      <b/>
      <sz val="12"/>
      <color theme="1"/>
      <name val="Aptos"/>
    </font>
    <font>
      <sz val="12"/>
      <color rgb="FF0070C0"/>
      <name val="Aptos"/>
    </font>
    <font>
      <sz val="12"/>
      <color rgb="FFC00000"/>
      <name val="Aptos"/>
    </font>
    <font>
      <b/>
      <sz val="12"/>
      <color theme="0"/>
      <name val="Aptos"/>
    </font>
    <font>
      <i/>
      <sz val="12"/>
      <color theme="1"/>
      <name val="Aptos"/>
    </font>
    <font>
      <b/>
      <sz val="12"/>
      <color rgb="FF0070C0"/>
      <name val="Aptos"/>
    </font>
    <font>
      <sz val="12"/>
      <color rgb="FF000000"/>
      <name val="Aptos Narrow"/>
      <family val="2"/>
      <scheme val="minor"/>
    </font>
    <font>
      <b/>
      <i/>
      <sz val="12"/>
      <color theme="1"/>
      <name val="Aptos"/>
    </font>
    <font>
      <u/>
      <sz val="12"/>
      <color theme="1"/>
      <name val="Aptos Narrow"/>
      <family val="2"/>
      <scheme val="minor"/>
    </font>
    <font>
      <b/>
      <u/>
      <sz val="12"/>
      <color theme="10"/>
      <name val="Aptos"/>
    </font>
    <font>
      <sz val="10"/>
      <name val="Courier New"/>
      <family val="3"/>
      <charset val="1"/>
    </font>
    <font>
      <sz val="12"/>
      <name val="Times New Roman"/>
      <family val="1"/>
      <charset val="1"/>
    </font>
    <font>
      <sz val="12"/>
      <color rgb="FF0000FF"/>
      <name val="Arial"/>
      <family val="2"/>
      <charset val="1"/>
    </font>
    <font>
      <sz val="12"/>
      <color rgb="FF0000FF"/>
      <name val="Times New Roman"/>
      <family val="1"/>
      <charset val="1"/>
    </font>
    <font>
      <sz val="12"/>
      <color theme="3"/>
      <name val="Aptos"/>
    </font>
    <font>
      <u/>
      <sz val="12"/>
      <color theme="1"/>
      <name val="Aptos"/>
    </font>
    <font>
      <b/>
      <sz val="11"/>
      <color theme="1"/>
      <name val="Aptos Narrow"/>
      <family val="2"/>
      <scheme val="minor"/>
    </font>
    <font>
      <sz val="16"/>
      <color rgb="FF555555"/>
      <name val="Aptos"/>
    </font>
    <font>
      <b/>
      <sz val="12"/>
      <color theme="1"/>
      <name val="Aptos Narrow"/>
      <scheme val="minor"/>
    </font>
    <font>
      <sz val="12"/>
      <color rgb="FF0070C0"/>
      <name val="Aptos Narrow"/>
      <family val="2"/>
      <scheme val="minor"/>
    </font>
    <font>
      <sz val="11"/>
      <color rgb="FF0070C0"/>
      <name val="Aptos"/>
    </font>
    <font>
      <u/>
      <sz val="12"/>
      <color rgb="FF0070C0"/>
      <name val="Aptos"/>
    </font>
    <font>
      <sz val="12"/>
      <color theme="1"/>
      <name val="Aptos Narrow"/>
      <family val="2"/>
      <scheme val="minor"/>
    </font>
    <font>
      <b/>
      <sz val="12"/>
      <color rgb="FF000000"/>
      <name val="Helvetica Neue"/>
      <family val="2"/>
    </font>
    <font>
      <sz val="12"/>
      <color rgb="FF000000"/>
      <name val="Helvetica Neue"/>
      <family val="2"/>
    </font>
    <font>
      <sz val="12"/>
      <color rgb="FF212121"/>
      <name val="Aptos"/>
    </font>
    <font>
      <sz val="12"/>
      <color rgb="FF212121"/>
      <name val="Arial"/>
      <family val="2"/>
    </font>
    <font>
      <b/>
      <sz val="12"/>
      <color rgb="FF212121"/>
      <name val="Aptos"/>
    </font>
    <font>
      <sz val="11"/>
      <color theme="1"/>
      <name val="Aptos Narrow"/>
      <family val="2"/>
      <scheme val="minor"/>
    </font>
    <font>
      <u/>
      <sz val="11"/>
      <color theme="10"/>
      <name val="Aptos Narrow"/>
      <family val="2"/>
      <scheme val="minor"/>
    </font>
    <font>
      <sz val="22"/>
      <color theme="1"/>
      <name val="Aptos Narrow (Body)"/>
    </font>
    <font>
      <sz val="14"/>
      <color theme="1"/>
      <name val="Calibri"/>
      <family val="2"/>
    </font>
    <font>
      <b/>
      <sz val="14"/>
      <color theme="1"/>
      <name val="Aptos Narrow"/>
      <scheme val="minor"/>
    </font>
    <font>
      <sz val="14"/>
      <color theme="1"/>
      <name val="Aptos Narrow"/>
      <family val="2"/>
      <scheme val="minor"/>
    </font>
    <font>
      <sz val="14"/>
      <color rgb="FF000000"/>
      <name val="Calibri"/>
      <family val="2"/>
    </font>
    <font>
      <b/>
      <sz val="12"/>
      <color rgb="FF000000"/>
      <name val="Aptos Narrow"/>
      <family val="2"/>
      <scheme val="minor"/>
    </font>
    <font>
      <b/>
      <sz val="12"/>
      <color rgb="FF000000"/>
      <name val="Aptos Narrow"/>
      <scheme val="minor"/>
    </font>
    <font>
      <sz val="12"/>
      <color theme="1"/>
      <name val="Aptos Narrow"/>
      <scheme val="minor"/>
    </font>
    <font>
      <sz val="12"/>
      <color rgb="FF00B050"/>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b/>
      <sz val="11"/>
      <name val="Aptos Narrow"/>
      <family val="2"/>
      <scheme val="minor"/>
    </font>
    <font>
      <sz val="11"/>
      <name val="Aptos Narrow"/>
      <family val="2"/>
      <scheme val="minor"/>
    </font>
    <font>
      <sz val="12"/>
      <color rgb="FF00B050"/>
      <name val="Aptos"/>
    </font>
    <font>
      <sz val="12"/>
      <color rgb="FF000000"/>
      <name val="Calibri"/>
      <family val="2"/>
    </font>
  </fonts>
  <fills count="13">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rgb="FFFFC000"/>
        <bgColor indexed="64"/>
      </patternFill>
    </fill>
    <fill>
      <patternFill patternType="solid">
        <fgColor theme="6"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s>
  <cellStyleXfs count="10">
    <xf numFmtId="0" fontId="0" fillId="0" borderId="0"/>
    <xf numFmtId="0" fontId="2" fillId="0" borderId="0" applyNumberFormat="0" applyFill="0" applyBorder="0" applyAlignment="0" applyProtection="0"/>
    <xf numFmtId="170" fontId="17" fillId="0" borderId="0"/>
    <xf numFmtId="43" fontId="29" fillId="0" borderId="0" applyFont="0" applyFill="0" applyBorder="0" applyAlignment="0" applyProtection="0"/>
    <xf numFmtId="44" fontId="29" fillId="0" borderId="0" applyFont="0" applyFill="0" applyBorder="0" applyAlignment="0" applyProtection="0"/>
    <xf numFmtId="0" fontId="35" fillId="0" borderId="0"/>
    <xf numFmtId="0" fontId="36" fillId="0" borderId="0" applyNumberFormat="0" applyFill="0" applyBorder="0" applyAlignment="0" applyProtection="0"/>
    <xf numFmtId="0" fontId="46" fillId="10" borderId="0" applyNumberFormat="0" applyBorder="0" applyAlignment="0" applyProtection="0"/>
    <xf numFmtId="0" fontId="47" fillId="11" borderId="0" applyNumberFormat="0" applyBorder="0" applyAlignment="0" applyProtection="0"/>
    <xf numFmtId="0" fontId="48" fillId="12" borderId="0" applyNumberFormat="0" applyBorder="0" applyAlignment="0" applyProtection="0"/>
  </cellStyleXfs>
  <cellXfs count="249">
    <xf numFmtId="0" fontId="0" fillId="0" borderId="0" xfId="0"/>
    <xf numFmtId="0" fontId="1" fillId="0" borderId="0" xfId="0" applyFont="1"/>
    <xf numFmtId="0" fontId="2" fillId="0" borderId="0" xfId="1"/>
    <xf numFmtId="0" fontId="3" fillId="0" borderId="0" xfId="1" applyFont="1"/>
    <xf numFmtId="0" fontId="5" fillId="0" borderId="0" xfId="0" applyFont="1"/>
    <xf numFmtId="0" fontId="6" fillId="0" borderId="0" xfId="0" applyFont="1"/>
    <xf numFmtId="164" fontId="8" fillId="0" borderId="0" xfId="0" applyNumberFormat="1" applyFont="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4" fontId="8" fillId="0" borderId="0" xfId="0" applyNumberFormat="1" applyFont="1" applyAlignment="1">
      <alignment horizontal="center"/>
    </xf>
    <xf numFmtId="168" fontId="8" fillId="0" borderId="0" xfId="0" applyNumberFormat="1" applyFont="1" applyAlignment="1">
      <alignment horizontal="center"/>
    </xf>
    <xf numFmtId="3" fontId="8" fillId="0" borderId="0" xfId="0" applyNumberFormat="1" applyFont="1" applyAlignment="1">
      <alignment horizontal="center"/>
    </xf>
    <xf numFmtId="4" fontId="1" fillId="0" borderId="0" xfId="0" applyNumberFormat="1" applyFont="1" applyAlignment="1">
      <alignment horizontal="center"/>
    </xf>
    <xf numFmtId="3" fontId="1" fillId="0" borderId="0" xfId="0" applyNumberFormat="1" applyFont="1" applyAlignment="1">
      <alignment horizontal="center"/>
    </xf>
    <xf numFmtId="0" fontId="1" fillId="0" borderId="1" xfId="0" applyFont="1" applyBorder="1"/>
    <xf numFmtId="0" fontId="3" fillId="0" borderId="1" xfId="1" applyFont="1" applyBorder="1"/>
    <xf numFmtId="0" fontId="8" fillId="0" borderId="0" xfId="0" applyFont="1" applyAlignment="1">
      <alignment horizontal="center"/>
    </xf>
    <xf numFmtId="169" fontId="8" fillId="0" borderId="0" xfId="0" applyNumberFormat="1" applyFont="1" applyAlignment="1">
      <alignment horizontal="center"/>
    </xf>
    <xf numFmtId="2" fontId="8" fillId="0" borderId="0" xfId="0" applyNumberFormat="1" applyFont="1" applyAlignment="1">
      <alignment horizontal="center"/>
    </xf>
    <xf numFmtId="171" fontId="8" fillId="0" borderId="0" xfId="0" applyNumberFormat="1" applyFont="1" applyAlignment="1">
      <alignment horizontal="center"/>
    </xf>
    <xf numFmtId="0" fontId="8" fillId="0" borderId="1" xfId="0" applyFont="1" applyBorder="1" applyAlignment="1">
      <alignment horizontal="center"/>
    </xf>
    <xf numFmtId="169" fontId="1" fillId="0" borderId="0" xfId="0" applyNumberFormat="1" applyFont="1" applyAlignment="1">
      <alignment horizontal="center"/>
    </xf>
    <xf numFmtId="0" fontId="1" fillId="4" borderId="0" xfId="0" applyFont="1" applyFill="1"/>
    <xf numFmtId="0" fontId="7" fillId="4" borderId="0" xfId="0" applyFont="1" applyFill="1"/>
    <xf numFmtId="0" fontId="1" fillId="4" borderId="0" xfId="0" applyFont="1" applyFill="1" applyAlignment="1">
      <alignment horizontal="center"/>
    </xf>
    <xf numFmtId="171" fontId="1" fillId="4" borderId="0" xfId="0" applyNumberFormat="1" applyFont="1" applyFill="1" applyAlignment="1">
      <alignment horizontal="center"/>
    </xf>
    <xf numFmtId="0" fontId="8" fillId="4" borderId="0" xfId="0" applyFont="1" applyFill="1" applyAlignment="1">
      <alignment horizontal="center"/>
    </xf>
    <xf numFmtId="169" fontId="8" fillId="4" borderId="0" xfId="0" applyNumberFormat="1" applyFont="1" applyFill="1" applyAlignment="1">
      <alignment horizontal="center"/>
    </xf>
    <xf numFmtId="0" fontId="3" fillId="4" borderId="0" xfId="1" applyFont="1" applyFill="1" applyBorder="1"/>
    <xf numFmtId="0" fontId="7" fillId="4" borderId="0" xfId="0" applyFont="1" applyFill="1" applyAlignment="1">
      <alignment horizontal="center"/>
    </xf>
    <xf numFmtId="0" fontId="13" fillId="0" borderId="0" xfId="0" applyFont="1"/>
    <xf numFmtId="0" fontId="10" fillId="2" borderId="1" xfId="0" applyFont="1" applyFill="1" applyBorder="1"/>
    <xf numFmtId="0" fontId="10" fillId="2" borderId="1" xfId="0" applyFont="1" applyFill="1" applyBorder="1" applyAlignment="1">
      <alignment horizontal="center"/>
    </xf>
    <xf numFmtId="4" fontId="1" fillId="0" borderId="1" xfId="0" applyNumberFormat="1" applyFont="1" applyBorder="1" applyAlignment="1">
      <alignment horizontal="center"/>
    </xf>
    <xf numFmtId="171" fontId="8" fillId="0" borderId="1" xfId="0" applyNumberFormat="1" applyFont="1" applyBorder="1" applyAlignment="1">
      <alignment horizontal="center"/>
    </xf>
    <xf numFmtId="0" fontId="3" fillId="0" borderId="0" xfId="1" applyFont="1" applyFill="1"/>
    <xf numFmtId="0" fontId="2" fillId="0" borderId="0" xfId="1" applyFill="1"/>
    <xf numFmtId="0" fontId="2" fillId="0" borderId="1" xfId="1" applyFill="1" applyBorder="1"/>
    <xf numFmtId="0" fontId="2" fillId="0" borderId="0" xfId="1" applyFill="1" applyBorder="1"/>
    <xf numFmtId="0" fontId="0" fillId="0" borderId="1" xfId="0" applyBorder="1"/>
    <xf numFmtId="4" fontId="8" fillId="0" borderId="1" xfId="0" applyNumberFormat="1" applyFont="1" applyBorder="1" applyAlignment="1">
      <alignment horizontal="center"/>
    </xf>
    <xf numFmtId="0" fontId="3" fillId="0" borderId="0" xfId="1" applyFont="1" applyFill="1" applyBorder="1"/>
    <xf numFmtId="0" fontId="14" fillId="4" borderId="0" xfId="0" applyFont="1" applyFill="1"/>
    <xf numFmtId="3" fontId="8" fillId="4" borderId="0" xfId="0" applyNumberFormat="1" applyFont="1" applyFill="1" applyAlignment="1">
      <alignment horizontal="center"/>
    </xf>
    <xf numFmtId="0" fontId="3" fillId="4" borderId="0" xfId="1" applyFont="1" applyFill="1"/>
    <xf numFmtId="0" fontId="7" fillId="5" borderId="0" xfId="0" applyFont="1" applyFill="1"/>
    <xf numFmtId="0" fontId="12" fillId="5" borderId="0" xfId="0" applyFont="1" applyFill="1" applyAlignment="1">
      <alignment horizontal="center"/>
    </xf>
    <xf numFmtId="169" fontId="12" fillId="5" borderId="0" xfId="0" applyNumberFormat="1" applyFont="1" applyFill="1" applyAlignment="1">
      <alignment horizontal="center"/>
    </xf>
    <xf numFmtId="0" fontId="16" fillId="5" borderId="0" xfId="1" applyFont="1" applyFill="1" applyBorder="1"/>
    <xf numFmtId="0" fontId="1" fillId="5" borderId="0" xfId="0" applyFont="1" applyFill="1"/>
    <xf numFmtId="0" fontId="8" fillId="5" borderId="0" xfId="0" applyFont="1" applyFill="1" applyAlignment="1">
      <alignment horizontal="center"/>
    </xf>
    <xf numFmtId="169" fontId="8" fillId="5" borderId="0" xfId="0" applyNumberFormat="1" applyFont="1" applyFill="1" applyAlignment="1">
      <alignment horizontal="center"/>
    </xf>
    <xf numFmtId="0" fontId="3" fillId="5" borderId="0" xfId="1" applyFont="1" applyFill="1" applyBorder="1"/>
    <xf numFmtId="164" fontId="12" fillId="5" borderId="0" xfId="0" applyNumberFormat="1" applyFont="1" applyFill="1" applyAlignment="1">
      <alignment horizontal="center"/>
    </xf>
    <xf numFmtId="0" fontId="4" fillId="5" borderId="0" xfId="0" applyFont="1" applyFill="1"/>
    <xf numFmtId="0" fontId="15" fillId="0" borderId="0" xfId="1" applyFont="1" applyFill="1" applyBorder="1"/>
    <xf numFmtId="0" fontId="11" fillId="5" borderId="0" xfId="0" applyFont="1" applyFill="1" applyAlignment="1">
      <alignment horizontal="center"/>
    </xf>
    <xf numFmtId="0" fontId="1" fillId="5" borderId="0" xfId="0" applyFont="1" applyFill="1" applyAlignment="1">
      <alignment horizontal="center"/>
    </xf>
    <xf numFmtId="1" fontId="18" fillId="0" borderId="0" xfId="2" applyNumberFormat="1" applyFont="1"/>
    <xf numFmtId="172" fontId="18" fillId="0" borderId="0" xfId="2" applyNumberFormat="1" applyFont="1" applyAlignment="1">
      <alignment horizontal="left"/>
    </xf>
    <xf numFmtId="172" fontId="18" fillId="0" borderId="0" xfId="2" applyNumberFormat="1" applyFont="1" applyAlignment="1">
      <alignment horizontal="center"/>
    </xf>
    <xf numFmtId="174" fontId="18" fillId="0" borderId="0" xfId="2" applyNumberFormat="1" applyFont="1" applyAlignment="1">
      <alignment horizontal="center"/>
    </xf>
    <xf numFmtId="172" fontId="18" fillId="0" borderId="0" xfId="2" applyNumberFormat="1" applyFont="1"/>
    <xf numFmtId="172" fontId="18" fillId="0" borderId="1" xfId="2" applyNumberFormat="1" applyFont="1" applyBorder="1"/>
    <xf numFmtId="172" fontId="18" fillId="0" borderId="1" xfId="2" applyNumberFormat="1" applyFont="1" applyBorder="1" applyAlignment="1">
      <alignment horizontal="center"/>
    </xf>
    <xf numFmtId="172" fontId="18" fillId="0" borderId="1" xfId="2" applyNumberFormat="1" applyFont="1" applyBorder="1" applyAlignment="1">
      <alignment horizontal="right"/>
    </xf>
    <xf numFmtId="172" fontId="18" fillId="0" borderId="3" xfId="2" applyNumberFormat="1" applyFont="1" applyBorder="1" applyAlignment="1">
      <alignment horizontal="center"/>
    </xf>
    <xf numFmtId="172" fontId="18" fillId="0" borderId="5" xfId="2" applyNumberFormat="1" applyFont="1" applyBorder="1" applyAlignment="1">
      <alignment horizontal="center"/>
    </xf>
    <xf numFmtId="172" fontId="18" fillId="0" borderId="6" xfId="2" applyNumberFormat="1" applyFont="1" applyBorder="1" applyAlignment="1">
      <alignment horizontal="center"/>
    </xf>
    <xf numFmtId="172" fontId="18" fillId="0" borderId="7" xfId="2" applyNumberFormat="1" applyFont="1" applyBorder="1" applyAlignment="1">
      <alignment horizontal="center"/>
    </xf>
    <xf numFmtId="172" fontId="20" fillId="0" borderId="0" xfId="2" applyNumberFormat="1" applyFont="1" applyAlignment="1">
      <alignment horizontal="center"/>
    </xf>
    <xf numFmtId="173" fontId="18" fillId="0" borderId="0" xfId="2" applyNumberFormat="1" applyFont="1" applyAlignment="1">
      <alignment horizontal="right"/>
    </xf>
    <xf numFmtId="1" fontId="18" fillId="0" borderId="0" xfId="2" applyNumberFormat="1" applyFont="1" applyAlignment="1">
      <alignment horizontal="right"/>
    </xf>
    <xf numFmtId="174" fontId="20" fillId="0" borderId="0" xfId="2" applyNumberFormat="1" applyFont="1" applyAlignment="1">
      <alignment horizontal="center"/>
    </xf>
    <xf numFmtId="172" fontId="20" fillId="0" borderId="1" xfId="2" applyNumberFormat="1" applyFont="1" applyBorder="1" applyAlignment="1">
      <alignment horizontal="center"/>
    </xf>
    <xf numFmtId="173" fontId="18" fillId="0" borderId="1" xfId="2" applyNumberFormat="1" applyFont="1" applyBorder="1" applyAlignment="1">
      <alignment horizontal="right"/>
    </xf>
    <xf numFmtId="1" fontId="18" fillId="0" borderId="1" xfId="2" applyNumberFormat="1" applyFont="1" applyBorder="1" applyAlignment="1">
      <alignment horizontal="right"/>
    </xf>
    <xf numFmtId="174" fontId="20" fillId="0" borderId="1" xfId="2" applyNumberFormat="1" applyFont="1" applyBorder="1" applyAlignment="1">
      <alignment horizontal="center"/>
    </xf>
    <xf numFmtId="16" fontId="0" fillId="0" borderId="0" xfId="0" applyNumberFormat="1"/>
    <xf numFmtId="0" fontId="2" fillId="0" borderId="0" xfId="1" applyBorder="1"/>
    <xf numFmtId="172" fontId="20" fillId="3" borderId="0" xfId="2" applyNumberFormat="1" applyFont="1" applyFill="1" applyAlignment="1">
      <alignment horizontal="center"/>
    </xf>
    <xf numFmtId="173" fontId="18" fillId="3" borderId="0" xfId="2" applyNumberFormat="1" applyFont="1" applyFill="1" applyAlignment="1">
      <alignment horizontal="right"/>
    </xf>
    <xf numFmtId="1" fontId="18" fillId="3" borderId="0" xfId="2" applyNumberFormat="1" applyFont="1" applyFill="1" applyAlignment="1">
      <alignment horizontal="right"/>
    </xf>
    <xf numFmtId="174" fontId="20" fillId="3" borderId="0" xfId="2" applyNumberFormat="1" applyFont="1" applyFill="1" applyAlignment="1">
      <alignment horizontal="center"/>
    </xf>
    <xf numFmtId="0" fontId="0" fillId="0" borderId="0" xfId="0" applyAlignment="1">
      <alignment horizontal="center"/>
    </xf>
    <xf numFmtId="0" fontId="8" fillId="0" borderId="0" xfId="0" applyFont="1"/>
    <xf numFmtId="167" fontId="8" fillId="0" borderId="0" xfId="0" applyNumberFormat="1" applyFont="1" applyAlignment="1">
      <alignment horizontal="center"/>
    </xf>
    <xf numFmtId="2" fontId="8" fillId="0" borderId="1" xfId="0" applyNumberFormat="1" applyFont="1" applyBorder="1" applyAlignment="1">
      <alignment horizontal="center"/>
    </xf>
    <xf numFmtId="0" fontId="3" fillId="0" borderId="1" xfId="1" applyFont="1" applyFill="1" applyBorder="1"/>
    <xf numFmtId="0" fontId="21" fillId="0" borderId="0" xfId="0" applyFont="1"/>
    <xf numFmtId="0" fontId="9" fillId="0" borderId="0" xfId="0" applyFont="1"/>
    <xf numFmtId="0" fontId="3" fillId="0" borderId="0" xfId="1" applyFont="1" applyFill="1" applyAlignment="1"/>
    <xf numFmtId="0" fontId="1" fillId="0" borderId="1" xfId="0" applyFont="1" applyBorder="1" applyAlignment="1">
      <alignment horizontal="center"/>
    </xf>
    <xf numFmtId="167" fontId="8" fillId="0" borderId="1" xfId="0" applyNumberFormat="1" applyFont="1" applyBorder="1" applyAlignment="1">
      <alignment horizontal="center"/>
    </xf>
    <xf numFmtId="0" fontId="5" fillId="0" borderId="1" xfId="0" applyFont="1" applyBorder="1"/>
    <xf numFmtId="0" fontId="8" fillId="0" borderId="1" xfId="0" applyFont="1" applyBorder="1"/>
    <xf numFmtId="0" fontId="6" fillId="0" borderId="1" xfId="0" applyFont="1" applyBorder="1"/>
    <xf numFmtId="0" fontId="1" fillId="0" borderId="2" xfId="0" applyFont="1" applyBorder="1"/>
    <xf numFmtId="0" fontId="21" fillId="0" borderId="2" xfId="0" applyFont="1" applyBorder="1"/>
    <xf numFmtId="0" fontId="8" fillId="0" borderId="2" xfId="0" applyFont="1" applyBorder="1" applyAlignment="1">
      <alignment horizontal="center"/>
    </xf>
    <xf numFmtId="0" fontId="8" fillId="0" borderId="2" xfId="0" applyFont="1" applyBorder="1"/>
    <xf numFmtId="0" fontId="15" fillId="0" borderId="2" xfId="1" applyFont="1" applyFill="1" applyBorder="1"/>
    <xf numFmtId="0" fontId="22" fillId="0" borderId="0" xfId="1" applyFont="1" applyFill="1"/>
    <xf numFmtId="0" fontId="22" fillId="0" borderId="0" xfId="1" applyFont="1" applyFill="1" applyBorder="1"/>
    <xf numFmtId="0" fontId="23" fillId="0" borderId="4" xfId="0" applyFont="1" applyBorder="1" applyAlignment="1">
      <alignment horizontal="center" vertical="top"/>
    </xf>
    <xf numFmtId="176" fontId="0" fillId="0" borderId="0" xfId="0" applyNumberFormat="1"/>
    <xf numFmtId="175" fontId="0" fillId="0" borderId="0" xfId="0" applyNumberFormat="1"/>
    <xf numFmtId="0" fontId="0" fillId="0" borderId="0" xfId="0" applyAlignment="1">
      <alignment wrapText="1"/>
    </xf>
    <xf numFmtId="176" fontId="0" fillId="3" borderId="0" xfId="0" applyNumberFormat="1" applyFill="1"/>
    <xf numFmtId="175" fontId="0" fillId="3" borderId="0" xfId="0" applyNumberFormat="1" applyFill="1"/>
    <xf numFmtId="172" fontId="18" fillId="0" borderId="0" xfId="2" applyNumberFormat="1" applyFont="1" applyAlignment="1">
      <alignment horizontal="center" vertical="center"/>
    </xf>
    <xf numFmtId="0" fontId="24" fillId="0" borderId="0" xfId="0" applyFont="1" applyAlignment="1">
      <alignment horizontal="center"/>
    </xf>
    <xf numFmtId="4" fontId="8" fillId="0" borderId="2" xfId="0" applyNumberFormat="1" applyFont="1" applyBorder="1" applyAlignment="1">
      <alignment horizontal="center"/>
    </xf>
    <xf numFmtId="164" fontId="1" fillId="0" borderId="0" xfId="0" applyNumberFormat="1" applyFont="1" applyAlignment="1">
      <alignment horizontal="center"/>
    </xf>
    <xf numFmtId="0" fontId="26" fillId="0" borderId="0" xfId="0" applyFont="1" applyAlignment="1">
      <alignment horizontal="center"/>
    </xf>
    <xf numFmtId="0" fontId="25" fillId="0" borderId="1" xfId="0" applyFont="1" applyBorder="1" applyAlignment="1">
      <alignment horizontal="center"/>
    </xf>
    <xf numFmtId="0" fontId="25" fillId="0" borderId="1" xfId="0" applyFont="1" applyBorder="1"/>
    <xf numFmtId="0" fontId="7" fillId="0" borderId="0" xfId="0" applyFont="1"/>
    <xf numFmtId="170" fontId="8" fillId="0" borderId="0" xfId="0" applyNumberFormat="1" applyFont="1" applyAlignment="1">
      <alignment horizontal="center"/>
    </xf>
    <xf numFmtId="0" fontId="1" fillId="0" borderId="0" xfId="0" applyFont="1" applyAlignment="1">
      <alignment wrapText="1"/>
    </xf>
    <xf numFmtId="0" fontId="2" fillId="0" borderId="1" xfId="1" applyFill="1" applyBorder="1" applyAlignment="1"/>
    <xf numFmtId="0" fontId="22" fillId="0" borderId="1" xfId="1" applyFont="1" applyFill="1" applyBorder="1"/>
    <xf numFmtId="1" fontId="8" fillId="0" borderId="0" xfId="0" applyNumberFormat="1" applyFont="1" applyAlignment="1">
      <alignment horizontal="center"/>
    </xf>
    <xf numFmtId="175" fontId="1" fillId="0" borderId="0" xfId="0" applyNumberFormat="1" applyFont="1" applyAlignment="1">
      <alignment horizontal="center"/>
    </xf>
    <xf numFmtId="165" fontId="8" fillId="0" borderId="0" xfId="0" applyNumberFormat="1" applyFont="1" applyAlignment="1">
      <alignment horizontal="center"/>
    </xf>
    <xf numFmtId="0" fontId="28" fillId="0" borderId="1" xfId="1" applyFont="1" applyFill="1" applyBorder="1"/>
    <xf numFmtId="170" fontId="8" fillId="0" borderId="1" xfId="0" applyNumberFormat="1" applyFont="1" applyBorder="1" applyAlignment="1">
      <alignment horizontal="center"/>
    </xf>
    <xf numFmtId="4" fontId="8" fillId="0" borderId="2" xfId="0" applyNumberFormat="1" applyFont="1" applyBorder="1" applyAlignment="1">
      <alignment horizontal="center" wrapText="1"/>
    </xf>
    <xf numFmtId="166" fontId="8" fillId="0" borderId="1" xfId="0" applyNumberFormat="1" applyFont="1" applyBorder="1" applyAlignment="1">
      <alignment horizontal="center"/>
    </xf>
    <xf numFmtId="169" fontId="8" fillId="0" borderId="1" xfId="0" applyNumberFormat="1" applyFont="1" applyBorder="1" applyAlignment="1">
      <alignment horizontal="center"/>
    </xf>
    <xf numFmtId="0" fontId="7" fillId="0" borderId="1" xfId="0" applyFont="1" applyBorder="1" applyAlignment="1">
      <alignment horizontal="center"/>
    </xf>
    <xf numFmtId="0" fontId="7" fillId="0" borderId="1" xfId="0" applyFont="1" applyBorder="1"/>
    <xf numFmtId="0" fontId="0" fillId="7" borderId="0" xfId="0" applyFill="1" applyAlignment="1">
      <alignment horizontal="center"/>
    </xf>
    <xf numFmtId="0" fontId="0" fillId="0" borderId="0" xfId="0" applyAlignment="1">
      <alignment horizontal="left"/>
    </xf>
    <xf numFmtId="0" fontId="0" fillId="0" borderId="1" xfId="0" applyBorder="1" applyAlignment="1">
      <alignment horizontal="left"/>
    </xf>
    <xf numFmtId="0" fontId="30" fillId="0" borderId="1" xfId="0" applyFont="1" applyBorder="1" applyAlignment="1">
      <alignment horizontal="left"/>
    </xf>
    <xf numFmtId="0" fontId="30" fillId="0" borderId="1" xfId="0" applyFont="1" applyBorder="1"/>
    <xf numFmtId="0" fontId="30" fillId="0" borderId="0" xfId="0" applyFont="1"/>
    <xf numFmtId="9" fontId="31" fillId="0" borderId="0" xfId="0" applyNumberFormat="1" applyFont="1" applyAlignment="1">
      <alignment horizontal="center"/>
    </xf>
    <xf numFmtId="4" fontId="31" fillId="0" borderId="0" xfId="0" applyNumberFormat="1" applyFont="1" applyAlignment="1">
      <alignment horizontal="center"/>
    </xf>
    <xf numFmtId="2" fontId="31" fillId="0" borderId="0" xfId="0" applyNumberFormat="1" applyFont="1"/>
    <xf numFmtId="0" fontId="0" fillId="0" borderId="1" xfId="0" applyBorder="1" applyAlignment="1">
      <alignment horizontal="center"/>
    </xf>
    <xf numFmtId="10" fontId="31" fillId="0" borderId="0" xfId="0" applyNumberFormat="1" applyFont="1" applyAlignment="1">
      <alignment horizontal="center"/>
    </xf>
    <xf numFmtId="3" fontId="0" fillId="0" borderId="0" xfId="0" applyNumberFormat="1"/>
    <xf numFmtId="9" fontId="31" fillId="0" borderId="1" xfId="0" applyNumberFormat="1" applyFont="1" applyBorder="1" applyAlignment="1">
      <alignment horizontal="center"/>
    </xf>
    <xf numFmtId="4" fontId="31" fillId="0" borderId="1" xfId="0" applyNumberFormat="1" applyFont="1" applyBorder="1" applyAlignment="1">
      <alignment horizontal="center"/>
    </xf>
    <xf numFmtId="0" fontId="32" fillId="0" borderId="0" xfId="0" applyFont="1" applyAlignment="1">
      <alignment horizontal="left"/>
    </xf>
    <xf numFmtId="0" fontId="35" fillId="0" borderId="0" xfId="5"/>
    <xf numFmtId="177" fontId="35" fillId="0" borderId="0" xfId="5" applyNumberFormat="1"/>
    <xf numFmtId="4" fontId="35" fillId="0" borderId="0" xfId="5" applyNumberFormat="1"/>
    <xf numFmtId="176" fontId="35" fillId="0" borderId="0" xfId="5" applyNumberFormat="1"/>
    <xf numFmtId="0" fontId="36" fillId="0" borderId="0" xfId="6"/>
    <xf numFmtId="0" fontId="23" fillId="0" borderId="4" xfId="5" applyFont="1" applyBorder="1" applyAlignment="1">
      <alignment horizontal="center" vertical="top"/>
    </xf>
    <xf numFmtId="4" fontId="35" fillId="3" borderId="0" xfId="5" applyNumberFormat="1" applyFill="1"/>
    <xf numFmtId="176" fontId="35" fillId="3" borderId="0" xfId="5" applyNumberFormat="1" applyFill="1"/>
    <xf numFmtId="0" fontId="4" fillId="0" borderId="0" xfId="0" applyFont="1"/>
    <xf numFmtId="9" fontId="5" fillId="0" borderId="1" xfId="0" applyNumberFormat="1" applyFont="1" applyBorder="1"/>
    <xf numFmtId="2" fontId="5" fillId="0" borderId="1" xfId="0" applyNumberFormat="1" applyFont="1" applyBorder="1"/>
    <xf numFmtId="0" fontId="4" fillId="0" borderId="1" xfId="0" applyFont="1" applyBorder="1"/>
    <xf numFmtId="0" fontId="1" fillId="0" borderId="1" xfId="0" applyFont="1" applyBorder="1" applyAlignment="1">
      <alignment horizontal="center" wrapText="1"/>
    </xf>
    <xf numFmtId="0" fontId="1" fillId="4" borderId="1" xfId="0" applyFont="1" applyFill="1" applyBorder="1" applyAlignment="1">
      <alignment horizontal="center" wrapText="1"/>
    </xf>
    <xf numFmtId="2" fontId="5" fillId="4" borderId="1" xfId="0" applyNumberFormat="1" applyFont="1" applyFill="1" applyBorder="1" applyAlignment="1">
      <alignment horizontal="center" wrapText="1"/>
    </xf>
    <xf numFmtId="39" fontId="8" fillId="0" borderId="0" xfId="3" applyNumberFormat="1" applyFont="1" applyFill="1" applyAlignment="1">
      <alignment horizontal="center"/>
    </xf>
    <xf numFmtId="2" fontId="8" fillId="4" borderId="0" xfId="0" applyNumberFormat="1" applyFont="1" applyFill="1" applyAlignment="1">
      <alignment horizontal="center"/>
    </xf>
    <xf numFmtId="2" fontId="5" fillId="3" borderId="0" xfId="0" applyNumberFormat="1" applyFont="1" applyFill="1" applyAlignment="1">
      <alignment horizontal="center"/>
    </xf>
    <xf numFmtId="10" fontId="4" fillId="0" borderId="1" xfId="0" applyNumberFormat="1" applyFont="1" applyBorder="1"/>
    <xf numFmtId="44" fontId="5" fillId="0" borderId="1" xfId="4" applyFont="1" applyBorder="1"/>
    <xf numFmtId="9" fontId="4" fillId="0" borderId="0" xfId="0" applyNumberFormat="1" applyFont="1"/>
    <xf numFmtId="2" fontId="5" fillId="0" borderId="0" xfId="0" applyNumberFormat="1" applyFont="1"/>
    <xf numFmtId="10" fontId="4" fillId="0" borderId="0" xfId="0" applyNumberFormat="1" applyFont="1"/>
    <xf numFmtId="0" fontId="38" fillId="0" borderId="0" xfId="0" applyFont="1"/>
    <xf numFmtId="0" fontId="39" fillId="0" borderId="0" xfId="0" applyFont="1"/>
    <xf numFmtId="0" fontId="38" fillId="0" borderId="0" xfId="0" applyFont="1" applyAlignment="1">
      <alignment horizontal="right"/>
    </xf>
    <xf numFmtId="43" fontId="38" fillId="0" borderId="0" xfId="3" applyFont="1" applyAlignment="1">
      <alignment horizontal="center" vertical="center"/>
    </xf>
    <xf numFmtId="43" fontId="38" fillId="0" borderId="0" xfId="3" applyFont="1" applyAlignment="1">
      <alignment horizontal="right"/>
    </xf>
    <xf numFmtId="0" fontId="40" fillId="0" borderId="0" xfId="0" applyFont="1"/>
    <xf numFmtId="0" fontId="41" fillId="0" borderId="0" xfId="0" applyFont="1"/>
    <xf numFmtId="0" fontId="42" fillId="0" borderId="0" xfId="0" applyFont="1"/>
    <xf numFmtId="0" fontId="25" fillId="3" borderId="0" xfId="0" applyFont="1" applyFill="1"/>
    <xf numFmtId="0" fontId="25" fillId="0" borderId="0" xfId="0" applyFont="1"/>
    <xf numFmtId="0" fontId="43" fillId="0" borderId="0" xfId="0" applyFont="1"/>
    <xf numFmtId="0" fontId="44" fillId="0" borderId="0" xfId="0" applyFont="1"/>
    <xf numFmtId="0" fontId="25" fillId="8" borderId="0" xfId="0" applyFont="1" applyFill="1"/>
    <xf numFmtId="0" fontId="0" fillId="8" borderId="0" xfId="0" applyFill="1"/>
    <xf numFmtId="0" fontId="25" fillId="8" borderId="1" xfId="0" applyFont="1" applyFill="1" applyBorder="1"/>
    <xf numFmtId="0" fontId="0" fillId="8" borderId="1" xfId="0" applyFill="1" applyBorder="1"/>
    <xf numFmtId="0" fontId="25" fillId="8" borderId="1" xfId="0" applyFont="1" applyFill="1" applyBorder="1" applyAlignment="1">
      <alignment horizontal="center" wrapText="1"/>
    </xf>
    <xf numFmtId="0" fontId="0" fillId="8" borderId="0" xfId="0" applyFill="1" applyAlignment="1">
      <alignment horizontal="center"/>
    </xf>
    <xf numFmtId="0" fontId="45" fillId="8" borderId="0" xfId="0" applyFont="1" applyFill="1" applyAlignment="1">
      <alignment horizontal="center"/>
    </xf>
    <xf numFmtId="2" fontId="45" fillId="8" borderId="0" xfId="0" applyNumberFormat="1" applyFont="1" applyFill="1" applyAlignment="1">
      <alignment horizontal="center"/>
    </xf>
    <xf numFmtId="0" fontId="25" fillId="8" borderId="1" xfId="0" applyFont="1" applyFill="1" applyBorder="1" applyAlignment="1">
      <alignment horizontal="center"/>
    </xf>
    <xf numFmtId="0" fontId="25" fillId="8" borderId="1" xfId="0" applyFont="1" applyFill="1" applyBorder="1" applyAlignment="1">
      <alignment horizontal="left"/>
    </xf>
    <xf numFmtId="0" fontId="0" fillId="8" borderId="0" xfId="0" applyFill="1" applyAlignment="1">
      <alignment horizontal="left"/>
    </xf>
    <xf numFmtId="0" fontId="0" fillId="8" borderId="1" xfId="0" applyFill="1" applyBorder="1" applyAlignment="1">
      <alignment horizontal="center"/>
    </xf>
    <xf numFmtId="0" fontId="0" fillId="8" borderId="1" xfId="0" applyFill="1" applyBorder="1" applyAlignment="1">
      <alignment horizontal="left"/>
    </xf>
    <xf numFmtId="0" fontId="45" fillId="8" borderId="1" xfId="0" applyFont="1" applyFill="1" applyBorder="1" applyAlignment="1">
      <alignment horizontal="center"/>
    </xf>
    <xf numFmtId="2" fontId="0" fillId="3" borderId="1" xfId="0" applyNumberFormat="1" applyFill="1" applyBorder="1" applyAlignment="1">
      <alignment horizontal="center"/>
    </xf>
    <xf numFmtId="39" fontId="45" fillId="8" borderId="1" xfId="0" applyNumberFormat="1" applyFont="1" applyFill="1" applyBorder="1" applyAlignment="1">
      <alignment horizontal="center"/>
    </xf>
    <xf numFmtId="0" fontId="26" fillId="8" borderId="1" xfId="0" applyFont="1" applyFill="1" applyBorder="1" applyAlignment="1">
      <alignment horizontal="center"/>
    </xf>
    <xf numFmtId="0" fontId="2" fillId="0" borderId="0" xfId="1" applyFill="1" applyAlignment="1"/>
    <xf numFmtId="0" fontId="0" fillId="0" borderId="2" xfId="0" applyBorder="1"/>
    <xf numFmtId="4" fontId="0" fillId="0" borderId="0" xfId="0" applyNumberFormat="1"/>
    <xf numFmtId="4" fontId="0" fillId="0" borderId="1" xfId="0" applyNumberFormat="1" applyBorder="1"/>
    <xf numFmtId="4" fontId="0" fillId="0" borderId="0" xfId="0" applyNumberFormat="1" applyAlignment="1">
      <alignment horizontal="right"/>
    </xf>
    <xf numFmtId="4" fontId="0" fillId="0" borderId="1" xfId="0" applyNumberFormat="1" applyBorder="1" applyAlignment="1">
      <alignment horizontal="right"/>
    </xf>
    <xf numFmtId="0" fontId="25" fillId="0" borderId="2" xfId="0" applyFont="1" applyBorder="1" applyAlignment="1">
      <alignment horizontal="right"/>
    </xf>
    <xf numFmtId="175" fontId="8" fillId="4" borderId="0" xfId="0" applyNumberFormat="1" applyFont="1" applyFill="1" applyAlignment="1">
      <alignment horizontal="center"/>
    </xf>
    <xf numFmtId="175" fontId="8" fillId="0" borderId="0" xfId="0" applyNumberFormat="1" applyFont="1" applyAlignment="1">
      <alignment horizontal="center"/>
    </xf>
    <xf numFmtId="170" fontId="27" fillId="0" borderId="0" xfId="0" applyNumberFormat="1" applyFont="1" applyAlignment="1">
      <alignment horizontal="center" vertical="center" wrapText="1"/>
    </xf>
    <xf numFmtId="0" fontId="26" fillId="8" borderId="0" xfId="0" applyFont="1" applyFill="1" applyAlignment="1">
      <alignment horizontal="center"/>
    </xf>
    <xf numFmtId="1" fontId="26" fillId="8" borderId="0" xfId="0" applyNumberFormat="1" applyFont="1" applyFill="1" applyAlignment="1">
      <alignment horizontal="center"/>
    </xf>
    <xf numFmtId="169" fontId="26" fillId="8" borderId="0" xfId="0" applyNumberFormat="1" applyFont="1" applyFill="1" applyAlignment="1">
      <alignment horizontal="center"/>
    </xf>
    <xf numFmtId="169" fontId="26" fillId="8" borderId="1" xfId="0" applyNumberFormat="1" applyFont="1" applyFill="1" applyBorder="1" applyAlignment="1">
      <alignment horizontal="center"/>
    </xf>
    <xf numFmtId="0" fontId="49" fillId="0" borderId="0" xfId="0" applyFont="1" applyAlignment="1">
      <alignment horizontal="left" vertical="center"/>
    </xf>
    <xf numFmtId="0" fontId="49" fillId="0" borderId="0" xfId="0" applyFont="1" applyAlignment="1">
      <alignment horizontal="left" vertical="center" wrapText="1"/>
    </xf>
    <xf numFmtId="0" fontId="50" fillId="0" borderId="0" xfId="0" applyFont="1" applyAlignment="1">
      <alignment horizontal="left" vertical="center"/>
    </xf>
    <xf numFmtId="0" fontId="50" fillId="0" borderId="0" xfId="0" applyFont="1" applyAlignment="1">
      <alignment vertical="center"/>
    </xf>
    <xf numFmtId="0" fontId="50" fillId="0" borderId="0" xfId="0" applyFont="1" applyAlignment="1">
      <alignment horizontal="left" vertical="center" wrapText="1"/>
    </xf>
    <xf numFmtId="0" fontId="50" fillId="0" borderId="0" xfId="0" applyFont="1" applyAlignment="1">
      <alignment vertical="center" wrapText="1"/>
    </xf>
    <xf numFmtId="49" fontId="50" fillId="0" borderId="0" xfId="7" applyNumberFormat="1" applyFont="1" applyFill="1" applyBorder="1" applyAlignment="1">
      <alignment horizontal="center" vertical="center" wrapText="1"/>
    </xf>
    <xf numFmtId="0" fontId="50" fillId="0" borderId="0" xfId="0" applyFont="1" applyAlignment="1">
      <alignment horizontal="center" vertical="center"/>
    </xf>
    <xf numFmtId="0" fontId="0" fillId="3" borderId="0" xfId="0" applyFill="1"/>
    <xf numFmtId="169" fontId="0" fillId="3" borderId="0" xfId="0" applyNumberFormat="1" applyFill="1"/>
    <xf numFmtId="0" fontId="50" fillId="0" borderId="0" xfId="8" applyFont="1" applyFill="1" applyBorder="1" applyAlignment="1">
      <alignment horizontal="left" vertical="center" wrapText="1"/>
    </xf>
    <xf numFmtId="0" fontId="50" fillId="0" borderId="0" xfId="8" applyFont="1" applyFill="1" applyBorder="1" applyAlignment="1">
      <alignment horizontal="left" vertical="center"/>
    </xf>
    <xf numFmtId="0" fontId="50" fillId="0" borderId="0" xfId="9" applyFont="1" applyFill="1" applyBorder="1" applyAlignment="1">
      <alignment horizontal="left" vertical="center"/>
    </xf>
    <xf numFmtId="169" fontId="51" fillId="0" borderId="0" xfId="0" applyNumberFormat="1" applyFont="1" applyAlignment="1">
      <alignment horizontal="center"/>
    </xf>
    <xf numFmtId="0" fontId="52" fillId="0" borderId="0" xfId="0" applyFont="1"/>
    <xf numFmtId="0" fontId="52" fillId="0" borderId="0" xfId="0" applyFont="1" applyAlignment="1">
      <alignment horizontal="center"/>
    </xf>
    <xf numFmtId="172" fontId="19" fillId="0" borderId="0" xfId="2" applyNumberFormat="1" applyFont="1" applyAlignment="1">
      <alignment horizontal="center"/>
    </xf>
    <xf numFmtId="172" fontId="18" fillId="0" borderId="4" xfId="2" applyNumberFormat="1" applyFont="1" applyBorder="1" applyAlignment="1">
      <alignment horizontal="center" vertical="center"/>
    </xf>
    <xf numFmtId="0" fontId="1" fillId="9" borderId="8" xfId="0" applyFont="1" applyFill="1" applyBorder="1" applyAlignment="1">
      <alignment horizontal="center" vertical="center"/>
    </xf>
    <xf numFmtId="0" fontId="1" fillId="9" borderId="9" xfId="0" applyFont="1" applyFill="1" applyBorder="1" applyAlignment="1">
      <alignment horizontal="center" vertical="center"/>
    </xf>
    <xf numFmtId="0" fontId="1" fillId="9" borderId="10" xfId="0" applyFont="1" applyFill="1" applyBorder="1" applyAlignment="1">
      <alignment horizontal="center" vertical="center"/>
    </xf>
    <xf numFmtId="0" fontId="1" fillId="9" borderId="7" xfId="0" applyFont="1" applyFill="1" applyBorder="1" applyAlignment="1">
      <alignment horizontal="center" vertical="center"/>
    </xf>
    <xf numFmtId="0" fontId="1" fillId="9" borderId="1" xfId="0" applyFont="1" applyFill="1" applyBorder="1" applyAlignment="1">
      <alignment horizontal="center" vertical="center"/>
    </xf>
    <xf numFmtId="0" fontId="1" fillId="9" borderId="11" xfId="0" applyFont="1" applyFill="1" applyBorder="1" applyAlignment="1">
      <alignment horizontal="center" vertical="center"/>
    </xf>
    <xf numFmtId="0" fontId="37" fillId="6" borderId="0" xfId="0" applyFont="1" applyFill="1" applyAlignment="1">
      <alignment horizontal="center"/>
    </xf>
    <xf numFmtId="0" fontId="0" fillId="6" borderId="0" xfId="0" applyFill="1" applyAlignment="1">
      <alignment horizontal="center"/>
    </xf>
    <xf numFmtId="0" fontId="0" fillId="7" borderId="0" xfId="0" applyFill="1" applyAlignment="1">
      <alignment horizontal="center"/>
    </xf>
    <xf numFmtId="0" fontId="1" fillId="0" borderId="0" xfId="0" applyFont="1" applyFill="1" applyAlignment="1">
      <alignment horizontal="center"/>
    </xf>
    <xf numFmtId="0" fontId="8" fillId="0" borderId="0" xfId="0" applyFont="1" applyFill="1" applyAlignment="1">
      <alignment horizontal="center"/>
    </xf>
    <xf numFmtId="169" fontId="8" fillId="0" borderId="0" xfId="0" applyNumberFormat="1" applyFont="1" applyFill="1" applyAlignment="1">
      <alignment horizontal="center"/>
    </xf>
    <xf numFmtId="3" fontId="1" fillId="0" borderId="0" xfId="0" applyNumberFormat="1" applyFont="1" applyFill="1" applyAlignment="1">
      <alignment horizontal="center"/>
    </xf>
    <xf numFmtId="4" fontId="8" fillId="0" borderId="1" xfId="0" applyNumberFormat="1" applyFont="1" applyFill="1" applyBorder="1" applyAlignment="1">
      <alignment horizontal="center"/>
    </xf>
    <xf numFmtId="0" fontId="8" fillId="0" borderId="1" xfId="0" applyFont="1" applyFill="1" applyBorder="1" applyAlignment="1">
      <alignment horizontal="center"/>
    </xf>
    <xf numFmtId="0" fontId="1" fillId="0" borderId="0" xfId="0" applyFont="1" applyAlignment="1">
      <alignment horizontal="left" vertical="top" wrapText="1"/>
    </xf>
    <xf numFmtId="0" fontId="3" fillId="0" borderId="0" xfId="1" applyFont="1" applyFill="1" applyBorder="1" applyAlignment="1">
      <alignment vertical="top" wrapText="1"/>
    </xf>
    <xf numFmtId="0" fontId="1" fillId="0" borderId="0" xfId="0" applyFont="1" applyFill="1" applyAlignment="1">
      <alignment horizontal="left" vertical="top" wrapText="1"/>
    </xf>
  </cellXfs>
  <cellStyles count="10">
    <cellStyle name="Bad" xfId="8" builtinId="27"/>
    <cellStyle name="Comma" xfId="3" builtinId="3"/>
    <cellStyle name="Currency" xfId="4" builtinId="4"/>
    <cellStyle name="Good" xfId="7" builtinId="26"/>
    <cellStyle name="Hyperlink" xfId="1" builtinId="8"/>
    <cellStyle name="Hyperlink 2" xfId="6" xr:uid="{3408EB91-E574-D04F-BC07-81DCE24D13CB}"/>
    <cellStyle name="Neutral" xfId="9" builtinId="28"/>
    <cellStyle name="Normal" xfId="0" builtinId="0"/>
    <cellStyle name="Normal 2" xfId="5" xr:uid="{22AF4891-0B51-F242-B753-0E9AF386DAF4}"/>
    <cellStyle name="Normal_ATEND_TABUAS_COMPLETAS_DE_MORTALIDADE_AMBOS_OS_SEXOS_2007" xfId="2" xr:uid="{A2E8B72B-41F7-A241-A48F-9255257337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706436</xdr:colOff>
      <xdr:row>9</xdr:row>
      <xdr:rowOff>23813</xdr:rowOff>
    </xdr:from>
    <xdr:to>
      <xdr:col>7</xdr:col>
      <xdr:colOff>531812</xdr:colOff>
      <xdr:row>36</xdr:row>
      <xdr:rowOff>158213</xdr:rowOff>
    </xdr:to>
    <xdr:pic>
      <xdr:nvPicPr>
        <xdr:cNvPr id="2" name="Picture 1">
          <a:extLst>
            <a:ext uri="{FF2B5EF4-FFF2-40B4-BE49-F238E27FC236}">
              <a16:creationId xmlns:a16="http://schemas.microsoft.com/office/drawing/2014/main" id="{22A55396-1894-AA4D-8B0D-3B89D91AC955}"/>
            </a:ext>
          </a:extLst>
        </xdr:cNvPr>
        <xdr:cNvPicPr>
          <a:picLocks noChangeAspect="1"/>
        </xdr:cNvPicPr>
      </xdr:nvPicPr>
      <xdr:blipFill>
        <a:blip xmlns:r="http://schemas.openxmlformats.org/officeDocument/2006/relationships" r:embed="rId1"/>
        <a:stretch>
          <a:fillRect/>
        </a:stretch>
      </xdr:blipFill>
      <xdr:spPr>
        <a:xfrm>
          <a:off x="909636" y="2259013"/>
          <a:ext cx="7648576" cy="5620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38099</xdr:colOff>
      <xdr:row>13</xdr:row>
      <xdr:rowOff>50800</xdr:rowOff>
    </xdr:from>
    <xdr:to>
      <xdr:col>5</xdr:col>
      <xdr:colOff>1917700</xdr:colOff>
      <xdr:row>24</xdr:row>
      <xdr:rowOff>101600</xdr:rowOff>
    </xdr:to>
    <xdr:pic>
      <xdr:nvPicPr>
        <xdr:cNvPr id="2" name="Picture 1">
          <a:extLst>
            <a:ext uri="{FF2B5EF4-FFF2-40B4-BE49-F238E27FC236}">
              <a16:creationId xmlns:a16="http://schemas.microsoft.com/office/drawing/2014/main" id="{CCDEB19A-A21E-8D47-ADA8-53C1C9B8A0DB}"/>
            </a:ext>
          </a:extLst>
        </xdr:cNvPr>
        <xdr:cNvPicPr>
          <a:picLocks noChangeAspect="1"/>
        </xdr:cNvPicPr>
      </xdr:nvPicPr>
      <xdr:blipFill>
        <a:blip xmlns:r="http://schemas.openxmlformats.org/officeDocument/2006/relationships" r:embed="rId1"/>
        <a:stretch>
          <a:fillRect/>
        </a:stretch>
      </xdr:blipFill>
      <xdr:spPr>
        <a:xfrm>
          <a:off x="863599" y="2768600"/>
          <a:ext cx="8267701" cy="2476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6" Type="http://schemas.openxmlformats.org/officeDocument/2006/relationships/hyperlink" Target="https://pmc.ncbi.nlm.nih.gov/articles/PMC11182447/" TargetMode="External"/><Relationship Id="rId21" Type="http://schemas.openxmlformats.org/officeDocument/2006/relationships/hyperlink" Target="https://gh.bmj.com/content/9/12/e016648" TargetMode="External"/><Relationship Id="rId34" Type="http://schemas.openxmlformats.org/officeDocument/2006/relationships/hyperlink" Target="https://pmc.ncbi.nlm.nih.gov/articles/PMC11182447/" TargetMode="External"/><Relationship Id="rId42" Type="http://schemas.openxmlformats.org/officeDocument/2006/relationships/hyperlink" Target="https://assets-eu.researchsquare.com/files/rs-1612317/v1/6ea04974-c218-4eb1-b1e9-aee9c6f753af.pdf?c=1697480328" TargetMode="External"/><Relationship Id="rId47" Type="http://schemas.openxmlformats.org/officeDocument/2006/relationships/hyperlink" Target="https://assets-eu.researchsquare.com/files/rs-1612317/v1/6ea04974-c218-4eb1-b1e9-aee9c6f753af.pdf?c=1697480328" TargetMode="External"/><Relationship Id="rId50" Type="http://schemas.openxmlformats.org/officeDocument/2006/relationships/hyperlink" Target="https://pubmed.ncbi.nlm.nih.gov/37321235/" TargetMode="External"/><Relationship Id="rId55" Type="http://schemas.openxmlformats.org/officeDocument/2006/relationships/hyperlink" Target="https://pmc.ncbi.nlm.nih.gov/articles/PMC11182447/" TargetMode="External"/><Relationship Id="rId63" Type="http://schemas.openxmlformats.org/officeDocument/2006/relationships/hyperlink" Target="https://assets-eu.researchsquare.com/files/rs-1612317/v1/6ea04974-c218-4eb1-b1e9-aee9c6f753af.pdf?c=1697480328" TargetMode="External"/><Relationship Id="rId7" Type="http://schemas.openxmlformats.org/officeDocument/2006/relationships/hyperlink" Target="https://hqlo.biomedcentral.com/articles/10.1186/s12955-021-01671-6" TargetMode="External"/><Relationship Id="rId2" Type="http://schemas.openxmlformats.org/officeDocument/2006/relationships/hyperlink" Target="https://www.cdc.gov/yellow-book/hcp/travel-associated-infections-diseases/chikungunya.html" TargetMode="External"/><Relationship Id="rId16" Type="http://schemas.openxmlformats.org/officeDocument/2006/relationships/hyperlink" Target="https://gh.bmj.com/content/9/12/e016648" TargetMode="External"/><Relationship Id="rId29" Type="http://schemas.openxmlformats.org/officeDocument/2006/relationships/hyperlink" Target="https://pmc.ncbi.nlm.nih.gov/articles/PMC11182447/" TargetMode="External"/><Relationship Id="rId11" Type="http://schemas.openxmlformats.org/officeDocument/2006/relationships/hyperlink" Target="https://onlinelibrary.wiley.com/doi/pdf/10.1111/tmi.13810" TargetMode="External"/><Relationship Id="rId24" Type="http://schemas.openxmlformats.org/officeDocument/2006/relationships/hyperlink" Target="https://www.valueinhealthjournal.com/article/S1098-3015(16)01289-4/fulltext" TargetMode="External"/><Relationship Id="rId32" Type="http://schemas.openxmlformats.org/officeDocument/2006/relationships/hyperlink" Target="https://pmc.ncbi.nlm.nih.gov/articles/PMC11182447/" TargetMode="External"/><Relationship Id="rId37" Type="http://schemas.openxmlformats.org/officeDocument/2006/relationships/hyperlink" Target="https://pmc.ncbi.nlm.nih.gov/articles/PMC11182447/" TargetMode="External"/><Relationship Id="rId40" Type="http://schemas.openxmlformats.org/officeDocument/2006/relationships/hyperlink" Target="https://pmc.ncbi.nlm.nih.gov/articles/PMC11182447/" TargetMode="External"/><Relationship Id="rId45" Type="http://schemas.openxmlformats.org/officeDocument/2006/relationships/hyperlink" Target="https://pmc.ncbi.nlm.nih.gov/articles/PMC11182447/" TargetMode="External"/><Relationship Id="rId53" Type="http://schemas.openxmlformats.org/officeDocument/2006/relationships/hyperlink" Target="https://www.thelancet.com/journals/lancet/article/PIIS0140-6736(23)00641-4/fulltext" TargetMode="External"/><Relationship Id="rId58" Type="http://schemas.openxmlformats.org/officeDocument/2006/relationships/hyperlink" Target="https://onlinelibrary.wiley.com/doi/10.1111/tmi.13711" TargetMode="External"/><Relationship Id="rId66" Type="http://schemas.openxmlformats.org/officeDocument/2006/relationships/hyperlink" Target="https://pmc.ncbi.nlm.nih.gov/articles/PMC12304215/pdf/41541_2025_Article_1194.pdf" TargetMode="External"/><Relationship Id="rId5" Type="http://schemas.openxmlformats.org/officeDocument/2006/relationships/hyperlink" Target="https://pmc.ncbi.nlm.nih.gov/articles/PMC7100975/" TargetMode="External"/><Relationship Id="rId61" Type="http://schemas.openxmlformats.org/officeDocument/2006/relationships/hyperlink" Target="https://pubmed.ncbi.nlm.nih.gov/31815561/" TargetMode="External"/><Relationship Id="rId19" Type="http://schemas.openxmlformats.org/officeDocument/2006/relationships/hyperlink" Target="https://gh.bmj.com/content/9/12/e016648" TargetMode="External"/><Relationship Id="rId14" Type="http://schemas.openxmlformats.org/officeDocument/2006/relationships/hyperlink" Target="https://gh.bmj.com/content/9/12/e016648" TargetMode="External"/><Relationship Id="rId22" Type="http://schemas.openxmlformats.org/officeDocument/2006/relationships/hyperlink" Target="https://cdn.who.int/media/docs/default-source/health-economics/who-choice-estimates-of-cost-for-inpatient-and-outpatient-health-service-delivery.pdf?sfvrsn=b814d37e_3&amp;download=true" TargetMode="External"/><Relationship Id="rId27" Type="http://schemas.openxmlformats.org/officeDocument/2006/relationships/hyperlink" Target="https://pmc.ncbi.nlm.nih.gov/articles/PMC11182447/" TargetMode="External"/><Relationship Id="rId30" Type="http://schemas.openxmlformats.org/officeDocument/2006/relationships/hyperlink" Target="https://pmc.ncbi.nlm.nih.gov/articles/PMC11182447/" TargetMode="External"/><Relationship Id="rId35" Type="http://schemas.openxmlformats.org/officeDocument/2006/relationships/hyperlink" Target="https://pmc.ncbi.nlm.nih.gov/articles/PMC11182447/" TargetMode="External"/><Relationship Id="rId43" Type="http://schemas.openxmlformats.org/officeDocument/2006/relationships/hyperlink" Target="https://izajole.springeropen.com/articles/10.1186/s40172-014-0014-0" TargetMode="External"/><Relationship Id="rId48" Type="http://schemas.openxmlformats.org/officeDocument/2006/relationships/hyperlink" Target="https://agenciadenoticias.ibge.gov.br/en/agencia-news/2184-news-agency/news/38187-2022-census-number-of-elderly-persons-in-the-brazilian-population-grew-57-4-in-12-years" TargetMode="External"/><Relationship Id="rId56" Type="http://schemas.openxmlformats.org/officeDocument/2006/relationships/hyperlink" Target="https://academic.oup.com/book/12265/chapter-abstract/317026498?redirectedFrom=fulltext" TargetMode="External"/><Relationship Id="rId64" Type="http://schemas.openxmlformats.org/officeDocument/2006/relationships/hyperlink" Target="https://pmc.ncbi.nlm.nih.gov/articles/PMC12304215/pdf/41541_2025_Article_1194.pdf" TargetMode="External"/><Relationship Id="rId8" Type="http://schemas.openxmlformats.org/officeDocument/2006/relationships/hyperlink" Target="https://www.thelancet.com/journals/lancet/article/PIIS0140-6736(23)00641-4/fulltext" TargetMode="External"/><Relationship Id="rId51" Type="http://schemas.openxmlformats.org/officeDocument/2006/relationships/hyperlink" Target="https://pubmed.ncbi.nlm.nih.gov/40158526/" TargetMode="External"/><Relationship Id="rId3" Type="http://schemas.openxmlformats.org/officeDocument/2006/relationships/hyperlink" Target="https://pubmed.ncbi.nlm.nih.gov/37321235/" TargetMode="External"/><Relationship Id="rId12" Type="http://schemas.openxmlformats.org/officeDocument/2006/relationships/hyperlink" Target="https://onlinelibrary.wiley.com/doi/pdf/10.1111/tmi.13810" TargetMode="External"/><Relationship Id="rId17" Type="http://schemas.openxmlformats.org/officeDocument/2006/relationships/hyperlink" Target="https://gh.bmj.com/content/9/12/e016648" TargetMode="External"/><Relationship Id="rId25" Type="http://schemas.openxmlformats.org/officeDocument/2006/relationships/hyperlink" Target="https://www.valueinhealthjournal.com/article/S1098-3015(16)01289-4/fulltext" TargetMode="External"/><Relationship Id="rId33" Type="http://schemas.openxmlformats.org/officeDocument/2006/relationships/hyperlink" Target="https://pmc.ncbi.nlm.nih.gov/articles/PMC11182447/" TargetMode="External"/><Relationship Id="rId38" Type="http://schemas.openxmlformats.org/officeDocument/2006/relationships/hyperlink" Target="https://pmc.ncbi.nlm.nih.gov/articles/PMC11182447/" TargetMode="External"/><Relationship Id="rId46" Type="http://schemas.openxmlformats.org/officeDocument/2006/relationships/hyperlink" Target="https://assets-eu.researchsquare.com/files/rs-1612317/v1/6ea04974-c218-4eb1-b1e9-aee9c6f753af.pdf?c=1697480328" TargetMode="External"/><Relationship Id="rId59" Type="http://schemas.openxmlformats.org/officeDocument/2006/relationships/hyperlink" Target="https://pmc.ncbi.nlm.nih.gov/articles/PMC12304215/pdf/41541_2025_Article_1194.pdf" TargetMode="External"/><Relationship Id="rId67" Type="http://schemas.openxmlformats.org/officeDocument/2006/relationships/hyperlink" Target="https://www.ispor.org/heor-resources/presentations-database/presentation/intl2024-3900/139315" TargetMode="External"/><Relationship Id="rId20" Type="http://schemas.openxmlformats.org/officeDocument/2006/relationships/hyperlink" Target="https://gh.bmj.com/content/9/12/e016648" TargetMode="External"/><Relationship Id="rId41" Type="http://schemas.openxmlformats.org/officeDocument/2006/relationships/hyperlink" Target="https://pmc.ncbi.nlm.nih.gov/articles/PMC11182447/" TargetMode="External"/><Relationship Id="rId54" Type="http://schemas.openxmlformats.org/officeDocument/2006/relationships/hyperlink" Target="https://pubmed.ncbi.nlm.nih.gov/40158526/" TargetMode="External"/><Relationship Id="rId62" Type="http://schemas.openxmlformats.org/officeDocument/2006/relationships/hyperlink" Target="https://assets-eu.researchsquare.com/files/rs-1612317/v1/6ea04974-c218-4eb1-b1e9-aee9c6f753af.pdf?c=1697480328" TargetMode="External"/><Relationship Id="rId1" Type="http://schemas.openxmlformats.org/officeDocument/2006/relationships/hyperlink" Target="https://www.cdc.gov/yellow-book/hcp/travel-associated-infections-diseases/chikungunya.html" TargetMode="External"/><Relationship Id="rId6" Type="http://schemas.openxmlformats.org/officeDocument/2006/relationships/hyperlink" Target="https://pmc.ncbi.nlm.nih.gov/articles/PMC7510706/" TargetMode="External"/><Relationship Id="rId15" Type="http://schemas.openxmlformats.org/officeDocument/2006/relationships/hyperlink" Target="https://www.sciencedirect.com/science/article/pii/S141386701830254X?via%3Dihub" TargetMode="External"/><Relationship Id="rId23" Type="http://schemas.openxmlformats.org/officeDocument/2006/relationships/hyperlink" Target="https://onlinelibrary.wiley.com/doi/pdf/10.1111/tmi.13810" TargetMode="External"/><Relationship Id="rId28" Type="http://schemas.openxmlformats.org/officeDocument/2006/relationships/hyperlink" Target="https://pmc.ncbi.nlm.nih.gov/articles/PMC11182447/" TargetMode="External"/><Relationship Id="rId36" Type="http://schemas.openxmlformats.org/officeDocument/2006/relationships/hyperlink" Target="https://pmc.ncbi.nlm.nih.gov/articles/PMC11182447/" TargetMode="External"/><Relationship Id="rId49" Type="http://schemas.openxmlformats.org/officeDocument/2006/relationships/hyperlink" Target="https://agenciadenoticias.ibge.gov.br/en/agencia-press-room/2185-news-agency/releases-en/42777-gdp-grows-3-4-in-2024-and-closes-the-year-at-r-11-7-trillion" TargetMode="External"/><Relationship Id="rId57" Type="http://schemas.openxmlformats.org/officeDocument/2006/relationships/hyperlink" Target="https://onlinelibrary.wiley.com/doi/10.1111/tmi.13711" TargetMode="External"/><Relationship Id="rId10" Type="http://schemas.openxmlformats.org/officeDocument/2006/relationships/hyperlink" Target="https://pubmed.ncbi.nlm.nih.gov/23818719/" TargetMode="External"/><Relationship Id="rId31" Type="http://schemas.openxmlformats.org/officeDocument/2006/relationships/hyperlink" Target="https://pmc.ncbi.nlm.nih.gov/articles/PMC11182447/" TargetMode="External"/><Relationship Id="rId44" Type="http://schemas.openxmlformats.org/officeDocument/2006/relationships/hyperlink" Target="https://www.gov.br/receitafederal/pt-br/assuntos/meu-imposto-de-renda/preenchimento/regimes" TargetMode="External"/><Relationship Id="rId52" Type="http://schemas.openxmlformats.org/officeDocument/2006/relationships/hyperlink" Target="https://pmc.ncbi.nlm.nih.gov/articles/PMC12304215/pdf/41541_2025_Article_1194.pdf" TargetMode="External"/><Relationship Id="rId60" Type="http://schemas.openxmlformats.org/officeDocument/2006/relationships/hyperlink" Target="https://pubmed.ncbi.nlm.nih.gov/31815561/" TargetMode="External"/><Relationship Id="rId65" Type="http://schemas.openxmlformats.org/officeDocument/2006/relationships/hyperlink" Target="https://medicaid.ms.gov/wp-content/uploads/2025/06/Vaccines-Covered-Through-Pharmacy-Billing.pdf" TargetMode="External"/><Relationship Id="rId4" Type="http://schemas.openxmlformats.org/officeDocument/2006/relationships/hyperlink" Target="https://pubmed.ncbi.nlm.nih.gov/30007303/" TargetMode="External"/><Relationship Id="rId9" Type="http://schemas.openxmlformats.org/officeDocument/2006/relationships/hyperlink" Target="https://pubmed.ncbi.nlm.nih.gov/40158526/" TargetMode="External"/><Relationship Id="rId13" Type="http://schemas.openxmlformats.org/officeDocument/2006/relationships/hyperlink" Target="https://onlinelibrary.wiley.com/doi/pdf/10.1111/tmi.13810" TargetMode="External"/><Relationship Id="rId18" Type="http://schemas.openxmlformats.org/officeDocument/2006/relationships/hyperlink" Target="https://gh.bmj.com/content/9/12/e016648" TargetMode="External"/><Relationship Id="rId39" Type="http://schemas.openxmlformats.org/officeDocument/2006/relationships/hyperlink" Target="https://pmc.ncbi.nlm.nih.gov/articles/PMC11182447/"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gov.br/conitec/pt-br/midias/relatorios/2023/20230710_relatorio_vacinapcv13_pneumo.pdf"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ibge.gov.br/en/statistics/economic/prices-and-costs/17136-national-consumer-pricce-index.html?lang=en-GB&amp;t=series-historicas"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fred.stlouisfed.org/series/BRACPIALLMINMEI"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fred.stlouisfed.org/series/AEXBZU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2E30A-60DB-6249-8D0A-2484D2AE8ACE}">
  <sheetPr>
    <tabColor rgb="FFC00000"/>
  </sheetPr>
  <dimension ref="A1"/>
  <sheetViews>
    <sheetView workbookViewId="0">
      <selection activeCell="F15" sqref="F15"/>
    </sheetView>
  </sheetViews>
  <sheetFormatPr baseColWidth="10" defaultRowHeight="16" x14ac:dyDescent="0.2"/>
  <cols>
    <col min="1" max="16384" width="10.83203125" style="183"/>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8699B-19DF-F44D-9551-821697A20206}">
  <sheetPr>
    <tabColor theme="9" tint="-0.499984740745262"/>
  </sheetPr>
  <dimension ref="A1"/>
  <sheetViews>
    <sheetView workbookViewId="0">
      <selection sqref="A1:XFD1048576"/>
    </sheetView>
  </sheetViews>
  <sheetFormatPr baseColWidth="10" defaultRowHeight="16" x14ac:dyDescent="0.2"/>
  <cols>
    <col min="1" max="16384" width="10.83203125" style="183"/>
  </cols>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50B48-3CC9-DE4C-822F-6C700C11F864}">
  <dimension ref="A1:N179"/>
  <sheetViews>
    <sheetView tabSelected="1" zoomScale="92" zoomScaleNormal="140" workbookViewId="0">
      <selection activeCell="A34" sqref="A34"/>
    </sheetView>
  </sheetViews>
  <sheetFormatPr baseColWidth="10" defaultRowHeight="16" x14ac:dyDescent="0.2"/>
  <cols>
    <col min="1" max="1" width="2" style="1" customWidth="1"/>
    <col min="2" max="2" width="22.33203125" style="1" customWidth="1"/>
    <col min="3" max="3" width="42" style="1" customWidth="1"/>
    <col min="4" max="4" width="58.5" style="1" customWidth="1"/>
    <col min="5" max="6" width="10.6640625" style="8" customWidth="1"/>
    <col min="7" max="7" width="66.6640625" style="8" customWidth="1"/>
    <col min="8" max="9" width="13.6640625" style="8" customWidth="1"/>
    <col min="10" max="10" width="13.6640625" style="16" customWidth="1"/>
    <col min="11" max="11" width="20.5" style="1" customWidth="1"/>
    <col min="12" max="12" width="26.6640625" style="1" customWidth="1"/>
    <col min="13" max="13" width="25.33203125" style="1" customWidth="1"/>
    <col min="14" max="16384" width="10.83203125" style="1"/>
  </cols>
  <sheetData>
    <row r="1" spans="1:12" s="14" customFormat="1" x14ac:dyDescent="0.2">
      <c r="A1" s="1"/>
      <c r="B1" s="31" t="s">
        <v>67</v>
      </c>
      <c r="C1" s="31" t="s">
        <v>26</v>
      </c>
      <c r="D1" s="31" t="s">
        <v>0</v>
      </c>
      <c r="E1" s="32" t="s">
        <v>65</v>
      </c>
      <c r="F1" s="32" t="s">
        <v>66</v>
      </c>
      <c r="G1" s="32" t="s">
        <v>1</v>
      </c>
      <c r="H1" s="32" t="s">
        <v>23</v>
      </c>
      <c r="I1" s="32" t="s">
        <v>24</v>
      </c>
      <c r="J1" s="32" t="s">
        <v>25</v>
      </c>
      <c r="K1" s="31" t="s">
        <v>9</v>
      </c>
      <c r="L1" s="31" t="s">
        <v>18</v>
      </c>
    </row>
    <row r="2" spans="1:12" s="45" customFormat="1" x14ac:dyDescent="0.2">
      <c r="A2" s="117"/>
      <c r="D2" s="45" t="s">
        <v>182</v>
      </c>
      <c r="E2" s="46"/>
      <c r="F2" s="46"/>
      <c r="G2" s="53"/>
      <c r="H2" s="46"/>
      <c r="I2" s="46"/>
      <c r="J2" s="46"/>
      <c r="L2" s="54"/>
    </row>
    <row r="3" spans="1:12" ht="17" customHeight="1" x14ac:dyDescent="0.2">
      <c r="B3" s="1" t="s">
        <v>77</v>
      </c>
      <c r="C3" s="1" t="s">
        <v>76</v>
      </c>
      <c r="D3" s="1" t="s">
        <v>75</v>
      </c>
      <c r="E3" s="16" t="s">
        <v>41</v>
      </c>
      <c r="F3" s="16" t="s">
        <v>41</v>
      </c>
      <c r="G3" s="11">
        <v>1000</v>
      </c>
      <c r="H3" s="16" t="s">
        <v>41</v>
      </c>
      <c r="I3" s="16" t="s">
        <v>41</v>
      </c>
      <c r="J3" s="16" t="s">
        <v>41</v>
      </c>
      <c r="K3" s="1" t="s">
        <v>13</v>
      </c>
    </row>
    <row r="4" spans="1:12" x14ac:dyDescent="0.2">
      <c r="B4" s="1" t="s">
        <v>78</v>
      </c>
      <c r="C4" s="1" t="s">
        <v>446</v>
      </c>
      <c r="D4" s="1" t="s">
        <v>447</v>
      </c>
      <c r="E4" s="16" t="s">
        <v>41</v>
      </c>
      <c r="F4" s="16" t="s">
        <v>41</v>
      </c>
      <c r="G4" s="6">
        <v>7</v>
      </c>
      <c r="H4" s="16" t="s">
        <v>41</v>
      </c>
      <c r="I4" s="16" t="s">
        <v>41</v>
      </c>
      <c r="J4" s="16" t="s">
        <v>41</v>
      </c>
      <c r="K4" s="1" t="s">
        <v>13</v>
      </c>
      <c r="L4" s="4"/>
    </row>
    <row r="5" spans="1:12" x14ac:dyDescent="0.2">
      <c r="B5" s="1" t="s">
        <v>78</v>
      </c>
      <c r="C5" s="1" t="s">
        <v>633</v>
      </c>
      <c r="D5" s="1" t="s">
        <v>632</v>
      </c>
      <c r="E5" s="16" t="s">
        <v>41</v>
      </c>
      <c r="F5" s="16" t="s">
        <v>41</v>
      </c>
      <c r="G5" s="6">
        <v>10</v>
      </c>
      <c r="H5" s="16">
        <v>1</v>
      </c>
      <c r="I5" s="16">
        <v>20</v>
      </c>
      <c r="J5" s="16" t="s">
        <v>41</v>
      </c>
      <c r="K5" s="1" t="s">
        <v>13</v>
      </c>
      <c r="L5" s="4"/>
    </row>
    <row r="6" spans="1:12" x14ac:dyDescent="0.2">
      <c r="B6" s="1" t="s">
        <v>252</v>
      </c>
      <c r="C6" s="1" t="s">
        <v>251</v>
      </c>
      <c r="D6" s="1" t="s">
        <v>85</v>
      </c>
      <c r="E6" s="16" t="s">
        <v>41</v>
      </c>
      <c r="F6" s="16" t="s">
        <v>41</v>
      </c>
      <c r="G6" s="11">
        <v>1000</v>
      </c>
      <c r="H6" s="16" t="s">
        <v>41</v>
      </c>
      <c r="I6" s="16" t="s">
        <v>41</v>
      </c>
      <c r="J6" s="16" t="s">
        <v>41</v>
      </c>
      <c r="K6" s="1" t="s">
        <v>13</v>
      </c>
      <c r="L6" s="4"/>
    </row>
    <row r="7" spans="1:12" x14ac:dyDescent="0.2">
      <c r="B7" s="1" t="s">
        <v>253</v>
      </c>
      <c r="C7" s="1" t="s">
        <v>249</v>
      </c>
      <c r="D7" s="1" t="s">
        <v>470</v>
      </c>
      <c r="E7" s="16" t="s">
        <v>41</v>
      </c>
      <c r="F7" s="16" t="s">
        <v>41</v>
      </c>
      <c r="G7" s="6">
        <v>38</v>
      </c>
      <c r="H7" s="16">
        <v>15</v>
      </c>
      <c r="I7" s="16">
        <v>64</v>
      </c>
      <c r="J7" s="16" t="s">
        <v>4</v>
      </c>
      <c r="K7" s="79" t="s">
        <v>246</v>
      </c>
      <c r="L7" s="5"/>
    </row>
    <row r="8" spans="1:12" s="45" customFormat="1" x14ac:dyDescent="0.2">
      <c r="A8" s="117"/>
      <c r="B8" s="45" t="s">
        <v>80</v>
      </c>
      <c r="D8" s="45" t="s">
        <v>84</v>
      </c>
      <c r="E8" s="46"/>
      <c r="F8" s="46"/>
      <c r="G8" s="53"/>
      <c r="H8" s="46"/>
      <c r="I8" s="46"/>
      <c r="J8" s="46"/>
      <c r="L8" s="54"/>
    </row>
    <row r="9" spans="1:12" s="117" customFormat="1" x14ac:dyDescent="0.2">
      <c r="B9" s="1" t="s">
        <v>80</v>
      </c>
      <c r="C9" s="1" t="s">
        <v>385</v>
      </c>
      <c r="D9" s="1" t="s">
        <v>384</v>
      </c>
      <c r="E9" s="16" t="s">
        <v>41</v>
      </c>
      <c r="F9" s="16" t="s">
        <v>41</v>
      </c>
      <c r="G9" s="11">
        <v>425773</v>
      </c>
      <c r="H9" s="13">
        <f>_xlfn.CHISQ.INV(0.025,2*G9)/2</f>
        <v>424495.04576002725</v>
      </c>
      <c r="I9" s="13">
        <f>_xlfn.CHISQ.INV(0.975,2*(G9-1))/2</f>
        <v>427051.84704367357</v>
      </c>
      <c r="J9" s="16" t="s">
        <v>388</v>
      </c>
      <c r="K9" s="1" t="s">
        <v>382</v>
      </c>
      <c r="L9" s="4" t="s">
        <v>389</v>
      </c>
    </row>
    <row r="10" spans="1:12" s="117" customFormat="1" x14ac:dyDescent="0.2">
      <c r="B10" s="1" t="s">
        <v>80</v>
      </c>
      <c r="C10" s="1" t="s">
        <v>386</v>
      </c>
      <c r="D10" s="1" t="s">
        <v>383</v>
      </c>
      <c r="E10" s="16" t="s">
        <v>41</v>
      </c>
      <c r="F10" s="16" t="s">
        <v>41</v>
      </c>
      <c r="G10" s="11">
        <f>G9/(200.84/100000)</f>
        <v>211996116.31149173</v>
      </c>
      <c r="H10" s="16" t="s">
        <v>41</v>
      </c>
      <c r="I10" s="16" t="s">
        <v>41</v>
      </c>
      <c r="J10" s="16" t="s">
        <v>41</v>
      </c>
      <c r="K10" s="1" t="s">
        <v>382</v>
      </c>
      <c r="L10" s="4" t="s">
        <v>389</v>
      </c>
    </row>
    <row r="11" spans="1:12" x14ac:dyDescent="0.2">
      <c r="B11" s="1" t="s">
        <v>80</v>
      </c>
      <c r="C11" s="1" t="s">
        <v>8</v>
      </c>
      <c r="D11" s="1" t="s">
        <v>533</v>
      </c>
      <c r="E11" s="16" t="s">
        <v>41</v>
      </c>
      <c r="F11" s="16" t="s">
        <v>41</v>
      </c>
      <c r="G11" s="6">
        <v>3.4</v>
      </c>
      <c r="H11" s="6">
        <v>2.4</v>
      </c>
      <c r="I11" s="6">
        <v>4.2</v>
      </c>
      <c r="J11" s="86" t="s">
        <v>4</v>
      </c>
      <c r="K11" s="41" t="s">
        <v>17</v>
      </c>
      <c r="L11" s="4"/>
    </row>
    <row r="12" spans="1:12" x14ac:dyDescent="0.2">
      <c r="B12" s="1" t="s">
        <v>80</v>
      </c>
      <c r="C12" s="1" t="s">
        <v>623</v>
      </c>
      <c r="D12" s="1" t="s">
        <v>608</v>
      </c>
      <c r="E12" s="16" t="s">
        <v>41</v>
      </c>
      <c r="F12" s="16" t="s">
        <v>41</v>
      </c>
      <c r="G12" s="6">
        <v>1</v>
      </c>
      <c r="H12" s="113">
        <f>G12*(1-0.05)</f>
        <v>0.95</v>
      </c>
      <c r="I12" s="113">
        <f>G12*(1+0.05)</f>
        <v>1.05</v>
      </c>
      <c r="J12" s="86" t="s">
        <v>55</v>
      </c>
      <c r="K12" s="41" t="s">
        <v>13</v>
      </c>
      <c r="L12" s="4"/>
    </row>
    <row r="13" spans="1:12" x14ac:dyDescent="0.2">
      <c r="B13" s="1" t="s">
        <v>80</v>
      </c>
      <c r="C13" s="1" t="s">
        <v>393</v>
      </c>
      <c r="D13" s="1" t="s">
        <v>22</v>
      </c>
      <c r="E13" s="16" t="s">
        <v>41</v>
      </c>
      <c r="F13" s="16" t="s">
        <v>41</v>
      </c>
      <c r="G13" s="10">
        <v>5</v>
      </c>
      <c r="H13" s="10">
        <v>1</v>
      </c>
      <c r="I13" s="10">
        <v>12</v>
      </c>
      <c r="J13" s="86" t="s">
        <v>4</v>
      </c>
      <c r="K13" s="36" t="s">
        <v>627</v>
      </c>
      <c r="L13" s="4" t="s">
        <v>10</v>
      </c>
    </row>
    <row r="14" spans="1:12" x14ac:dyDescent="0.2">
      <c r="B14" s="1" t="s">
        <v>80</v>
      </c>
      <c r="C14" s="1" t="s">
        <v>394</v>
      </c>
      <c r="D14" s="1" t="s">
        <v>20</v>
      </c>
      <c r="E14" s="16" t="s">
        <v>41</v>
      </c>
      <c r="F14" s="16" t="s">
        <v>41</v>
      </c>
      <c r="G14" s="10">
        <v>8.5</v>
      </c>
      <c r="H14" s="10">
        <v>7</v>
      </c>
      <c r="I14" s="10">
        <v>10</v>
      </c>
      <c r="J14" s="86" t="s">
        <v>4</v>
      </c>
      <c r="K14" s="36" t="s">
        <v>627</v>
      </c>
      <c r="L14" s="4" t="s">
        <v>11</v>
      </c>
    </row>
    <row r="15" spans="1:12" x14ac:dyDescent="0.2">
      <c r="B15" s="1" t="s">
        <v>80</v>
      </c>
      <c r="C15" s="1" t="s">
        <v>609</v>
      </c>
      <c r="D15" s="1" t="s">
        <v>577</v>
      </c>
      <c r="E15" s="16" t="s">
        <v>41</v>
      </c>
      <c r="F15" s="16" t="s">
        <v>41</v>
      </c>
      <c r="G15" s="6">
        <v>0.52100000000000002</v>
      </c>
      <c r="H15" s="6">
        <v>0.44500000000000001</v>
      </c>
      <c r="I15" s="6">
        <v>0.59699999999999998</v>
      </c>
      <c r="J15" s="86" t="s">
        <v>4</v>
      </c>
      <c r="K15" s="35" t="s">
        <v>16</v>
      </c>
      <c r="L15" s="36"/>
    </row>
    <row r="16" spans="1:12" x14ac:dyDescent="0.2">
      <c r="B16" s="1" t="s">
        <v>80</v>
      </c>
      <c r="C16" s="1" t="s">
        <v>260</v>
      </c>
      <c r="D16" s="1" t="s">
        <v>74</v>
      </c>
      <c r="E16" s="16" t="s">
        <v>41</v>
      </c>
      <c r="F16" s="16" t="s">
        <v>41</v>
      </c>
      <c r="G16" s="16">
        <v>1.7999999999999999E-2</v>
      </c>
      <c r="H16" s="8">
        <f>(1-0.25)*G16</f>
        <v>1.3499999999999998E-2</v>
      </c>
      <c r="I16" s="8">
        <f>(1+0.25)*G16</f>
        <v>2.2499999999999999E-2</v>
      </c>
      <c r="J16" s="17" t="s">
        <v>2</v>
      </c>
      <c r="K16" s="35" t="s">
        <v>48</v>
      </c>
      <c r="L16" s="1" t="s">
        <v>54</v>
      </c>
    </row>
    <row r="17" spans="2:13" x14ac:dyDescent="0.2">
      <c r="B17" s="1" t="s">
        <v>80</v>
      </c>
      <c r="C17" s="1" t="s">
        <v>475</v>
      </c>
      <c r="D17" s="1" t="s">
        <v>476</v>
      </c>
      <c r="E17" s="16" t="s">
        <v>41</v>
      </c>
      <c r="F17" s="16" t="s">
        <v>41</v>
      </c>
      <c r="G17" s="17">
        <f>(84+1)/(7337+84+2)</f>
        <v>1.1450895864205847E-2</v>
      </c>
      <c r="H17" s="7">
        <f>_xlfn.BETA.INV(0.025, 84+1, 7337+84-84+1)</f>
        <v>9.1577628242355009E-3</v>
      </c>
      <c r="I17" s="7">
        <f>_xlfn.BETA.INV(0.975, 84+1, 7337+84-84+1)</f>
        <v>1.3993175955016257E-2</v>
      </c>
      <c r="J17" s="17" t="s">
        <v>2</v>
      </c>
      <c r="K17" s="35" t="s">
        <v>473</v>
      </c>
      <c r="L17" s="1" t="s">
        <v>474</v>
      </c>
      <c r="M17" s="5"/>
    </row>
    <row r="18" spans="2:13" x14ac:dyDescent="0.2">
      <c r="B18" s="1" t="s">
        <v>80</v>
      </c>
      <c r="C18" s="1" t="s">
        <v>480</v>
      </c>
      <c r="D18" s="1" t="s">
        <v>477</v>
      </c>
      <c r="E18" s="16" t="s">
        <v>41</v>
      </c>
      <c r="F18" s="16" t="s">
        <v>41</v>
      </c>
      <c r="G18" s="122">
        <v>250</v>
      </c>
      <c r="H18" s="13">
        <f>_xlfn.CHISQ.INV(0.025,2*G18)/2</f>
        <v>219.96799563093731</v>
      </c>
      <c r="I18" s="13">
        <f>_xlfn.CHISQ.INV(0.975,2*(G18-1))/2</f>
        <v>280.86370020360192</v>
      </c>
      <c r="J18" s="16" t="s">
        <v>388</v>
      </c>
      <c r="K18" s="35" t="s">
        <v>478</v>
      </c>
      <c r="L18" s="36" t="s">
        <v>479</v>
      </c>
      <c r="M18" s="5"/>
    </row>
    <row r="19" spans="2:13" x14ac:dyDescent="0.2">
      <c r="B19" s="1" t="s">
        <v>80</v>
      </c>
      <c r="C19" s="1" t="s">
        <v>481</v>
      </c>
      <c r="D19" s="1" t="s">
        <v>383</v>
      </c>
      <c r="E19" s="16" t="s">
        <v>41</v>
      </c>
      <c r="F19" s="16" t="s">
        <v>41</v>
      </c>
      <c r="G19" s="11">
        <f>+G18*100000/1.2</f>
        <v>20833333.333333336</v>
      </c>
      <c r="H19" s="16" t="s">
        <v>41</v>
      </c>
      <c r="I19" s="16" t="s">
        <v>41</v>
      </c>
      <c r="J19" s="16" t="s">
        <v>41</v>
      </c>
      <c r="K19" s="35" t="s">
        <v>478</v>
      </c>
      <c r="L19" s="36" t="s">
        <v>479</v>
      </c>
      <c r="M19" s="5"/>
    </row>
    <row r="20" spans="2:13" x14ac:dyDescent="0.2">
      <c r="B20" s="1" t="s">
        <v>80</v>
      </c>
      <c r="C20" s="1" t="s">
        <v>618</v>
      </c>
      <c r="D20" s="1" t="s">
        <v>363</v>
      </c>
      <c r="E20" s="16" t="s">
        <v>41</v>
      </c>
      <c r="F20" s="16" t="s">
        <v>41</v>
      </c>
      <c r="G20" s="6">
        <v>0</v>
      </c>
      <c r="H20" s="6">
        <v>0</v>
      </c>
      <c r="I20" s="6">
        <v>5.2999999999999999E-2</v>
      </c>
      <c r="J20" s="86" t="s">
        <v>2</v>
      </c>
      <c r="K20" s="35" t="s">
        <v>12</v>
      </c>
      <c r="L20" s="4" t="s">
        <v>365</v>
      </c>
    </row>
    <row r="21" spans="2:13" x14ac:dyDescent="0.2">
      <c r="B21" s="1" t="s">
        <v>80</v>
      </c>
      <c r="C21" s="1" t="s">
        <v>619</v>
      </c>
      <c r="D21" s="1" t="s">
        <v>364</v>
      </c>
      <c r="E21" s="16" t="s">
        <v>41</v>
      </c>
      <c r="F21" s="16" t="s">
        <v>41</v>
      </c>
      <c r="G21" s="6">
        <v>0.98399999999999999</v>
      </c>
      <c r="H21" s="6">
        <v>0.95299999999999996</v>
      </c>
      <c r="I21" s="6">
        <v>0.997</v>
      </c>
      <c r="J21" s="86" t="s">
        <v>2</v>
      </c>
      <c r="K21" s="35" t="s">
        <v>12</v>
      </c>
      <c r="L21" s="4" t="s">
        <v>365</v>
      </c>
    </row>
    <row r="22" spans="2:13" x14ac:dyDescent="0.2">
      <c r="B22" s="1" t="s">
        <v>80</v>
      </c>
      <c r="C22" s="1" t="s">
        <v>617</v>
      </c>
      <c r="D22" s="1" t="s">
        <v>417</v>
      </c>
      <c r="E22" s="16" t="s">
        <v>41</v>
      </c>
      <c r="F22" s="16" t="s">
        <v>41</v>
      </c>
      <c r="G22" s="6">
        <v>0.84</v>
      </c>
      <c r="H22" s="6">
        <v>0.81699999999999995</v>
      </c>
      <c r="I22" s="6">
        <v>0.85599999999999998</v>
      </c>
      <c r="J22" s="86" t="s">
        <v>2</v>
      </c>
      <c r="K22" s="88" t="s">
        <v>36</v>
      </c>
      <c r="L22" s="4" t="s">
        <v>362</v>
      </c>
    </row>
    <row r="23" spans="2:13" x14ac:dyDescent="0.2">
      <c r="B23" s="1" t="s">
        <v>80</v>
      </c>
      <c r="C23" s="1" t="s">
        <v>620</v>
      </c>
      <c r="D23" s="1" t="s">
        <v>548</v>
      </c>
      <c r="E23" s="16" t="s">
        <v>41</v>
      </c>
      <c r="F23" s="16" t="s">
        <v>41</v>
      </c>
      <c r="G23" s="6">
        <v>0.8</v>
      </c>
      <c r="H23" s="6">
        <v>0.7</v>
      </c>
      <c r="I23" s="6">
        <v>1</v>
      </c>
      <c r="J23" s="86" t="s">
        <v>41</v>
      </c>
      <c r="K23" s="41" t="s">
        <v>13</v>
      </c>
      <c r="L23" s="4"/>
    </row>
    <row r="24" spans="2:13" x14ac:dyDescent="0.2">
      <c r="B24" s="1" t="s">
        <v>80</v>
      </c>
      <c r="C24" s="1" t="s">
        <v>434</v>
      </c>
      <c r="D24" s="1" t="s">
        <v>418</v>
      </c>
      <c r="E24" s="16" t="s">
        <v>41</v>
      </c>
      <c r="F24" s="16" t="s">
        <v>41</v>
      </c>
      <c r="G24" s="17">
        <f>58/3082</f>
        <v>1.8818948734587931E-2</v>
      </c>
      <c r="H24" s="123">
        <f>_xlfn.BETA.INV(0.025, 58, 3082-58+1)</f>
        <v>1.4320247704488179E-2</v>
      </c>
      <c r="I24" s="123">
        <f>_xlfn.BETA.INV(0.975, 58+1, 3082-58)</f>
        <v>2.426066347872291E-2</v>
      </c>
      <c r="J24" s="16" t="s">
        <v>2</v>
      </c>
      <c r="K24" s="41" t="s">
        <v>35</v>
      </c>
      <c r="L24" s="1" t="s">
        <v>415</v>
      </c>
    </row>
    <row r="25" spans="2:13" x14ac:dyDescent="0.2">
      <c r="B25" s="1" t="s">
        <v>80</v>
      </c>
      <c r="C25" s="1" t="s">
        <v>435</v>
      </c>
      <c r="D25" s="1" t="s">
        <v>419</v>
      </c>
      <c r="E25" s="16" t="s">
        <v>41</v>
      </c>
      <c r="F25" s="16" t="s">
        <v>41</v>
      </c>
      <c r="G25" s="17">
        <f>73/2790</f>
        <v>2.6164874551971327E-2</v>
      </c>
      <c r="H25" s="123">
        <f>_xlfn.BETA.INV(0.025, 73, 2790-73+1)</f>
        <v>2.0563875462144107E-2</v>
      </c>
      <c r="I25" s="123">
        <f>_xlfn.BETA.INV(0.975, 73+1, 2790-73)</f>
        <v>3.2787183574374379E-2</v>
      </c>
      <c r="J25" s="16" t="s">
        <v>2</v>
      </c>
      <c r="K25" s="41" t="s">
        <v>36</v>
      </c>
      <c r="L25" s="1" t="s">
        <v>416</v>
      </c>
    </row>
    <row r="26" spans="2:13" x14ac:dyDescent="0.2">
      <c r="B26" s="1" t="s">
        <v>80</v>
      </c>
      <c r="C26" s="1" t="s">
        <v>436</v>
      </c>
      <c r="D26" s="1" t="s">
        <v>420</v>
      </c>
      <c r="E26" s="16" t="s">
        <v>41</v>
      </c>
      <c r="F26" s="16" t="s">
        <v>41</v>
      </c>
      <c r="G26" s="17">
        <f>2/3082</f>
        <v>6.4892926670992858E-4</v>
      </c>
      <c r="H26" s="123">
        <f>_xlfn.BETA.INV(0.025, 2, 3082-2+1)</f>
        <v>7.8598008528805072E-5</v>
      </c>
      <c r="I26" s="123">
        <f>_xlfn.BETA.INV(0.975, 2+1, 3082-2)</f>
        <v>2.3421695392724651E-3</v>
      </c>
      <c r="J26" s="16" t="s">
        <v>2</v>
      </c>
      <c r="K26" s="41" t="s">
        <v>35</v>
      </c>
      <c r="L26" s="1" t="s">
        <v>414</v>
      </c>
    </row>
    <row r="27" spans="2:13" x14ac:dyDescent="0.2">
      <c r="B27" s="1" t="s">
        <v>80</v>
      </c>
      <c r="C27" s="1" t="s">
        <v>437</v>
      </c>
      <c r="D27" s="1" t="s">
        <v>421</v>
      </c>
      <c r="E27" s="16" t="s">
        <v>41</v>
      </c>
      <c r="F27" s="16" t="s">
        <v>41</v>
      </c>
      <c r="G27" s="17">
        <f>(23-1)/2790</f>
        <v>7.8853046594982087E-3</v>
      </c>
      <c r="H27" s="123">
        <f>_xlfn.BETA.INV(0.025, 23-1, 2790-(23-1)+1)</f>
        <v>4.9480847825384118E-3</v>
      </c>
      <c r="I27" s="123">
        <f>_xlfn.BETA.INV(0.975, 73+1, 2790-73)</f>
        <v>3.2787183574374379E-2</v>
      </c>
      <c r="J27" s="16" t="s">
        <v>2</v>
      </c>
      <c r="K27" s="41" t="s">
        <v>36</v>
      </c>
      <c r="L27" s="1" t="s">
        <v>415</v>
      </c>
    </row>
    <row r="28" spans="2:13" ht="15" customHeight="1" x14ac:dyDescent="0.2">
      <c r="B28" s="1" t="s">
        <v>80</v>
      </c>
      <c r="C28" s="1" t="s">
        <v>613</v>
      </c>
      <c r="D28" s="1" t="s">
        <v>616</v>
      </c>
      <c r="E28" s="16" t="s">
        <v>41</v>
      </c>
      <c r="F28" s="16" t="s">
        <v>41</v>
      </c>
      <c r="G28" s="124">
        <v>0.55000000000000004</v>
      </c>
      <c r="H28" s="124">
        <v>0.51</v>
      </c>
      <c r="I28" s="124">
        <v>0.7</v>
      </c>
      <c r="J28" s="86" t="s">
        <v>55</v>
      </c>
      <c r="K28" s="1" t="s">
        <v>13</v>
      </c>
      <c r="L28" s="119" t="s">
        <v>615</v>
      </c>
    </row>
    <row r="29" spans="2:13" s="90" customFormat="1" x14ac:dyDescent="0.2">
      <c r="B29" s="1" t="s">
        <v>80</v>
      </c>
      <c r="C29" s="1" t="s">
        <v>612</v>
      </c>
      <c r="D29" s="1" t="s">
        <v>614</v>
      </c>
      <c r="E29" s="16" t="s">
        <v>41</v>
      </c>
      <c r="F29" s="16" t="s">
        <v>41</v>
      </c>
      <c r="G29" s="124">
        <v>0.6</v>
      </c>
      <c r="H29" s="124">
        <v>0.4</v>
      </c>
      <c r="I29" s="124">
        <v>0.75</v>
      </c>
      <c r="J29" s="86" t="s">
        <v>55</v>
      </c>
      <c r="K29" s="1" t="s">
        <v>13</v>
      </c>
    </row>
    <row r="30" spans="2:13" s="90" customFormat="1" x14ac:dyDescent="0.2">
      <c r="B30" s="1" t="s">
        <v>80</v>
      </c>
      <c r="C30" s="1" t="s">
        <v>624</v>
      </c>
      <c r="D30" s="1" t="s">
        <v>625</v>
      </c>
      <c r="E30" s="16" t="s">
        <v>41</v>
      </c>
      <c r="F30" s="16" t="s">
        <v>41</v>
      </c>
      <c r="G30" s="124">
        <v>1</v>
      </c>
      <c r="H30" s="124">
        <v>0.5</v>
      </c>
      <c r="I30" s="124">
        <v>1.5</v>
      </c>
      <c r="J30" s="86" t="s">
        <v>55</v>
      </c>
      <c r="K30" s="1" t="s">
        <v>13</v>
      </c>
    </row>
    <row r="31" spans="2:13" x14ac:dyDescent="0.2">
      <c r="B31" s="1" t="s">
        <v>80</v>
      </c>
      <c r="C31" s="1" t="s">
        <v>610</v>
      </c>
      <c r="D31" s="1" t="s">
        <v>611</v>
      </c>
      <c r="E31" s="16" t="s">
        <v>41</v>
      </c>
      <c r="F31" s="16" t="s">
        <v>41</v>
      </c>
      <c r="G31" s="124">
        <v>1</v>
      </c>
      <c r="H31" s="7">
        <v>0.5</v>
      </c>
      <c r="I31" s="7">
        <v>1.2</v>
      </c>
      <c r="J31" s="86" t="s">
        <v>55</v>
      </c>
      <c r="K31" s="41" t="s">
        <v>13</v>
      </c>
      <c r="L31" s="4"/>
      <c r="M31" s="5"/>
    </row>
    <row r="32" spans="2:13" x14ac:dyDescent="0.2">
      <c r="B32" s="1" t="s">
        <v>80</v>
      </c>
      <c r="C32" s="1" t="s">
        <v>604</v>
      </c>
      <c r="D32" s="1" t="s">
        <v>372</v>
      </c>
      <c r="E32" s="16" t="s">
        <v>41</v>
      </c>
      <c r="F32" s="16" t="s">
        <v>41</v>
      </c>
      <c r="G32" s="208">
        <v>2.6401609999999999E-5</v>
      </c>
      <c r="H32" s="208">
        <v>0</v>
      </c>
      <c r="I32" s="208">
        <v>6.9434430000000003E-5</v>
      </c>
      <c r="J32" s="86" t="s">
        <v>358</v>
      </c>
      <c r="K32" s="4" t="s">
        <v>373</v>
      </c>
      <c r="L32" s="4" t="s">
        <v>403</v>
      </c>
    </row>
    <row r="33" spans="1:14" x14ac:dyDescent="0.2">
      <c r="B33" s="1" t="s">
        <v>80</v>
      </c>
      <c r="C33" s="1" t="s">
        <v>605</v>
      </c>
      <c r="D33" s="1" t="s">
        <v>387</v>
      </c>
      <c r="E33" s="16" t="s">
        <v>41</v>
      </c>
      <c r="F33" s="16" t="s">
        <v>41</v>
      </c>
      <c r="G33" s="208">
        <v>8.2986819999999995E-4</v>
      </c>
      <c r="H33" s="208">
        <v>6.7953079999999997E-4</v>
      </c>
      <c r="I33" s="208">
        <v>9.955331999999999E-4</v>
      </c>
      <c r="J33" s="86" t="s">
        <v>358</v>
      </c>
      <c r="K33" s="4" t="s">
        <v>486</v>
      </c>
      <c r="L33" s="4" t="s">
        <v>403</v>
      </c>
    </row>
    <row r="34" spans="1:14" x14ac:dyDescent="0.2">
      <c r="B34" s="1" t="s">
        <v>80</v>
      </c>
      <c r="C34" s="1" t="s">
        <v>395</v>
      </c>
      <c r="D34" s="1" t="s">
        <v>27</v>
      </c>
      <c r="E34" s="16" t="s">
        <v>41</v>
      </c>
      <c r="F34" s="16" t="s">
        <v>41</v>
      </c>
      <c r="G34" s="11">
        <v>365</v>
      </c>
      <c r="H34" s="13">
        <f>(1/3)*G34</f>
        <v>121.66666666666666</v>
      </c>
      <c r="I34" s="13">
        <f>2*G34</f>
        <v>730</v>
      </c>
      <c r="J34" s="86" t="s">
        <v>4</v>
      </c>
      <c r="K34" s="35" t="s">
        <v>14</v>
      </c>
      <c r="L34" s="4" t="s">
        <v>15</v>
      </c>
    </row>
    <row r="35" spans="1:14" s="49" customFormat="1" x14ac:dyDescent="0.2">
      <c r="A35" s="1"/>
      <c r="B35" s="49" t="s">
        <v>79</v>
      </c>
      <c r="D35" s="45" t="s">
        <v>79</v>
      </c>
      <c r="E35" s="50"/>
      <c r="F35" s="50"/>
      <c r="G35" s="51"/>
      <c r="H35" s="51"/>
      <c r="I35" s="51"/>
      <c r="J35" s="50"/>
      <c r="K35" s="52"/>
    </row>
    <row r="36" spans="1:14" x14ac:dyDescent="0.2">
      <c r="B36" s="1" t="s">
        <v>79</v>
      </c>
      <c r="C36" s="1" t="s">
        <v>172</v>
      </c>
      <c r="D36" s="1" t="s">
        <v>28</v>
      </c>
      <c r="E36" s="16" t="s">
        <v>41</v>
      </c>
      <c r="F36" s="16" t="s">
        <v>41</v>
      </c>
      <c r="G36" s="17">
        <v>0.82399999999999995</v>
      </c>
      <c r="H36" s="21">
        <f>G36 - _xlfn.T.INV.2T(0.05, 5774-1) * (0.172 / SQRT(5774))</f>
        <v>0.81956259353910532</v>
      </c>
      <c r="I36" s="21">
        <f>G36 + _xlfn.T.INV.2T(0.05, 5774-1) * (0.172 / SQRT(5774))</f>
        <v>0.82843740646089459</v>
      </c>
      <c r="J36" s="16" t="s">
        <v>2</v>
      </c>
      <c r="K36" s="41" t="s">
        <v>638</v>
      </c>
    </row>
    <row r="37" spans="1:14" x14ac:dyDescent="0.2">
      <c r="B37" s="1" t="s">
        <v>79</v>
      </c>
      <c r="C37" s="1" t="s">
        <v>174</v>
      </c>
      <c r="D37" s="1" t="s">
        <v>33</v>
      </c>
      <c r="E37" s="16" t="s">
        <v>41</v>
      </c>
      <c r="F37" s="16" t="s">
        <v>41</v>
      </c>
      <c r="G37" s="17">
        <v>0</v>
      </c>
      <c r="H37" s="16" t="s">
        <v>41</v>
      </c>
      <c r="I37" s="16" t="s">
        <v>41</v>
      </c>
      <c r="J37" s="16" t="s">
        <v>41</v>
      </c>
      <c r="K37" s="1" t="s">
        <v>13</v>
      </c>
    </row>
    <row r="38" spans="1:14" x14ac:dyDescent="0.2">
      <c r="B38" s="1" t="s">
        <v>79</v>
      </c>
      <c r="C38" s="1" t="s">
        <v>634</v>
      </c>
      <c r="D38" s="1" t="s">
        <v>635</v>
      </c>
      <c r="E38" s="16" t="s">
        <v>41</v>
      </c>
      <c r="F38" s="16" t="s">
        <v>41</v>
      </c>
      <c r="G38" s="226">
        <f>gbd_2023_healthstate_appendix_t!D197</f>
        <v>0.13341151879999999</v>
      </c>
      <c r="H38" s="226">
        <f>gbd_2023_healthstate_appendix_t!E197</f>
        <v>8.8459514999999905E-2</v>
      </c>
      <c r="I38" s="226">
        <f>gbd_2023_healthstate_appendix_t!F197</f>
        <v>0.18950166500000001</v>
      </c>
      <c r="J38" s="16" t="s">
        <v>2</v>
      </c>
      <c r="K38" s="41" t="s">
        <v>636</v>
      </c>
    </row>
    <row r="39" spans="1:14" x14ac:dyDescent="0.2">
      <c r="B39" s="1" t="s">
        <v>79</v>
      </c>
      <c r="C39" s="1" t="s">
        <v>176</v>
      </c>
      <c r="D39" s="1" t="s">
        <v>531</v>
      </c>
      <c r="E39" s="16" t="s">
        <v>41</v>
      </c>
      <c r="F39" s="16" t="s">
        <v>41</v>
      </c>
      <c r="G39" s="17">
        <f>0.85</f>
        <v>0.85</v>
      </c>
      <c r="H39" s="21">
        <f>MAX((1-0.25)*G39, 0)</f>
        <v>0.63749999999999996</v>
      </c>
      <c r="I39" s="21">
        <f>MIN(1, (1+0.25)*G39)</f>
        <v>1</v>
      </c>
      <c r="J39" s="16" t="s">
        <v>2</v>
      </c>
      <c r="K39" s="1" t="s">
        <v>13</v>
      </c>
    </row>
    <row r="40" spans="1:14" x14ac:dyDescent="0.2">
      <c r="B40" s="1" t="s">
        <v>79</v>
      </c>
      <c r="C40" s="1" t="s">
        <v>177</v>
      </c>
      <c r="D40" s="1" t="s">
        <v>530</v>
      </c>
      <c r="E40" s="16" t="s">
        <v>41</v>
      </c>
      <c r="F40" s="16" t="s">
        <v>41</v>
      </c>
      <c r="G40" s="17">
        <f>0.6</f>
        <v>0.6</v>
      </c>
      <c r="H40" s="17">
        <f>G40-((0.19)/SQRT(315))*_xlfn.T.INV.2T(0.05, 315-1)</f>
        <v>0.57893683676003582</v>
      </c>
      <c r="I40" s="17">
        <f>G40+((0.19)/SQRT(315))*_xlfn.T.INV.2T(0.05, 315-1)</f>
        <v>0.62106316323996413</v>
      </c>
      <c r="J40" s="16" t="s">
        <v>2</v>
      </c>
      <c r="K40" s="41" t="s">
        <v>34</v>
      </c>
      <c r="L40" s="1" t="s">
        <v>37</v>
      </c>
    </row>
    <row r="41" spans="1:14" ht="17" customHeight="1" x14ac:dyDescent="0.2">
      <c r="B41" s="1" t="s">
        <v>79</v>
      </c>
      <c r="C41" s="1" t="s">
        <v>412</v>
      </c>
      <c r="D41" s="1" t="s">
        <v>524</v>
      </c>
      <c r="E41" s="16" t="s">
        <v>41</v>
      </c>
      <c r="F41" s="16" t="s">
        <v>41</v>
      </c>
      <c r="G41" s="6">
        <v>0.63</v>
      </c>
      <c r="H41" s="114">
        <v>0.19</v>
      </c>
      <c r="I41" s="6">
        <v>0.91</v>
      </c>
      <c r="J41" s="86" t="s">
        <v>55</v>
      </c>
      <c r="K41" s="247" t="s">
        <v>3611</v>
      </c>
      <c r="L41" s="2" t="s">
        <v>408</v>
      </c>
      <c r="M41" s="1" t="s">
        <v>525</v>
      </c>
    </row>
    <row r="42" spans="1:14" ht="19" customHeight="1" x14ac:dyDescent="0.2">
      <c r="B42" s="1" t="s">
        <v>79</v>
      </c>
      <c r="C42" s="1" t="s">
        <v>411</v>
      </c>
      <c r="D42" s="1" t="s">
        <v>526</v>
      </c>
      <c r="E42" s="16" t="s">
        <v>41</v>
      </c>
      <c r="F42" s="16" t="s">
        <v>41</v>
      </c>
      <c r="G42" s="17">
        <v>2E-3</v>
      </c>
      <c r="H42" s="17">
        <v>0</v>
      </c>
      <c r="I42" s="16">
        <v>5.2999999999999999E-2</v>
      </c>
      <c r="J42" s="16" t="s">
        <v>55</v>
      </c>
      <c r="K42" s="248" t="s">
        <v>3612</v>
      </c>
      <c r="L42" s="2" t="s">
        <v>408</v>
      </c>
      <c r="M42" s="246" t="s">
        <v>527</v>
      </c>
    </row>
    <row r="43" spans="1:14" ht="18" customHeight="1" x14ac:dyDescent="0.2">
      <c r="B43" s="1" t="s">
        <v>79</v>
      </c>
      <c r="C43" s="1" t="s">
        <v>413</v>
      </c>
      <c r="D43" s="1" t="s">
        <v>529</v>
      </c>
      <c r="E43" s="16" t="s">
        <v>41</v>
      </c>
      <c r="F43" s="16" t="s">
        <v>41</v>
      </c>
      <c r="G43" s="17">
        <v>7.5999999999999998E-2</v>
      </c>
      <c r="H43" s="16">
        <v>5.3999999999999999E-2</v>
      </c>
      <c r="I43" s="17">
        <v>1</v>
      </c>
      <c r="J43" s="16" t="s">
        <v>55</v>
      </c>
      <c r="K43" s="248" t="s">
        <v>3610</v>
      </c>
      <c r="L43" s="1" t="s">
        <v>408</v>
      </c>
      <c r="M43" s="119" t="s">
        <v>440</v>
      </c>
      <c r="N43" s="1" t="s">
        <v>528</v>
      </c>
    </row>
    <row r="44" spans="1:14" s="45" customFormat="1" x14ac:dyDescent="0.2">
      <c r="A44" s="117"/>
      <c r="B44" s="45" t="s">
        <v>63</v>
      </c>
      <c r="D44" s="45" t="s">
        <v>63</v>
      </c>
      <c r="E44" s="46"/>
      <c r="F44" s="46"/>
      <c r="G44" s="47"/>
      <c r="H44" s="47"/>
      <c r="I44" s="47"/>
      <c r="J44" s="46"/>
      <c r="K44" s="48"/>
    </row>
    <row r="45" spans="1:14" s="22" customFormat="1" x14ac:dyDescent="0.2">
      <c r="A45" s="1"/>
      <c r="B45" s="22" t="s">
        <v>63</v>
      </c>
      <c r="D45" s="23" t="s">
        <v>81</v>
      </c>
      <c r="E45" s="26"/>
      <c r="F45" s="26"/>
      <c r="G45" s="206"/>
      <c r="H45" s="27">
        <f>G49/G48</f>
        <v>1.25</v>
      </c>
      <c r="I45" s="27"/>
      <c r="J45" s="26"/>
      <c r="K45" s="28"/>
    </row>
    <row r="46" spans="1:14" x14ac:dyDescent="0.2">
      <c r="B46" s="1" t="s">
        <v>63</v>
      </c>
      <c r="C46" s="1" t="s">
        <v>517</v>
      </c>
      <c r="D46" s="1" t="s">
        <v>544</v>
      </c>
      <c r="E46" s="16" t="s">
        <v>72</v>
      </c>
      <c r="F46" s="16">
        <v>2025</v>
      </c>
      <c r="G46" s="9">
        <f>chiqx_price!$I$10</f>
        <v>929.12</v>
      </c>
      <c r="H46" s="9">
        <f>chiqx_price!$I$9</f>
        <v>761.88</v>
      </c>
      <c r="I46" s="9">
        <f>chiqx_price!$I$11</f>
        <v>989.45</v>
      </c>
      <c r="J46" s="16" t="s">
        <v>4</v>
      </c>
      <c r="K46" s="91" t="s">
        <v>519</v>
      </c>
      <c r="L46" s="91" t="s">
        <v>520</v>
      </c>
      <c r="M46" s="91" t="s">
        <v>46</v>
      </c>
    </row>
    <row r="47" spans="1:14" x14ac:dyDescent="0.2">
      <c r="B47" s="1" t="s">
        <v>63</v>
      </c>
      <c r="C47" s="1" t="s">
        <v>518</v>
      </c>
      <c r="D47" s="1" t="s">
        <v>545</v>
      </c>
      <c r="E47" s="16" t="s">
        <v>72</v>
      </c>
      <c r="F47" s="16">
        <v>2025</v>
      </c>
      <c r="G47" s="9">
        <f>chiqx_price!$J$10</f>
        <v>1246.3800000000001</v>
      </c>
      <c r="H47" s="9">
        <f>chiqx_price!$J$9</f>
        <v>1022.03</v>
      </c>
      <c r="I47" s="9">
        <f>chiqx_price!$J$11</f>
        <v>1327.31</v>
      </c>
      <c r="J47" s="16" t="s">
        <v>4</v>
      </c>
      <c r="K47" s="91" t="s">
        <v>519</v>
      </c>
      <c r="L47" s="91" t="s">
        <v>520</v>
      </c>
      <c r="M47" s="91" t="s">
        <v>46</v>
      </c>
    </row>
    <row r="48" spans="1:14" x14ac:dyDescent="0.2">
      <c r="B48" s="1" t="s">
        <v>63</v>
      </c>
      <c r="C48" s="1" t="s">
        <v>597</v>
      </c>
      <c r="D48" s="1" t="s">
        <v>596</v>
      </c>
      <c r="E48" s="16" t="s">
        <v>69</v>
      </c>
      <c r="F48" s="16">
        <v>2025</v>
      </c>
      <c r="G48" s="9">
        <v>209</v>
      </c>
      <c r="H48" s="9">
        <v>160</v>
      </c>
      <c r="I48" s="9">
        <v>275</v>
      </c>
      <c r="J48" s="16" t="s">
        <v>598</v>
      </c>
      <c r="K48" s="199" t="s">
        <v>408</v>
      </c>
      <c r="L48" s="91"/>
      <c r="M48" s="91"/>
    </row>
    <row r="49" spans="1:13" x14ac:dyDescent="0.2">
      <c r="B49" s="1" t="s">
        <v>63</v>
      </c>
      <c r="C49" s="1" t="s">
        <v>599</v>
      </c>
      <c r="D49" s="1" t="s">
        <v>600</v>
      </c>
      <c r="E49" s="16" t="s">
        <v>69</v>
      </c>
      <c r="F49" s="16">
        <v>2025</v>
      </c>
      <c r="G49" s="9">
        <f>+(G48/I48)*I49</f>
        <v>261.25</v>
      </c>
      <c r="H49" s="9">
        <f>+(H48/I48)*I49</f>
        <v>200</v>
      </c>
      <c r="I49" s="9">
        <v>343.75</v>
      </c>
      <c r="J49" s="16" t="s">
        <v>598</v>
      </c>
      <c r="K49" s="199" t="s">
        <v>601</v>
      </c>
      <c r="L49" s="91"/>
      <c r="M49" s="91"/>
    </row>
    <row r="50" spans="1:13" x14ac:dyDescent="0.2">
      <c r="B50" s="1" t="s">
        <v>63</v>
      </c>
      <c r="C50" s="1" t="s">
        <v>621</v>
      </c>
      <c r="D50" s="1" t="s">
        <v>622</v>
      </c>
      <c r="E50" s="16" t="s">
        <v>41</v>
      </c>
      <c r="F50" s="16" t="s">
        <v>41</v>
      </c>
      <c r="G50" s="17">
        <v>0.5</v>
      </c>
      <c r="H50" s="9">
        <v>0</v>
      </c>
      <c r="I50" s="9">
        <v>0.75</v>
      </c>
      <c r="J50" s="16" t="s">
        <v>55</v>
      </c>
      <c r="K50" s="1" t="s">
        <v>43</v>
      </c>
      <c r="L50" s="1" t="s">
        <v>571</v>
      </c>
      <c r="M50" s="91"/>
    </row>
    <row r="51" spans="1:13" x14ac:dyDescent="0.2">
      <c r="B51" s="1" t="s">
        <v>63</v>
      </c>
      <c r="C51" s="1" t="s">
        <v>322</v>
      </c>
      <c r="D51" s="1" t="s">
        <v>64</v>
      </c>
      <c r="E51" s="16" t="s">
        <v>41</v>
      </c>
      <c r="F51" s="16" t="s">
        <v>41</v>
      </c>
      <c r="G51" s="18">
        <v>0.1</v>
      </c>
      <c r="H51" s="18">
        <v>0.05</v>
      </c>
      <c r="I51" s="18">
        <v>0.15</v>
      </c>
      <c r="J51" s="16" t="s">
        <v>55</v>
      </c>
      <c r="K51" s="35" t="s">
        <v>56</v>
      </c>
      <c r="L51" s="1" t="s">
        <v>57</v>
      </c>
    </row>
    <row r="52" spans="1:13" s="14" customFormat="1" x14ac:dyDescent="0.2">
      <c r="A52" s="1"/>
      <c r="B52" s="14" t="s">
        <v>63</v>
      </c>
      <c r="C52" s="14" t="s">
        <v>171</v>
      </c>
      <c r="D52" s="14" t="s">
        <v>58</v>
      </c>
      <c r="E52" s="20" t="s">
        <v>72</v>
      </c>
      <c r="F52" s="20">
        <v>2016</v>
      </c>
      <c r="G52" s="87">
        <v>7.3</v>
      </c>
      <c r="H52" s="92">
        <f>(1-0.25)*G52</f>
        <v>5.4749999999999996</v>
      </c>
      <c r="I52" s="92">
        <f>(1+0.25)*G52</f>
        <v>9.125</v>
      </c>
      <c r="J52" s="20" t="s">
        <v>4</v>
      </c>
      <c r="K52" s="88" t="s">
        <v>56</v>
      </c>
      <c r="L52" s="14" t="s">
        <v>59</v>
      </c>
    </row>
    <row r="53" spans="1:13" s="22" customFormat="1" x14ac:dyDescent="0.2">
      <c r="A53" s="1"/>
      <c r="B53" s="22" t="s">
        <v>63</v>
      </c>
      <c r="D53" s="23" t="s">
        <v>82</v>
      </c>
      <c r="E53" s="29"/>
      <c r="F53" s="29"/>
      <c r="G53" s="25"/>
      <c r="H53" s="25"/>
      <c r="I53" s="25"/>
      <c r="J53" s="26"/>
    </row>
    <row r="54" spans="1:13" x14ac:dyDescent="0.2">
      <c r="B54" s="1" t="s">
        <v>63</v>
      </c>
      <c r="C54" s="1" t="s">
        <v>259</v>
      </c>
      <c r="D54" s="1" t="s">
        <v>68</v>
      </c>
      <c r="E54" s="16" t="s">
        <v>41</v>
      </c>
      <c r="F54" s="16" t="s">
        <v>41</v>
      </c>
      <c r="G54" s="9">
        <v>10.85</v>
      </c>
      <c r="H54" s="240">
        <f t="shared" ref="H54:H58" si="0">(1-0.25)*G54</f>
        <v>8.1374999999999993</v>
      </c>
      <c r="I54" s="240">
        <f t="shared" ref="I54:I58" si="1">(1+0.25)*G54</f>
        <v>13.5625</v>
      </c>
      <c r="J54" s="241" t="s">
        <v>4</v>
      </c>
      <c r="K54" s="35" t="s">
        <v>48</v>
      </c>
      <c r="L54" s="1" t="s">
        <v>52</v>
      </c>
    </row>
    <row r="55" spans="1:13" x14ac:dyDescent="0.2">
      <c r="B55" s="1" t="s">
        <v>63</v>
      </c>
      <c r="C55" s="1" t="s">
        <v>261</v>
      </c>
      <c r="D55" s="1" t="s">
        <v>70</v>
      </c>
      <c r="E55" s="16" t="s">
        <v>41</v>
      </c>
      <c r="F55" s="16" t="s">
        <v>41</v>
      </c>
      <c r="G55" s="18">
        <v>0.75</v>
      </c>
      <c r="H55" s="240">
        <f t="shared" si="0"/>
        <v>0.5625</v>
      </c>
      <c r="I55" s="240">
        <f t="shared" si="1"/>
        <v>0.9375</v>
      </c>
      <c r="J55" s="242" t="s">
        <v>2</v>
      </c>
      <c r="K55" s="35" t="s">
        <v>3613</v>
      </c>
      <c r="L55" s="36" t="s">
        <v>408</v>
      </c>
    </row>
    <row r="56" spans="1:13" x14ac:dyDescent="0.2">
      <c r="B56" s="1" t="s">
        <v>63</v>
      </c>
      <c r="C56" s="1" t="s">
        <v>262</v>
      </c>
      <c r="D56" s="1" t="s">
        <v>71</v>
      </c>
      <c r="E56" s="16" t="s">
        <v>72</v>
      </c>
      <c r="F56" s="16">
        <v>2019</v>
      </c>
      <c r="G56" s="11">
        <v>347.37</v>
      </c>
      <c r="H56" s="243">
        <f t="shared" si="0"/>
        <v>260.52750000000003</v>
      </c>
      <c r="I56" s="243">
        <f t="shared" si="1"/>
        <v>434.21249999999998</v>
      </c>
      <c r="J56" s="241" t="s">
        <v>4</v>
      </c>
      <c r="K56" s="3" t="s">
        <v>49</v>
      </c>
    </row>
    <row r="57" spans="1:13" x14ac:dyDescent="0.2">
      <c r="B57" s="1" t="s">
        <v>63</v>
      </c>
      <c r="C57" s="1" t="s">
        <v>263</v>
      </c>
      <c r="D57" s="1" t="s">
        <v>73</v>
      </c>
      <c r="E57" s="16" t="s">
        <v>72</v>
      </c>
      <c r="F57" s="16">
        <v>2019</v>
      </c>
      <c r="G57" s="11">
        <v>2474.0500000000002</v>
      </c>
      <c r="H57" s="243">
        <f t="shared" si="0"/>
        <v>1855.5375000000001</v>
      </c>
      <c r="I57" s="243">
        <f t="shared" si="1"/>
        <v>3092.5625</v>
      </c>
      <c r="J57" s="241" t="s">
        <v>4</v>
      </c>
      <c r="K57" s="3" t="s">
        <v>49</v>
      </c>
    </row>
    <row r="58" spans="1:13" s="14" customFormat="1" ht="17" customHeight="1" x14ac:dyDescent="0.2">
      <c r="A58" s="1"/>
      <c r="B58" s="14" t="s">
        <v>63</v>
      </c>
      <c r="C58" s="14" t="s">
        <v>264</v>
      </c>
      <c r="D58" s="14" t="s">
        <v>265</v>
      </c>
      <c r="E58" s="20" t="s">
        <v>72</v>
      </c>
      <c r="F58" s="20">
        <v>2019</v>
      </c>
      <c r="G58" s="40">
        <v>23.17</v>
      </c>
      <c r="H58" s="244">
        <f t="shared" si="0"/>
        <v>17.377500000000001</v>
      </c>
      <c r="I58" s="244">
        <f t="shared" si="1"/>
        <v>28.962500000000002</v>
      </c>
      <c r="J58" s="245" t="s">
        <v>4</v>
      </c>
      <c r="K58" s="125" t="s">
        <v>49</v>
      </c>
      <c r="L58" s="121"/>
    </row>
    <row r="59" spans="1:13" s="22" customFormat="1" x14ac:dyDescent="0.2">
      <c r="A59" s="1"/>
      <c r="B59" s="22" t="s">
        <v>63</v>
      </c>
      <c r="D59" s="42" t="s">
        <v>102</v>
      </c>
      <c r="E59" s="26"/>
      <c r="F59" s="26"/>
      <c r="G59" s="43"/>
      <c r="H59" s="43"/>
      <c r="I59" s="43"/>
      <c r="J59" s="26"/>
      <c r="K59" s="44"/>
      <c r="L59" s="44"/>
    </row>
    <row r="60" spans="1:13" x14ac:dyDescent="0.2">
      <c r="B60" s="1" t="s">
        <v>63</v>
      </c>
      <c r="C60" s="1" t="s">
        <v>267</v>
      </c>
      <c r="D60" s="1" t="s">
        <v>99</v>
      </c>
      <c r="E60" s="16" t="s">
        <v>41</v>
      </c>
      <c r="F60" s="16">
        <v>2019</v>
      </c>
      <c r="G60" s="11">
        <v>38830</v>
      </c>
      <c r="H60" s="13">
        <f t="shared" ref="H60" si="2">(1-0.25)*G60</f>
        <v>29122.5</v>
      </c>
      <c r="I60" s="13">
        <f t="shared" ref="I60" si="3">(1+0.25)*G60</f>
        <v>48537.5</v>
      </c>
      <c r="J60" s="16" t="s">
        <v>4</v>
      </c>
      <c r="K60" s="35" t="s">
        <v>49</v>
      </c>
      <c r="L60" s="35"/>
    </row>
    <row r="61" spans="1:13" x14ac:dyDescent="0.2">
      <c r="B61" s="1" t="s">
        <v>63</v>
      </c>
      <c r="C61" s="1" t="s">
        <v>269</v>
      </c>
      <c r="D61" s="1" t="s">
        <v>89</v>
      </c>
      <c r="E61" s="16" t="s">
        <v>41</v>
      </c>
      <c r="F61" s="16" t="s">
        <v>41</v>
      </c>
      <c r="G61" s="11">
        <v>2</v>
      </c>
      <c r="H61" s="19" t="s">
        <v>41</v>
      </c>
      <c r="I61" s="19" t="s">
        <v>41</v>
      </c>
      <c r="J61" s="16" t="s">
        <v>41</v>
      </c>
      <c r="K61" s="35" t="s">
        <v>13</v>
      </c>
      <c r="L61" s="35" t="s">
        <v>90</v>
      </c>
    </row>
    <row r="62" spans="1:13" x14ac:dyDescent="0.2">
      <c r="B62" s="1" t="s">
        <v>63</v>
      </c>
      <c r="C62" s="1" t="s">
        <v>272</v>
      </c>
      <c r="D62" s="1" t="s">
        <v>100</v>
      </c>
      <c r="E62" s="16" t="s">
        <v>41</v>
      </c>
      <c r="F62" s="16" t="s">
        <v>41</v>
      </c>
      <c r="G62" s="9">
        <v>0.47</v>
      </c>
      <c r="H62" s="12">
        <f>(1-0.25)*G62</f>
        <v>0.35249999999999998</v>
      </c>
      <c r="I62" s="12">
        <f>(1+0.25)*G62</f>
        <v>0.58749999999999991</v>
      </c>
      <c r="J62" s="16" t="s">
        <v>2</v>
      </c>
      <c r="K62" s="35" t="s">
        <v>98</v>
      </c>
      <c r="L62" s="35"/>
    </row>
    <row r="63" spans="1:13" x14ac:dyDescent="0.2">
      <c r="B63" s="1" t="s">
        <v>63</v>
      </c>
      <c r="C63" s="1" t="s">
        <v>275</v>
      </c>
      <c r="D63" s="1" t="s">
        <v>93</v>
      </c>
      <c r="E63" s="16" t="s">
        <v>41</v>
      </c>
      <c r="F63" s="16" t="s">
        <v>41</v>
      </c>
      <c r="G63" s="11">
        <v>7</v>
      </c>
      <c r="H63" s="19" t="s">
        <v>41</v>
      </c>
      <c r="I63" s="19" t="s">
        <v>41</v>
      </c>
      <c r="J63" s="16" t="s">
        <v>41</v>
      </c>
      <c r="K63" s="35" t="s">
        <v>49</v>
      </c>
      <c r="L63" s="35"/>
    </row>
    <row r="64" spans="1:13" x14ac:dyDescent="0.2">
      <c r="B64" s="1" t="s">
        <v>63</v>
      </c>
      <c r="C64" s="1" t="s">
        <v>276</v>
      </c>
      <c r="D64" t="s">
        <v>91</v>
      </c>
      <c r="E64" s="16" t="s">
        <v>72</v>
      </c>
      <c r="F64" s="16">
        <v>2019</v>
      </c>
      <c r="G64" s="9">
        <v>4.33</v>
      </c>
      <c r="H64" s="12">
        <f t="shared" ref="H64:H65" si="4">(1-0.25)*G64</f>
        <v>3.2475000000000001</v>
      </c>
      <c r="I64" s="12">
        <f t="shared" ref="I64:I65" si="5">(1+0.25)*G64</f>
        <v>5.4124999999999996</v>
      </c>
      <c r="J64" s="16" t="s">
        <v>4</v>
      </c>
      <c r="K64" s="35" t="s">
        <v>49</v>
      </c>
      <c r="L64" s="35"/>
    </row>
    <row r="65" spans="1:12" x14ac:dyDescent="0.2">
      <c r="B65" s="1" t="s">
        <v>63</v>
      </c>
      <c r="C65" s="1" t="s">
        <v>277</v>
      </c>
      <c r="D65" t="s">
        <v>92</v>
      </c>
      <c r="E65" s="16" t="s">
        <v>72</v>
      </c>
      <c r="F65" s="16">
        <v>2019</v>
      </c>
      <c r="G65" s="9">
        <v>1.1299999999999999</v>
      </c>
      <c r="H65" s="12">
        <f t="shared" si="4"/>
        <v>0.84749999999999992</v>
      </c>
      <c r="I65" s="12">
        <f t="shared" si="5"/>
        <v>1.4124999999999999</v>
      </c>
      <c r="J65" s="16" t="s">
        <v>4</v>
      </c>
      <c r="K65" s="35" t="s">
        <v>49</v>
      </c>
      <c r="L65" s="35"/>
    </row>
    <row r="66" spans="1:12" x14ac:dyDescent="0.2">
      <c r="B66" s="1" t="s">
        <v>63</v>
      </c>
      <c r="C66" s="1" t="s">
        <v>278</v>
      </c>
      <c r="D66" s="1" t="s">
        <v>94</v>
      </c>
      <c r="E66" s="16" t="s">
        <v>41</v>
      </c>
      <c r="F66" s="16" t="s">
        <v>41</v>
      </c>
      <c r="G66" s="11">
        <v>7</v>
      </c>
      <c r="H66" s="19" t="s">
        <v>41</v>
      </c>
      <c r="I66" s="19" t="s">
        <v>41</v>
      </c>
      <c r="J66" s="16" t="s">
        <v>41</v>
      </c>
      <c r="K66" s="35" t="s">
        <v>49</v>
      </c>
      <c r="L66" s="35"/>
    </row>
    <row r="67" spans="1:12" x14ac:dyDescent="0.2">
      <c r="B67" s="1" t="s">
        <v>63</v>
      </c>
      <c r="C67" s="1" t="s">
        <v>279</v>
      </c>
      <c r="D67" t="s">
        <v>95</v>
      </c>
      <c r="E67" s="16" t="s">
        <v>72</v>
      </c>
      <c r="F67" s="16">
        <v>2019</v>
      </c>
      <c r="G67" s="9">
        <v>4.24</v>
      </c>
      <c r="H67" s="12">
        <f t="shared" ref="H67:H69" si="6">(1-0.25)*G67</f>
        <v>3.18</v>
      </c>
      <c r="I67" s="12">
        <f t="shared" ref="I67:I69" si="7">(1+0.25)*G67</f>
        <v>5.3000000000000007</v>
      </c>
      <c r="J67" s="16" t="s">
        <v>4</v>
      </c>
      <c r="K67" s="35" t="s">
        <v>49</v>
      </c>
      <c r="L67" s="35"/>
    </row>
    <row r="68" spans="1:12" x14ac:dyDescent="0.2">
      <c r="B68" s="1" t="s">
        <v>63</v>
      </c>
      <c r="C68" s="1" t="s">
        <v>280</v>
      </c>
      <c r="D68" t="s">
        <v>96</v>
      </c>
      <c r="E68" s="16" t="s">
        <v>72</v>
      </c>
      <c r="F68" s="16">
        <v>2019</v>
      </c>
      <c r="G68" s="9">
        <v>20.95</v>
      </c>
      <c r="H68" s="12">
        <f t="shared" si="6"/>
        <v>15.712499999999999</v>
      </c>
      <c r="I68" s="12">
        <f t="shared" si="7"/>
        <v>26.1875</v>
      </c>
      <c r="J68" s="16" t="s">
        <v>4</v>
      </c>
      <c r="K68" s="35" t="s">
        <v>49</v>
      </c>
      <c r="L68" s="35"/>
    </row>
    <row r="69" spans="1:12" x14ac:dyDescent="0.2">
      <c r="B69" s="1" t="s">
        <v>63</v>
      </c>
      <c r="C69" s="1" t="s">
        <v>281</v>
      </c>
      <c r="D69" s="30" t="s">
        <v>97</v>
      </c>
      <c r="E69" s="16" t="s">
        <v>72</v>
      </c>
      <c r="F69" s="16">
        <v>2019</v>
      </c>
      <c r="G69" s="9">
        <v>89.33</v>
      </c>
      <c r="H69" s="12">
        <f t="shared" si="6"/>
        <v>66.997500000000002</v>
      </c>
      <c r="I69" s="12">
        <f t="shared" si="7"/>
        <v>111.66249999999999</v>
      </c>
      <c r="J69" s="16" t="s">
        <v>4</v>
      </c>
      <c r="K69" s="35" t="s">
        <v>49</v>
      </c>
      <c r="L69" s="35"/>
    </row>
    <row r="70" spans="1:12" s="22" customFormat="1" x14ac:dyDescent="0.2">
      <c r="A70" s="1"/>
      <c r="B70" s="22" t="s">
        <v>63</v>
      </c>
      <c r="D70" s="42" t="s">
        <v>289</v>
      </c>
      <c r="E70" s="26"/>
      <c r="F70" s="26"/>
      <c r="G70" s="43"/>
      <c r="H70" s="43"/>
      <c r="I70" s="43"/>
      <c r="J70" s="26"/>
      <c r="K70" s="44"/>
      <c r="L70" s="44"/>
    </row>
    <row r="71" spans="1:12" x14ac:dyDescent="0.2">
      <c r="B71" s="1" t="s">
        <v>63</v>
      </c>
      <c r="C71" s="1" t="s">
        <v>266</v>
      </c>
      <c r="D71" s="1" t="s">
        <v>105</v>
      </c>
      <c r="E71" s="16" t="s">
        <v>41</v>
      </c>
      <c r="F71" s="16">
        <v>2019</v>
      </c>
      <c r="G71" s="11">
        <v>20852</v>
      </c>
      <c r="H71" s="13">
        <f t="shared" ref="H71" si="8">(1-0.25)*G71</f>
        <v>15639</v>
      </c>
      <c r="I71" s="13">
        <f t="shared" ref="I71" si="9">(1+0.25)*G71</f>
        <v>26065</v>
      </c>
      <c r="J71" s="16" t="s">
        <v>4</v>
      </c>
      <c r="K71" s="35" t="s">
        <v>49</v>
      </c>
      <c r="L71" s="35"/>
    </row>
    <row r="72" spans="1:12" x14ac:dyDescent="0.2">
      <c r="B72" s="1" t="s">
        <v>63</v>
      </c>
      <c r="C72" s="1" t="s">
        <v>270</v>
      </c>
      <c r="D72" s="1" t="s">
        <v>103</v>
      </c>
      <c r="E72" s="16" t="s">
        <v>41</v>
      </c>
      <c r="F72" s="16" t="s">
        <v>41</v>
      </c>
      <c r="G72" s="11">
        <v>3</v>
      </c>
      <c r="H72" s="19" t="s">
        <v>41</v>
      </c>
      <c r="I72" s="19" t="s">
        <v>41</v>
      </c>
      <c r="J72" s="16" t="s">
        <v>41</v>
      </c>
      <c r="K72" s="35" t="s">
        <v>13</v>
      </c>
      <c r="L72" s="35" t="s">
        <v>104</v>
      </c>
    </row>
    <row r="73" spans="1:12" x14ac:dyDescent="0.2">
      <c r="B73" s="1" t="s">
        <v>63</v>
      </c>
      <c r="C73" s="1" t="s">
        <v>273</v>
      </c>
      <c r="D73" s="1" t="s">
        <v>116</v>
      </c>
      <c r="E73" s="16" t="s">
        <v>41</v>
      </c>
      <c r="F73" s="16" t="s">
        <v>41</v>
      </c>
      <c r="G73" s="9">
        <v>0.755</v>
      </c>
      <c r="H73" s="12">
        <f>(1-0.25)*G73</f>
        <v>0.56625000000000003</v>
      </c>
      <c r="I73" s="12">
        <f>(1+0.25)*G73</f>
        <v>0.94374999999999998</v>
      </c>
      <c r="J73" s="16" t="s">
        <v>2</v>
      </c>
      <c r="K73" s="35" t="s">
        <v>98</v>
      </c>
      <c r="L73" s="35"/>
    </row>
    <row r="74" spans="1:12" x14ac:dyDescent="0.2">
      <c r="B74" s="1" t="s">
        <v>63</v>
      </c>
      <c r="C74" s="1" t="s">
        <v>282</v>
      </c>
      <c r="D74" s="1" t="s">
        <v>106</v>
      </c>
      <c r="E74" s="16" t="s">
        <v>72</v>
      </c>
      <c r="F74" s="16">
        <v>2019</v>
      </c>
      <c r="G74" s="12">
        <v>16.28</v>
      </c>
      <c r="H74" s="12">
        <f t="shared" ref="H74:H77" si="10">(1-0.25)*G74</f>
        <v>12.21</v>
      </c>
      <c r="I74" s="12">
        <f t="shared" ref="I74:I77" si="11">(1+0.25)*G74</f>
        <v>20.350000000000001</v>
      </c>
      <c r="J74" s="16" t="s">
        <v>4</v>
      </c>
      <c r="K74" s="35" t="s">
        <v>49</v>
      </c>
      <c r="L74" s="35" t="s">
        <v>111</v>
      </c>
    </row>
    <row r="75" spans="1:12" x14ac:dyDescent="0.2">
      <c r="B75" s="1" t="s">
        <v>63</v>
      </c>
      <c r="C75" s="1" t="s">
        <v>283</v>
      </c>
      <c r="D75" s="1" t="s">
        <v>107</v>
      </c>
      <c r="E75" s="16" t="s">
        <v>72</v>
      </c>
      <c r="F75" s="16">
        <v>2019</v>
      </c>
      <c r="G75" s="12">
        <v>16.100000000000001</v>
      </c>
      <c r="H75" s="12">
        <f t="shared" si="10"/>
        <v>12.075000000000001</v>
      </c>
      <c r="I75" s="12">
        <f t="shared" si="11"/>
        <v>20.125</v>
      </c>
      <c r="J75" s="16" t="s">
        <v>4</v>
      </c>
      <c r="K75" s="35" t="s">
        <v>49</v>
      </c>
      <c r="L75" s="35" t="s">
        <v>112</v>
      </c>
    </row>
    <row r="76" spans="1:12" x14ac:dyDescent="0.2">
      <c r="B76" s="1" t="s">
        <v>63</v>
      </c>
      <c r="C76" s="1" t="s">
        <v>284</v>
      </c>
      <c r="D76" s="1" t="s">
        <v>108</v>
      </c>
      <c r="E76" s="16" t="s">
        <v>72</v>
      </c>
      <c r="F76" s="16">
        <v>2019</v>
      </c>
      <c r="G76" s="12">
        <v>1.06</v>
      </c>
      <c r="H76" s="12">
        <f t="shared" si="10"/>
        <v>0.79500000000000004</v>
      </c>
      <c r="I76" s="12">
        <f t="shared" si="11"/>
        <v>1.3250000000000002</v>
      </c>
      <c r="J76" s="16" t="s">
        <v>4</v>
      </c>
      <c r="K76" s="35" t="s">
        <v>49</v>
      </c>
      <c r="L76" s="35" t="s">
        <v>110</v>
      </c>
    </row>
    <row r="77" spans="1:12" x14ac:dyDescent="0.2">
      <c r="B77" s="1" t="s">
        <v>63</v>
      </c>
      <c r="C77" s="1" t="s">
        <v>285</v>
      </c>
      <c r="D77" s="1" t="s">
        <v>109</v>
      </c>
      <c r="E77" s="16" t="s">
        <v>72</v>
      </c>
      <c r="F77" s="16">
        <v>2019</v>
      </c>
      <c r="G77" s="12">
        <v>9.16</v>
      </c>
      <c r="H77" s="12">
        <f t="shared" si="10"/>
        <v>6.87</v>
      </c>
      <c r="I77" s="12">
        <f t="shared" si="11"/>
        <v>11.45</v>
      </c>
      <c r="J77" s="16" t="s">
        <v>4</v>
      </c>
      <c r="K77" s="35" t="s">
        <v>49</v>
      </c>
      <c r="L77" s="35" t="s">
        <v>110</v>
      </c>
    </row>
    <row r="78" spans="1:12" s="22" customFormat="1" x14ac:dyDescent="0.2">
      <c r="A78" s="1"/>
      <c r="B78" s="22" t="s">
        <v>63</v>
      </c>
      <c r="D78" s="42" t="s">
        <v>117</v>
      </c>
      <c r="E78" s="26"/>
      <c r="F78" s="26"/>
      <c r="G78" s="43"/>
      <c r="H78" s="43"/>
      <c r="I78" s="43"/>
      <c r="J78" s="26"/>
      <c r="K78" s="44"/>
      <c r="L78" s="44"/>
    </row>
    <row r="79" spans="1:12" x14ac:dyDescent="0.2">
      <c r="B79" s="1" t="s">
        <v>63</v>
      </c>
      <c r="C79" s="1" t="s">
        <v>268</v>
      </c>
      <c r="D79" s="1" t="s">
        <v>119</v>
      </c>
      <c r="E79" s="16" t="s">
        <v>41</v>
      </c>
      <c r="F79" s="16">
        <v>2019</v>
      </c>
      <c r="G79" s="11">
        <v>20192</v>
      </c>
      <c r="H79" s="13">
        <f t="shared" ref="H79" si="12">(1-0.25)*G79</f>
        <v>15144</v>
      </c>
      <c r="I79" s="13">
        <f t="shared" ref="I79" si="13">(1+0.25)*G79</f>
        <v>25240</v>
      </c>
      <c r="J79" s="16" t="s">
        <v>4</v>
      </c>
      <c r="K79" s="35" t="s">
        <v>49</v>
      </c>
      <c r="L79" s="35"/>
    </row>
    <row r="80" spans="1:12" x14ac:dyDescent="0.2">
      <c r="B80" s="1" t="s">
        <v>63</v>
      </c>
      <c r="C80" s="1" t="s">
        <v>271</v>
      </c>
      <c r="D80" s="1" t="s">
        <v>120</v>
      </c>
      <c r="E80" s="16" t="s">
        <v>41</v>
      </c>
      <c r="F80" s="16" t="s">
        <v>41</v>
      </c>
      <c r="G80" s="11">
        <v>3</v>
      </c>
      <c r="H80" s="19" t="s">
        <v>41</v>
      </c>
      <c r="I80" s="19" t="s">
        <v>41</v>
      </c>
      <c r="J80" s="16" t="s">
        <v>41</v>
      </c>
      <c r="K80" s="35" t="s">
        <v>13</v>
      </c>
      <c r="L80" s="35" t="s">
        <v>118</v>
      </c>
    </row>
    <row r="81" spans="1:12" x14ac:dyDescent="0.2">
      <c r="B81" s="1" t="s">
        <v>63</v>
      </c>
      <c r="C81" s="1" t="s">
        <v>274</v>
      </c>
      <c r="D81" s="1" t="s">
        <v>126</v>
      </c>
      <c r="E81" s="16" t="s">
        <v>41</v>
      </c>
      <c r="F81" s="16" t="s">
        <v>41</v>
      </c>
      <c r="G81" s="9">
        <v>0.40400000000000003</v>
      </c>
      <c r="H81" s="12">
        <f>(1-0.25)*G81</f>
        <v>0.30300000000000005</v>
      </c>
      <c r="I81" s="12">
        <f>(1+0.25)*G81</f>
        <v>0.505</v>
      </c>
      <c r="J81" s="16" t="s">
        <v>2</v>
      </c>
      <c r="K81" s="35" t="s">
        <v>98</v>
      </c>
      <c r="L81" s="35"/>
    </row>
    <row r="82" spans="1:12" x14ac:dyDescent="0.2">
      <c r="B82" s="1" t="s">
        <v>63</v>
      </c>
      <c r="C82" s="1" t="s">
        <v>286</v>
      </c>
      <c r="D82" s="1" t="s">
        <v>121</v>
      </c>
      <c r="E82" s="16" t="s">
        <v>72</v>
      </c>
      <c r="F82" s="16">
        <v>2019</v>
      </c>
      <c r="G82" s="9">
        <v>244.78</v>
      </c>
      <c r="H82" s="12">
        <f t="shared" ref="H82:H84" si="14">(1-0.25)*G82</f>
        <v>183.58500000000001</v>
      </c>
      <c r="I82" s="12">
        <f t="shared" ref="I82:I84" si="15">(1+0.25)*G82</f>
        <v>305.97500000000002</v>
      </c>
      <c r="J82" s="16" t="s">
        <v>4</v>
      </c>
      <c r="K82" s="35" t="s">
        <v>49</v>
      </c>
      <c r="L82" s="35"/>
    </row>
    <row r="83" spans="1:12" x14ac:dyDescent="0.2">
      <c r="B83" s="1" t="s">
        <v>63</v>
      </c>
      <c r="C83" s="1" t="s">
        <v>287</v>
      </c>
      <c r="D83" s="1" t="s">
        <v>122</v>
      </c>
      <c r="E83" s="16" t="s">
        <v>72</v>
      </c>
      <c r="F83" s="16">
        <v>2019</v>
      </c>
      <c r="G83" s="9">
        <v>109.86</v>
      </c>
      <c r="H83" s="12">
        <f t="shared" si="14"/>
        <v>82.394999999999996</v>
      </c>
      <c r="I83" s="12">
        <f t="shared" si="15"/>
        <v>137.32499999999999</v>
      </c>
      <c r="J83" s="16" t="s">
        <v>4</v>
      </c>
      <c r="K83" s="35" t="s">
        <v>49</v>
      </c>
    </row>
    <row r="84" spans="1:12" x14ac:dyDescent="0.2">
      <c r="B84" s="1" t="s">
        <v>63</v>
      </c>
      <c r="C84" s="1" t="s">
        <v>288</v>
      </c>
      <c r="D84" s="1" t="s">
        <v>123</v>
      </c>
      <c r="E84" s="16" t="s">
        <v>72</v>
      </c>
      <c r="F84" s="16">
        <v>2019</v>
      </c>
      <c r="G84" s="9">
        <v>0.87</v>
      </c>
      <c r="H84" s="12">
        <f t="shared" si="14"/>
        <v>0.65249999999999997</v>
      </c>
      <c r="I84" s="12">
        <f t="shared" si="15"/>
        <v>1.0874999999999999</v>
      </c>
      <c r="J84" s="16" t="s">
        <v>4</v>
      </c>
      <c r="K84" s="35" t="s">
        <v>49</v>
      </c>
      <c r="L84" s="35"/>
    </row>
    <row r="85" spans="1:12" s="22" customFormat="1" x14ac:dyDescent="0.2">
      <c r="A85" s="1"/>
      <c r="B85" s="22" t="s">
        <v>63</v>
      </c>
      <c r="D85" s="23" t="s">
        <v>83</v>
      </c>
      <c r="E85" s="29"/>
      <c r="F85" s="29"/>
      <c r="G85" s="24"/>
      <c r="H85" s="24"/>
      <c r="I85" s="24"/>
      <c r="J85" s="26"/>
    </row>
    <row r="86" spans="1:12" x14ac:dyDescent="0.2">
      <c r="B86" s="1" t="s">
        <v>63</v>
      </c>
      <c r="C86" s="1" t="s">
        <v>159</v>
      </c>
      <c r="D86" s="1" t="s">
        <v>60</v>
      </c>
      <c r="E86" s="16" t="s">
        <v>41</v>
      </c>
      <c r="F86" s="16" t="s">
        <v>41</v>
      </c>
      <c r="G86" s="16">
        <v>20.6</v>
      </c>
      <c r="H86" s="16">
        <v>11.8</v>
      </c>
      <c r="I86" s="16">
        <v>26.6</v>
      </c>
      <c r="J86" s="17" t="s">
        <v>4</v>
      </c>
      <c r="K86" s="3" t="s">
        <v>61</v>
      </c>
      <c r="L86" s="1" t="s">
        <v>459</v>
      </c>
    </row>
    <row r="87" spans="1:12" x14ac:dyDescent="0.2">
      <c r="B87" s="1" t="s">
        <v>63</v>
      </c>
      <c r="C87" s="1" t="s">
        <v>160</v>
      </c>
      <c r="D87" s="1" t="s">
        <v>127</v>
      </c>
      <c r="E87" s="16" t="s">
        <v>41</v>
      </c>
      <c r="F87" s="16" t="s">
        <v>41</v>
      </c>
      <c r="G87" s="16">
        <v>6.24</v>
      </c>
      <c r="H87" s="16">
        <v>0</v>
      </c>
      <c r="I87" s="16">
        <v>21</v>
      </c>
      <c r="J87" s="16" t="s">
        <v>4</v>
      </c>
      <c r="K87" s="35" t="s">
        <v>50</v>
      </c>
      <c r="L87" s="1" t="s">
        <v>460</v>
      </c>
    </row>
    <row r="88" spans="1:12" x14ac:dyDescent="0.2">
      <c r="B88" s="1" t="s">
        <v>63</v>
      </c>
      <c r="C88" s="1" t="s">
        <v>161</v>
      </c>
      <c r="D88" s="1" t="s">
        <v>128</v>
      </c>
      <c r="E88" s="16" t="s">
        <v>41</v>
      </c>
      <c r="F88" s="16" t="s">
        <v>41</v>
      </c>
      <c r="G88" s="16">
        <v>0.89</v>
      </c>
      <c r="H88" s="16">
        <v>0.77800000000000002</v>
      </c>
      <c r="I88" s="16">
        <v>1</v>
      </c>
      <c r="J88" s="16" t="s">
        <v>62</v>
      </c>
      <c r="K88" s="35" t="s">
        <v>50</v>
      </c>
      <c r="L88" s="1" t="s">
        <v>460</v>
      </c>
    </row>
    <row r="89" spans="1:12" s="14" customFormat="1" x14ac:dyDescent="0.2">
      <c r="A89" s="1"/>
      <c r="B89" s="14" t="s">
        <v>63</v>
      </c>
      <c r="C89" s="14" t="s">
        <v>162</v>
      </c>
      <c r="D89" s="14" t="s">
        <v>131</v>
      </c>
      <c r="E89" s="20" t="s">
        <v>41</v>
      </c>
      <c r="F89" s="20" t="s">
        <v>41</v>
      </c>
      <c r="G89" s="20">
        <v>0.87</v>
      </c>
      <c r="H89" s="20">
        <v>0.78400000000000003</v>
      </c>
      <c r="I89" s="20">
        <v>0.94699999999999995</v>
      </c>
      <c r="J89" s="20" t="s">
        <v>62</v>
      </c>
      <c r="K89" s="15" t="s">
        <v>50</v>
      </c>
      <c r="L89" s="14" t="s">
        <v>460</v>
      </c>
    </row>
    <row r="90" spans="1:12" x14ac:dyDescent="0.2">
      <c r="B90" s="1" t="s">
        <v>63</v>
      </c>
      <c r="C90" s="1" t="s">
        <v>254</v>
      </c>
      <c r="D90" s="1" t="s">
        <v>626</v>
      </c>
      <c r="E90" s="16" t="s">
        <v>72</v>
      </c>
      <c r="F90" s="16">
        <v>2024</v>
      </c>
      <c r="G90" s="11">
        <v>55247.45</v>
      </c>
      <c r="H90" s="16" t="s">
        <v>41</v>
      </c>
      <c r="I90" s="16" t="s">
        <v>41</v>
      </c>
      <c r="J90" s="16" t="s">
        <v>41</v>
      </c>
      <c r="K90" s="2" t="s">
        <v>255</v>
      </c>
      <c r="L90" s="4"/>
    </row>
    <row r="91" spans="1:12" x14ac:dyDescent="0.2">
      <c r="B91" s="1" t="s">
        <v>63</v>
      </c>
      <c r="C91" s="1" t="s">
        <v>178</v>
      </c>
      <c r="D91" s="1" t="s">
        <v>144</v>
      </c>
      <c r="E91" s="16" t="s">
        <v>72</v>
      </c>
      <c r="F91" s="16">
        <v>2024</v>
      </c>
      <c r="G91" s="11">
        <v>3057</v>
      </c>
      <c r="H91" s="11" t="s">
        <v>41</v>
      </c>
      <c r="I91" s="11" t="s">
        <v>41</v>
      </c>
      <c r="J91" s="16" t="s">
        <v>41</v>
      </c>
      <c r="K91" s="38" t="s">
        <v>339</v>
      </c>
    </row>
    <row r="92" spans="1:12" x14ac:dyDescent="0.2">
      <c r="B92" s="1" t="s">
        <v>63</v>
      </c>
      <c r="C92" s="1" t="s">
        <v>142</v>
      </c>
      <c r="D92" s="1" t="s">
        <v>143</v>
      </c>
      <c r="E92" s="16" t="s">
        <v>41</v>
      </c>
      <c r="F92" s="16">
        <v>2024</v>
      </c>
      <c r="G92" s="9">
        <v>0.2</v>
      </c>
      <c r="H92" s="16" t="s">
        <v>41</v>
      </c>
      <c r="I92" s="16" t="s">
        <v>41</v>
      </c>
      <c r="J92" s="16" t="s">
        <v>41</v>
      </c>
      <c r="K92" s="38" t="s">
        <v>145</v>
      </c>
    </row>
    <row r="93" spans="1:12" x14ac:dyDescent="0.2">
      <c r="B93" s="1" t="s">
        <v>63</v>
      </c>
      <c r="C93" s="1" t="s">
        <v>179</v>
      </c>
      <c r="D93" s="1" t="s">
        <v>136</v>
      </c>
      <c r="E93" s="16" t="s">
        <v>41</v>
      </c>
      <c r="F93" s="16" t="s">
        <v>41</v>
      </c>
      <c r="G93" s="16">
        <v>0.2</v>
      </c>
      <c r="H93" s="16" t="s">
        <v>41</v>
      </c>
      <c r="I93" s="16" t="s">
        <v>41</v>
      </c>
      <c r="J93" s="16" t="s">
        <v>41</v>
      </c>
      <c r="K93" s="38" t="s">
        <v>135</v>
      </c>
    </row>
    <row r="94" spans="1:12" s="14" customFormat="1" x14ac:dyDescent="0.2">
      <c r="A94" s="1"/>
      <c r="B94" s="14" t="s">
        <v>63</v>
      </c>
      <c r="C94" s="14" t="s">
        <v>180</v>
      </c>
      <c r="D94" s="39" t="s">
        <v>137</v>
      </c>
      <c r="E94" s="20" t="s">
        <v>72</v>
      </c>
      <c r="F94" s="20">
        <v>2024</v>
      </c>
      <c r="G94" s="40">
        <v>16754.34</v>
      </c>
      <c r="H94" s="20" t="s">
        <v>41</v>
      </c>
      <c r="I94" s="20" t="s">
        <v>41</v>
      </c>
      <c r="J94" s="20" t="s">
        <v>41</v>
      </c>
      <c r="K94" s="37" t="s">
        <v>338</v>
      </c>
      <c r="L94" s="37"/>
    </row>
    <row r="95" spans="1:12" x14ac:dyDescent="0.2">
      <c r="B95" s="1" t="s">
        <v>63</v>
      </c>
      <c r="C95" s="1" t="s">
        <v>165</v>
      </c>
      <c r="D95" s="1" t="s">
        <v>129</v>
      </c>
      <c r="E95" s="16" t="s">
        <v>41</v>
      </c>
      <c r="F95" s="16" t="s">
        <v>41</v>
      </c>
      <c r="G95" s="16">
        <v>4.82</v>
      </c>
      <c r="H95" s="16">
        <v>2.08</v>
      </c>
      <c r="I95" s="16">
        <v>7.56</v>
      </c>
      <c r="J95" s="16" t="s">
        <v>4</v>
      </c>
      <c r="K95" s="35" t="s">
        <v>50</v>
      </c>
      <c r="L95" s="1" t="s">
        <v>458</v>
      </c>
    </row>
    <row r="96" spans="1:12" x14ac:dyDescent="0.2">
      <c r="B96" s="1" t="s">
        <v>63</v>
      </c>
      <c r="C96" s="1" t="s">
        <v>166</v>
      </c>
      <c r="D96" s="1" t="s">
        <v>130</v>
      </c>
      <c r="E96" s="16" t="s">
        <v>41</v>
      </c>
      <c r="F96" s="16" t="s">
        <v>41</v>
      </c>
      <c r="G96" s="16">
        <v>0.18</v>
      </c>
      <c r="H96" s="16">
        <v>0.16900000000000001</v>
      </c>
      <c r="I96" s="16">
        <v>0.193</v>
      </c>
      <c r="J96" s="16" t="s">
        <v>62</v>
      </c>
      <c r="K96" s="35" t="s">
        <v>50</v>
      </c>
      <c r="L96" s="1" t="s">
        <v>457</v>
      </c>
    </row>
    <row r="97" spans="1:12" x14ac:dyDescent="0.2">
      <c r="B97" s="1" t="s">
        <v>63</v>
      </c>
      <c r="C97" s="1" t="s">
        <v>167</v>
      </c>
      <c r="D97" s="1" t="s">
        <v>132</v>
      </c>
      <c r="E97" s="16" t="s">
        <v>41</v>
      </c>
      <c r="F97" s="16" t="s">
        <v>41</v>
      </c>
      <c r="G97" s="16">
        <v>11.4</v>
      </c>
      <c r="H97" s="16">
        <v>9.1300000000000008</v>
      </c>
      <c r="I97" s="16">
        <v>13.71</v>
      </c>
      <c r="J97" s="16" t="s">
        <v>4</v>
      </c>
      <c r="K97" s="3" t="s">
        <v>50</v>
      </c>
      <c r="L97" s="1" t="s">
        <v>456</v>
      </c>
    </row>
    <row r="98" spans="1:12" s="14" customFormat="1" x14ac:dyDescent="0.2">
      <c r="A98" s="1"/>
      <c r="B98" s="14" t="s">
        <v>63</v>
      </c>
      <c r="C98" s="14" t="s">
        <v>168</v>
      </c>
      <c r="D98" s="14" t="s">
        <v>133</v>
      </c>
      <c r="E98" s="20" t="s">
        <v>41</v>
      </c>
      <c r="F98" s="20" t="s">
        <v>41</v>
      </c>
      <c r="G98" s="20">
        <v>0.34</v>
      </c>
      <c r="H98" s="20">
        <v>0.29799999999999999</v>
      </c>
      <c r="I98" s="20">
        <v>0.375</v>
      </c>
      <c r="J98" s="20" t="s">
        <v>62</v>
      </c>
      <c r="K98" s="15" t="s">
        <v>50</v>
      </c>
      <c r="L98" s="14" t="s">
        <v>456</v>
      </c>
    </row>
    <row r="99" spans="1:12" x14ac:dyDescent="0.2">
      <c r="B99" s="1" t="s">
        <v>63</v>
      </c>
      <c r="C99" s="1" t="s">
        <v>42</v>
      </c>
      <c r="D99" s="1" t="s">
        <v>181</v>
      </c>
      <c r="E99" s="16" t="s">
        <v>72</v>
      </c>
      <c r="F99" s="16">
        <v>2024</v>
      </c>
      <c r="G99" s="9">
        <v>0</v>
      </c>
      <c r="H99" s="19" t="s">
        <v>41</v>
      </c>
      <c r="I99" s="19" t="s">
        <v>41</v>
      </c>
      <c r="J99" s="19" t="s">
        <v>41</v>
      </c>
      <c r="K99" s="85" t="s">
        <v>43</v>
      </c>
    </row>
    <row r="100" spans="1:12" x14ac:dyDescent="0.2">
      <c r="B100" s="1" t="s">
        <v>63</v>
      </c>
      <c r="C100" s="1" t="s">
        <v>45</v>
      </c>
      <c r="D100" s="1" t="s">
        <v>44</v>
      </c>
      <c r="E100" s="16" t="s">
        <v>72</v>
      </c>
      <c r="F100" s="16">
        <v>2024</v>
      </c>
      <c r="G100" s="9">
        <v>0</v>
      </c>
      <c r="H100" s="19" t="s">
        <v>41</v>
      </c>
      <c r="I100" s="19" t="s">
        <v>41</v>
      </c>
      <c r="J100" s="19" t="s">
        <v>41</v>
      </c>
      <c r="K100" s="85" t="s">
        <v>43</v>
      </c>
    </row>
    <row r="101" spans="1:12" x14ac:dyDescent="0.2">
      <c r="B101" s="1" t="s">
        <v>63</v>
      </c>
      <c r="C101" s="1" t="s">
        <v>47</v>
      </c>
      <c r="D101" s="1" t="s">
        <v>29</v>
      </c>
      <c r="E101" s="16" t="s">
        <v>72</v>
      </c>
      <c r="F101" s="16">
        <v>2024</v>
      </c>
      <c r="G101" s="9">
        <v>0</v>
      </c>
      <c r="H101" s="19" t="s">
        <v>41</v>
      </c>
      <c r="I101" s="19" t="s">
        <v>41</v>
      </c>
      <c r="J101" s="19" t="s">
        <v>41</v>
      </c>
      <c r="K101" s="85" t="s">
        <v>43</v>
      </c>
    </row>
    <row r="102" spans="1:12" s="89" customFormat="1" x14ac:dyDescent="0.2">
      <c r="B102" s="89" t="s">
        <v>63</v>
      </c>
      <c r="C102" s="89" t="s">
        <v>51</v>
      </c>
      <c r="D102" s="89" t="s">
        <v>33</v>
      </c>
      <c r="E102" s="16" t="s">
        <v>72</v>
      </c>
      <c r="F102" s="16">
        <v>2024</v>
      </c>
      <c r="G102" s="9">
        <v>0</v>
      </c>
      <c r="H102" s="19" t="s">
        <v>41</v>
      </c>
      <c r="I102" s="19" t="s">
        <v>41</v>
      </c>
      <c r="J102" s="18" t="s">
        <v>41</v>
      </c>
      <c r="K102" s="85" t="s">
        <v>43</v>
      </c>
      <c r="L102" s="89" t="s">
        <v>197</v>
      </c>
    </row>
    <row r="103" spans="1:12" s="49" customFormat="1" x14ac:dyDescent="0.2">
      <c r="A103" s="1"/>
      <c r="D103" s="45" t="s">
        <v>88</v>
      </c>
      <c r="E103" s="56"/>
      <c r="F103" s="56"/>
      <c r="G103" s="57"/>
      <c r="H103" s="57"/>
      <c r="I103" s="57"/>
      <c r="J103" s="50"/>
    </row>
    <row r="104" spans="1:12" x14ac:dyDescent="0.2">
      <c r="B104" s="1" t="s">
        <v>350</v>
      </c>
      <c r="C104" s="1" t="s">
        <v>595</v>
      </c>
      <c r="D104" s="1" t="s">
        <v>594</v>
      </c>
      <c r="E104" s="16" t="s">
        <v>41</v>
      </c>
      <c r="F104" s="16">
        <v>2010</v>
      </c>
      <c r="G104" s="18">
        <f>1.76</f>
        <v>1.76</v>
      </c>
      <c r="H104" s="16" t="s">
        <v>41</v>
      </c>
      <c r="I104" s="16" t="s">
        <v>41</v>
      </c>
      <c r="J104" s="16" t="s">
        <v>41</v>
      </c>
      <c r="K104" s="35" t="s">
        <v>348</v>
      </c>
      <c r="L104" s="90"/>
    </row>
    <row r="105" spans="1:12" x14ac:dyDescent="0.2">
      <c r="B105" s="1" t="s">
        <v>350</v>
      </c>
      <c r="C105" s="1" t="s">
        <v>3608</v>
      </c>
      <c r="D105" s="1" t="s">
        <v>3607</v>
      </c>
      <c r="E105" s="16" t="s">
        <v>41</v>
      </c>
      <c r="F105" s="16">
        <v>2025</v>
      </c>
      <c r="G105" s="207">
        <f>spot_fx_rate!$B$32</f>
        <v>5.5891000000000002</v>
      </c>
      <c r="H105" s="16" t="s">
        <v>41</v>
      </c>
      <c r="I105" s="16" t="s">
        <v>41</v>
      </c>
      <c r="J105" s="16" t="s">
        <v>41</v>
      </c>
      <c r="K105" s="35" t="s">
        <v>348</v>
      </c>
      <c r="L105" s="90"/>
    </row>
    <row r="106" spans="1:12" x14ac:dyDescent="0.2">
      <c r="B106" s="1" t="s">
        <v>351</v>
      </c>
      <c r="C106" s="1" t="s">
        <v>295</v>
      </c>
      <c r="D106" s="1" t="s">
        <v>292</v>
      </c>
      <c r="E106" s="16" t="s">
        <v>41</v>
      </c>
      <c r="F106" s="16">
        <v>2010</v>
      </c>
      <c r="G106" s="9">
        <f>cpi!D19</f>
        <v>5.91E-2</v>
      </c>
      <c r="H106" s="16" t="s">
        <v>41</v>
      </c>
      <c r="I106" s="16" t="s">
        <v>41</v>
      </c>
      <c r="J106" s="16" t="s">
        <v>41</v>
      </c>
      <c r="K106" s="35" t="s">
        <v>3603</v>
      </c>
      <c r="L106" s="90"/>
    </row>
    <row r="107" spans="1:12" x14ac:dyDescent="0.2">
      <c r="B107" s="1" t="s">
        <v>351</v>
      </c>
      <c r="C107" s="1" t="s">
        <v>299</v>
      </c>
      <c r="D107" s="1" t="s">
        <v>300</v>
      </c>
      <c r="E107" s="16" t="s">
        <v>41</v>
      </c>
      <c r="F107" s="16">
        <v>2016</v>
      </c>
      <c r="G107" s="9">
        <f>cpi!D25</f>
        <v>0.4753</v>
      </c>
      <c r="H107" s="16" t="s">
        <v>41</v>
      </c>
      <c r="I107" s="16" t="s">
        <v>41</v>
      </c>
      <c r="J107" s="16" t="s">
        <v>41</v>
      </c>
      <c r="K107" s="35" t="s">
        <v>3603</v>
      </c>
      <c r="L107" s="90"/>
    </row>
    <row r="108" spans="1:12" x14ac:dyDescent="0.2">
      <c r="B108" s="1" t="s">
        <v>351</v>
      </c>
      <c r="C108" s="1" t="s">
        <v>296</v>
      </c>
      <c r="D108" s="1" t="s">
        <v>293</v>
      </c>
      <c r="E108" s="16" t="s">
        <v>41</v>
      </c>
      <c r="F108" s="16">
        <v>2017</v>
      </c>
      <c r="G108" s="9">
        <f>cpi!D26</f>
        <v>0.50480000000000003</v>
      </c>
      <c r="H108" s="16" t="s">
        <v>41</v>
      </c>
      <c r="I108" s="16" t="s">
        <v>41</v>
      </c>
      <c r="J108" s="16" t="s">
        <v>41</v>
      </c>
      <c r="K108" s="35" t="s">
        <v>3603</v>
      </c>
      <c r="L108" s="90"/>
    </row>
    <row r="109" spans="1:12" x14ac:dyDescent="0.2">
      <c r="B109" s="1" t="s">
        <v>351</v>
      </c>
      <c r="C109" s="1" t="s">
        <v>488</v>
      </c>
      <c r="D109" s="1" t="s">
        <v>487</v>
      </c>
      <c r="E109" s="16" t="s">
        <v>41</v>
      </c>
      <c r="F109" s="16">
        <v>2018</v>
      </c>
      <c r="G109" s="9">
        <f>cpi!D27</f>
        <v>0.5423</v>
      </c>
      <c r="H109" s="16" t="s">
        <v>41</v>
      </c>
      <c r="I109" s="16" t="s">
        <v>41</v>
      </c>
      <c r="J109" s="16" t="s">
        <v>41</v>
      </c>
      <c r="K109" s="35" t="s">
        <v>3603</v>
      </c>
      <c r="L109" s="90"/>
    </row>
    <row r="110" spans="1:12" x14ac:dyDescent="0.2">
      <c r="B110" s="1" t="s">
        <v>351</v>
      </c>
      <c r="C110" s="1" t="s">
        <v>297</v>
      </c>
      <c r="D110" s="1" t="s">
        <v>294</v>
      </c>
      <c r="E110" s="16" t="s">
        <v>41</v>
      </c>
      <c r="F110" s="16">
        <v>2019</v>
      </c>
      <c r="G110" s="9">
        <f>cpi!D28</f>
        <v>0.58540000000000003</v>
      </c>
      <c r="H110" s="16" t="s">
        <v>41</v>
      </c>
      <c r="I110" s="16" t="s">
        <v>41</v>
      </c>
      <c r="J110" s="16" t="s">
        <v>41</v>
      </c>
      <c r="K110" s="35" t="s">
        <v>3603</v>
      </c>
      <c r="L110" s="90"/>
    </row>
    <row r="111" spans="1:12" x14ac:dyDescent="0.2">
      <c r="B111" s="1" t="s">
        <v>351</v>
      </c>
      <c r="C111" s="1" t="s">
        <v>469</v>
      </c>
      <c r="D111" s="1" t="s">
        <v>298</v>
      </c>
      <c r="E111" s="16" t="s">
        <v>41</v>
      </c>
      <c r="F111" s="16">
        <v>2024</v>
      </c>
      <c r="G111" s="9">
        <f>cpi!D33</f>
        <v>0.88360000000000005</v>
      </c>
      <c r="H111" s="16" t="s">
        <v>41</v>
      </c>
      <c r="I111" s="16" t="s">
        <v>41</v>
      </c>
      <c r="J111" s="16" t="s">
        <v>41</v>
      </c>
      <c r="K111" s="35" t="s">
        <v>3603</v>
      </c>
      <c r="L111" s="90"/>
    </row>
    <row r="112" spans="1:12" x14ac:dyDescent="0.2">
      <c r="B112" s="1" t="s">
        <v>351</v>
      </c>
      <c r="C112" s="1" t="s">
        <v>3609</v>
      </c>
      <c r="D112" s="1" t="s">
        <v>514</v>
      </c>
      <c r="E112" s="16" t="s">
        <v>41</v>
      </c>
      <c r="F112" s="16">
        <v>2025</v>
      </c>
      <c r="G112" s="9">
        <f>cpi!D34</f>
        <v>0.92620000000000002</v>
      </c>
      <c r="H112" s="16" t="s">
        <v>41</v>
      </c>
      <c r="I112" s="16" t="s">
        <v>41</v>
      </c>
      <c r="J112" s="16" t="s">
        <v>41</v>
      </c>
      <c r="K112" s="35" t="s">
        <v>3603</v>
      </c>
      <c r="L112" s="90"/>
    </row>
    <row r="113" spans="1:13" s="96" customFormat="1" x14ac:dyDescent="0.2">
      <c r="A113" s="5"/>
      <c r="B113" s="14" t="s">
        <v>352</v>
      </c>
      <c r="C113" s="14" t="s">
        <v>186</v>
      </c>
      <c r="D113" s="14" t="s">
        <v>368</v>
      </c>
      <c r="E113" s="20" t="s">
        <v>41</v>
      </c>
      <c r="F113" s="20" t="s">
        <v>41</v>
      </c>
      <c r="G113" s="40">
        <v>0.05</v>
      </c>
      <c r="H113" s="40">
        <v>0</v>
      </c>
      <c r="I113" s="40">
        <v>0.1</v>
      </c>
      <c r="J113" s="20" t="s">
        <v>2</v>
      </c>
      <c r="K113" s="120" t="s">
        <v>578</v>
      </c>
      <c r="L113" s="14" t="s">
        <v>462</v>
      </c>
    </row>
    <row r="114" spans="1:13" s="49" customFormat="1" x14ac:dyDescent="0.2">
      <c r="A114" s="1"/>
      <c r="D114" s="45" t="s">
        <v>87</v>
      </c>
      <c r="E114" s="56"/>
      <c r="F114" s="56"/>
      <c r="G114" s="57"/>
      <c r="H114" s="57"/>
      <c r="I114" s="57"/>
      <c r="J114" s="50"/>
    </row>
    <row r="115" spans="1:13" x14ac:dyDescent="0.2">
      <c r="B115" s="1" t="s">
        <v>87</v>
      </c>
      <c r="C115" s="1" t="s">
        <v>250</v>
      </c>
      <c r="D115" s="1" t="s">
        <v>86</v>
      </c>
      <c r="E115" s="16" t="s">
        <v>72</v>
      </c>
      <c r="F115" s="16">
        <v>2024</v>
      </c>
      <c r="G115" s="11" t="s">
        <v>254</v>
      </c>
      <c r="H115" s="16" t="s">
        <v>41</v>
      </c>
      <c r="I115" s="16" t="s">
        <v>41</v>
      </c>
      <c r="J115" s="16" t="s">
        <v>41</v>
      </c>
      <c r="K115" s="85" t="s">
        <v>257</v>
      </c>
      <c r="L115" s="1" t="s">
        <v>256</v>
      </c>
      <c r="M115" s="2" t="s">
        <v>258</v>
      </c>
    </row>
    <row r="116" spans="1:13" x14ac:dyDescent="0.2">
      <c r="B116" s="1" t="s">
        <v>87</v>
      </c>
      <c r="C116" s="1" t="s">
        <v>248</v>
      </c>
      <c r="D116" s="1" t="s">
        <v>198</v>
      </c>
      <c r="E116" s="16" t="s">
        <v>41</v>
      </c>
      <c r="F116" s="16">
        <v>2023</v>
      </c>
      <c r="G116" s="6">
        <v>41.4</v>
      </c>
      <c r="H116" s="16" t="s">
        <v>41</v>
      </c>
      <c r="I116" s="16" t="s">
        <v>41</v>
      </c>
      <c r="J116" s="16" t="s">
        <v>41</v>
      </c>
      <c r="K116" s="85" t="s">
        <v>247</v>
      </c>
      <c r="L116" s="5"/>
    </row>
    <row r="117" spans="1:13" s="14" customFormat="1" x14ac:dyDescent="0.2">
      <c r="A117" s="1"/>
      <c r="B117" s="14" t="s">
        <v>87</v>
      </c>
      <c r="C117" s="14" t="s">
        <v>392</v>
      </c>
      <c r="D117" s="14" t="s">
        <v>6</v>
      </c>
      <c r="E117" s="20" t="s">
        <v>41</v>
      </c>
      <c r="F117" s="20" t="s">
        <v>41</v>
      </c>
      <c r="G117" s="128">
        <v>4.1567445021262202E-5</v>
      </c>
      <c r="H117" s="20" t="s">
        <v>41</v>
      </c>
      <c r="I117" s="20" t="s">
        <v>41</v>
      </c>
      <c r="J117" s="20" t="s">
        <v>41</v>
      </c>
      <c r="K117" s="95" t="s">
        <v>247</v>
      </c>
      <c r="L117" s="96"/>
    </row>
    <row r="118" spans="1:13" s="117" customFormat="1" x14ac:dyDescent="0.2">
      <c r="B118" s="1" t="s">
        <v>87</v>
      </c>
      <c r="C118" s="1" t="s">
        <v>391</v>
      </c>
      <c r="D118" s="1" t="s">
        <v>390</v>
      </c>
      <c r="E118" s="16" t="s">
        <v>41</v>
      </c>
      <c r="F118" s="16" t="s">
        <v>41</v>
      </c>
      <c r="G118" s="6" t="s">
        <v>449</v>
      </c>
      <c r="H118" s="16" t="s">
        <v>41</v>
      </c>
      <c r="I118" s="16" t="s">
        <v>41</v>
      </c>
      <c r="J118" s="16" t="s">
        <v>41</v>
      </c>
      <c r="K118" s="1" t="s">
        <v>19</v>
      </c>
      <c r="L118" s="4"/>
    </row>
    <row r="119" spans="1:13" x14ac:dyDescent="0.2">
      <c r="B119" s="1" t="s">
        <v>87</v>
      </c>
      <c r="C119" s="1" t="s">
        <v>471</v>
      </c>
      <c r="D119" s="1" t="s">
        <v>482</v>
      </c>
      <c r="E119" s="16" t="s">
        <v>41</v>
      </c>
      <c r="F119" s="16" t="s">
        <v>41</v>
      </c>
      <c r="G119" s="16" t="s">
        <v>484</v>
      </c>
      <c r="H119" s="16" t="s">
        <v>41</v>
      </c>
      <c r="I119" s="16" t="s">
        <v>41</v>
      </c>
      <c r="J119" s="16" t="s">
        <v>41</v>
      </c>
      <c r="K119" s="35" t="s">
        <v>19</v>
      </c>
      <c r="L119" s="5"/>
      <c r="M119" s="5"/>
    </row>
    <row r="120" spans="1:13" x14ac:dyDescent="0.2">
      <c r="B120" s="1" t="s">
        <v>87</v>
      </c>
      <c r="C120" s="1" t="s">
        <v>472</v>
      </c>
      <c r="D120" s="1" t="s">
        <v>483</v>
      </c>
      <c r="E120" s="16" t="s">
        <v>41</v>
      </c>
      <c r="F120" s="16" t="s">
        <v>41</v>
      </c>
      <c r="G120" s="16" t="s">
        <v>485</v>
      </c>
      <c r="H120" s="16" t="s">
        <v>41</v>
      </c>
      <c r="I120" s="16" t="s">
        <v>41</v>
      </c>
      <c r="J120" s="16" t="s">
        <v>41</v>
      </c>
      <c r="K120" s="35" t="s">
        <v>19</v>
      </c>
      <c r="L120" s="5"/>
      <c r="M120" s="5"/>
    </row>
    <row r="121" spans="1:13" x14ac:dyDescent="0.2">
      <c r="B121" s="1" t="s">
        <v>87</v>
      </c>
      <c r="C121" s="1" t="s">
        <v>396</v>
      </c>
      <c r="D121" s="1" t="s">
        <v>367</v>
      </c>
      <c r="E121" s="16" t="s">
        <v>41</v>
      </c>
      <c r="F121" s="16" t="s">
        <v>41</v>
      </c>
      <c r="G121" s="6" t="s">
        <v>366</v>
      </c>
      <c r="H121" s="6" t="s">
        <v>41</v>
      </c>
      <c r="I121" s="6" t="s">
        <v>41</v>
      </c>
      <c r="J121" s="86" t="s">
        <v>41</v>
      </c>
      <c r="K121" s="4" t="s">
        <v>19</v>
      </c>
      <c r="L121" s="4" t="s">
        <v>360</v>
      </c>
    </row>
    <row r="122" spans="1:13" x14ac:dyDescent="0.2">
      <c r="B122" s="1" t="s">
        <v>87</v>
      </c>
      <c r="C122" s="1" t="s">
        <v>397</v>
      </c>
      <c r="D122" s="1" t="s">
        <v>359</v>
      </c>
      <c r="E122" s="16" t="s">
        <v>41</v>
      </c>
      <c r="F122" s="16" t="s">
        <v>41</v>
      </c>
      <c r="G122" s="6" t="s">
        <v>448</v>
      </c>
      <c r="H122" s="86" t="s">
        <v>41</v>
      </c>
      <c r="I122" s="86" t="s">
        <v>41</v>
      </c>
      <c r="J122" s="86" t="s">
        <v>41</v>
      </c>
      <c r="K122" s="4" t="s">
        <v>19</v>
      </c>
      <c r="L122" s="4"/>
    </row>
    <row r="123" spans="1:13" x14ac:dyDescent="0.2">
      <c r="B123" s="1" t="s">
        <v>87</v>
      </c>
      <c r="C123" s="1" t="s">
        <v>398</v>
      </c>
      <c r="D123" s="1" t="s">
        <v>359</v>
      </c>
      <c r="E123" s="16" t="s">
        <v>41</v>
      </c>
      <c r="F123" s="16" t="s">
        <v>41</v>
      </c>
      <c r="G123" s="6" t="s">
        <v>450</v>
      </c>
      <c r="H123" s="86" t="s">
        <v>41</v>
      </c>
      <c r="I123" s="86" t="s">
        <v>41</v>
      </c>
      <c r="J123" s="86" t="s">
        <v>41</v>
      </c>
      <c r="K123" s="4" t="s">
        <v>19</v>
      </c>
      <c r="L123" s="4"/>
    </row>
    <row r="124" spans="1:13" x14ac:dyDescent="0.2">
      <c r="B124" s="1" t="s">
        <v>87</v>
      </c>
      <c r="C124" s="1" t="s">
        <v>399</v>
      </c>
      <c r="D124" s="1" t="s">
        <v>402</v>
      </c>
      <c r="E124" s="16" t="s">
        <v>41</v>
      </c>
      <c r="F124" s="16" t="s">
        <v>41</v>
      </c>
      <c r="G124" s="16" t="s">
        <v>606</v>
      </c>
      <c r="H124" s="86" t="s">
        <v>41</v>
      </c>
      <c r="I124" s="86" t="s">
        <v>41</v>
      </c>
      <c r="J124" s="86" t="s">
        <v>41</v>
      </c>
      <c r="K124" s="4" t="s">
        <v>19</v>
      </c>
      <c r="L124" s="4"/>
    </row>
    <row r="125" spans="1:13" x14ac:dyDescent="0.2">
      <c r="B125" s="1" t="s">
        <v>87</v>
      </c>
      <c r="C125" s="1" t="s">
        <v>400</v>
      </c>
      <c r="D125" s="1" t="s">
        <v>401</v>
      </c>
      <c r="E125" s="16" t="s">
        <v>41</v>
      </c>
      <c r="F125" s="16" t="s">
        <v>41</v>
      </c>
      <c r="G125" s="16" t="s">
        <v>607</v>
      </c>
      <c r="H125" s="86" t="s">
        <v>41</v>
      </c>
      <c r="I125" s="86" t="s">
        <v>41</v>
      </c>
      <c r="J125" s="86" t="s">
        <v>41</v>
      </c>
      <c r="K125" s="4" t="s">
        <v>19</v>
      </c>
      <c r="L125" s="4"/>
    </row>
    <row r="126" spans="1:13" x14ac:dyDescent="0.2">
      <c r="B126" s="1" t="s">
        <v>87</v>
      </c>
      <c r="C126" s="1" t="s">
        <v>404</v>
      </c>
      <c r="D126" s="1" t="s">
        <v>5</v>
      </c>
      <c r="E126" s="16" t="s">
        <v>41</v>
      </c>
      <c r="F126" s="16" t="s">
        <v>41</v>
      </c>
      <c r="G126" s="124" t="s">
        <v>451</v>
      </c>
      <c r="H126" s="86" t="s">
        <v>41</v>
      </c>
      <c r="I126" s="86" t="s">
        <v>41</v>
      </c>
      <c r="J126" s="86" t="s">
        <v>41</v>
      </c>
      <c r="K126" s="4" t="s">
        <v>19</v>
      </c>
      <c r="L126" s="4"/>
      <c r="M126" s="5"/>
    </row>
    <row r="127" spans="1:13" x14ac:dyDescent="0.2">
      <c r="B127" s="1" t="s">
        <v>87</v>
      </c>
      <c r="C127" s="1" t="s">
        <v>579</v>
      </c>
      <c r="D127" s="1" t="s">
        <v>589</v>
      </c>
      <c r="E127" s="16" t="s">
        <v>41</v>
      </c>
      <c r="F127" s="16" t="s">
        <v>41</v>
      </c>
      <c r="G127" s="6" t="s">
        <v>580</v>
      </c>
      <c r="H127" s="16" t="s">
        <v>41</v>
      </c>
      <c r="I127" s="16" t="s">
        <v>41</v>
      </c>
      <c r="J127" s="16" t="s">
        <v>41</v>
      </c>
      <c r="K127" s="35" t="s">
        <v>19</v>
      </c>
      <c r="L127" s="2"/>
    </row>
    <row r="128" spans="1:13" x14ac:dyDescent="0.2">
      <c r="B128" s="1" t="s">
        <v>87</v>
      </c>
      <c r="C128" s="1" t="s">
        <v>581</v>
      </c>
      <c r="D128" s="1" t="s">
        <v>590</v>
      </c>
      <c r="E128" s="16" t="s">
        <v>41</v>
      </c>
      <c r="F128" s="16" t="s">
        <v>41</v>
      </c>
      <c r="G128" s="6" t="s">
        <v>582</v>
      </c>
      <c r="H128" s="16" t="s">
        <v>41</v>
      </c>
      <c r="I128" s="16" t="s">
        <v>41</v>
      </c>
      <c r="J128" s="16" t="s">
        <v>41</v>
      </c>
      <c r="K128" s="35" t="s">
        <v>19</v>
      </c>
      <c r="L128" s="2"/>
    </row>
    <row r="129" spans="1:12" x14ac:dyDescent="0.2">
      <c r="B129" s="1" t="s">
        <v>87</v>
      </c>
      <c r="C129" s="1" t="s">
        <v>583</v>
      </c>
      <c r="D129" s="1" t="s">
        <v>591</v>
      </c>
      <c r="E129" s="16" t="s">
        <v>41</v>
      </c>
      <c r="F129" s="16" t="s">
        <v>41</v>
      </c>
      <c r="G129" s="6" t="s">
        <v>584</v>
      </c>
      <c r="H129" s="16" t="s">
        <v>41</v>
      </c>
      <c r="I129" s="16" t="s">
        <v>41</v>
      </c>
      <c r="J129" s="16" t="s">
        <v>41</v>
      </c>
      <c r="K129" s="35" t="s">
        <v>19</v>
      </c>
      <c r="L129" s="2"/>
    </row>
    <row r="130" spans="1:12" x14ac:dyDescent="0.2">
      <c r="B130" s="1" t="s">
        <v>87</v>
      </c>
      <c r="C130" s="1" t="s">
        <v>585</v>
      </c>
      <c r="D130" s="1" t="s">
        <v>592</v>
      </c>
      <c r="E130" s="16" t="s">
        <v>41</v>
      </c>
      <c r="F130" s="16" t="s">
        <v>41</v>
      </c>
      <c r="G130" s="6" t="s">
        <v>587</v>
      </c>
      <c r="H130" s="16" t="s">
        <v>41</v>
      </c>
      <c r="I130" s="16" t="s">
        <v>41</v>
      </c>
      <c r="J130" s="16" t="s">
        <v>41</v>
      </c>
      <c r="K130" s="35" t="s">
        <v>19</v>
      </c>
      <c r="L130" s="2"/>
    </row>
    <row r="131" spans="1:12" x14ac:dyDescent="0.2">
      <c r="B131" s="1" t="s">
        <v>87</v>
      </c>
      <c r="C131" s="1" t="s">
        <v>586</v>
      </c>
      <c r="D131" s="1" t="s">
        <v>593</v>
      </c>
      <c r="E131" s="16" t="s">
        <v>41</v>
      </c>
      <c r="F131" s="16" t="s">
        <v>41</v>
      </c>
      <c r="G131" s="6" t="s">
        <v>588</v>
      </c>
      <c r="H131" s="16" t="s">
        <v>41</v>
      </c>
      <c r="I131" s="16" t="s">
        <v>41</v>
      </c>
      <c r="J131" s="16" t="s">
        <v>41</v>
      </c>
      <c r="K131" s="35" t="s">
        <v>19</v>
      </c>
      <c r="L131" s="2"/>
    </row>
    <row r="132" spans="1:12" x14ac:dyDescent="0.2">
      <c r="B132" s="1" t="s">
        <v>87</v>
      </c>
      <c r="C132" s="1" t="s">
        <v>405</v>
      </c>
      <c r="D132" s="1" t="s">
        <v>3</v>
      </c>
      <c r="E132" s="16" t="s">
        <v>41</v>
      </c>
      <c r="F132" s="16" t="s">
        <v>41</v>
      </c>
      <c r="G132" s="17" t="s">
        <v>452</v>
      </c>
      <c r="H132" s="86" t="s">
        <v>41</v>
      </c>
      <c r="I132" s="86" t="s">
        <v>41</v>
      </c>
      <c r="J132" s="86" t="s">
        <v>41</v>
      </c>
      <c r="K132" s="4" t="s">
        <v>19</v>
      </c>
      <c r="L132" s="4"/>
    </row>
    <row r="133" spans="1:12" x14ac:dyDescent="0.2">
      <c r="B133" s="1" t="s">
        <v>87</v>
      </c>
      <c r="C133" s="1" t="s">
        <v>406</v>
      </c>
      <c r="D133" s="1" t="s">
        <v>21</v>
      </c>
      <c r="E133" s="16" t="s">
        <v>41</v>
      </c>
      <c r="F133" s="16" t="s">
        <v>41</v>
      </c>
      <c r="G133" s="17" t="s">
        <v>453</v>
      </c>
      <c r="H133" s="86" t="s">
        <v>41</v>
      </c>
      <c r="I133" s="86" t="s">
        <v>41</v>
      </c>
      <c r="J133" s="86" t="s">
        <v>41</v>
      </c>
      <c r="K133" s="4" t="s">
        <v>19</v>
      </c>
    </row>
    <row r="134" spans="1:12" s="14" customFormat="1" x14ac:dyDescent="0.2">
      <c r="A134" s="1"/>
      <c r="B134" s="14" t="s">
        <v>87</v>
      </c>
      <c r="C134" s="14" t="s">
        <v>407</v>
      </c>
      <c r="D134" s="14" t="s">
        <v>7</v>
      </c>
      <c r="E134" s="20" t="s">
        <v>41</v>
      </c>
      <c r="F134" s="20" t="s">
        <v>41</v>
      </c>
      <c r="G134" s="129" t="s">
        <v>454</v>
      </c>
      <c r="H134" s="93" t="s">
        <v>41</v>
      </c>
      <c r="I134" s="93" t="s">
        <v>41</v>
      </c>
      <c r="J134" s="20" t="s">
        <v>41</v>
      </c>
      <c r="K134" s="94" t="s">
        <v>19</v>
      </c>
    </row>
    <row r="135" spans="1:12" x14ac:dyDescent="0.2">
      <c r="B135" s="1" t="s">
        <v>87</v>
      </c>
      <c r="C135" s="1" t="s">
        <v>175</v>
      </c>
      <c r="D135" s="1" t="s">
        <v>532</v>
      </c>
      <c r="E135" s="16" t="s">
        <v>41</v>
      </c>
      <c r="F135" s="16" t="s">
        <v>41</v>
      </c>
      <c r="G135" s="17" t="s">
        <v>637</v>
      </c>
      <c r="H135" s="17" t="s">
        <v>41</v>
      </c>
      <c r="I135" s="17" t="s">
        <v>41</v>
      </c>
      <c r="J135" s="16" t="s">
        <v>41</v>
      </c>
      <c r="K135" s="1" t="s">
        <v>19</v>
      </c>
    </row>
    <row r="136" spans="1:12" x14ac:dyDescent="0.2">
      <c r="B136" s="1" t="s">
        <v>87</v>
      </c>
      <c r="C136" s="1" t="s">
        <v>183</v>
      </c>
      <c r="D136" s="1" t="s">
        <v>38</v>
      </c>
      <c r="E136" s="16" t="s">
        <v>41</v>
      </c>
      <c r="F136" s="16" t="s">
        <v>41</v>
      </c>
      <c r="G136" s="17" t="s">
        <v>310</v>
      </c>
      <c r="H136" s="17" t="s">
        <v>41</v>
      </c>
      <c r="I136" s="17" t="s">
        <v>41</v>
      </c>
      <c r="J136" s="16" t="s">
        <v>41</v>
      </c>
      <c r="K136" s="1" t="s">
        <v>19</v>
      </c>
    </row>
    <row r="137" spans="1:12" x14ac:dyDescent="0.2">
      <c r="B137" s="1" t="s">
        <v>87</v>
      </c>
      <c r="C137" s="1" t="s">
        <v>184</v>
      </c>
      <c r="D137" s="1" t="s">
        <v>39</v>
      </c>
      <c r="E137" s="16" t="s">
        <v>41</v>
      </c>
      <c r="F137" s="16" t="s">
        <v>41</v>
      </c>
      <c r="G137" s="17" t="s">
        <v>311</v>
      </c>
      <c r="H137" s="17" t="s">
        <v>41</v>
      </c>
      <c r="I137" s="17" t="s">
        <v>41</v>
      </c>
      <c r="J137" s="16" t="s">
        <v>41</v>
      </c>
      <c r="K137" s="1" t="s">
        <v>19</v>
      </c>
    </row>
    <row r="138" spans="1:12" x14ac:dyDescent="0.2">
      <c r="B138" s="1" t="s">
        <v>87</v>
      </c>
      <c r="C138" s="1" t="s">
        <v>185</v>
      </c>
      <c r="D138" s="1" t="s">
        <v>40</v>
      </c>
      <c r="E138" s="16" t="s">
        <v>41</v>
      </c>
      <c r="F138" s="16" t="s">
        <v>41</v>
      </c>
      <c r="G138" s="17" t="s">
        <v>312</v>
      </c>
      <c r="H138" s="17" t="s">
        <v>41</v>
      </c>
      <c r="I138" s="17" t="s">
        <v>41</v>
      </c>
      <c r="J138" s="16" t="s">
        <v>41</v>
      </c>
      <c r="K138" s="1" t="s">
        <v>19</v>
      </c>
    </row>
    <row r="139" spans="1:12" x14ac:dyDescent="0.2">
      <c r="B139" s="1" t="s">
        <v>87</v>
      </c>
      <c r="C139" s="1" t="s">
        <v>173</v>
      </c>
      <c r="D139" s="1" t="s">
        <v>31</v>
      </c>
      <c r="E139" s="16" t="s">
        <v>41</v>
      </c>
      <c r="F139" s="16" t="s">
        <v>41</v>
      </c>
      <c r="G139" s="16" t="s">
        <v>172</v>
      </c>
      <c r="H139" s="16" t="s">
        <v>41</v>
      </c>
      <c r="I139" s="16" t="s">
        <v>41</v>
      </c>
      <c r="J139" s="16" t="s">
        <v>41</v>
      </c>
      <c r="K139" s="1" t="s">
        <v>19</v>
      </c>
    </row>
    <row r="140" spans="1:12" x14ac:dyDescent="0.2">
      <c r="B140" s="1" t="s">
        <v>87</v>
      </c>
      <c r="C140" s="1" t="s">
        <v>410</v>
      </c>
      <c r="D140" s="1" t="s">
        <v>409</v>
      </c>
      <c r="E140" s="16" t="s">
        <v>41</v>
      </c>
      <c r="F140" s="16" t="s">
        <v>41</v>
      </c>
      <c r="G140" s="6" t="s">
        <v>441</v>
      </c>
      <c r="H140" s="17" t="s">
        <v>41</v>
      </c>
      <c r="I140" s="17" t="s">
        <v>41</v>
      </c>
      <c r="J140" s="16" t="s">
        <v>41</v>
      </c>
      <c r="K140" s="1" t="s">
        <v>19</v>
      </c>
      <c r="L140" s="4"/>
    </row>
    <row r="141" spans="1:12" x14ac:dyDescent="0.2">
      <c r="B141" s="1" t="s">
        <v>87</v>
      </c>
      <c r="C141" s="1" t="s">
        <v>422</v>
      </c>
      <c r="D141" s="1" t="s">
        <v>426</v>
      </c>
      <c r="E141" s="16" t="s">
        <v>41</v>
      </c>
      <c r="F141" s="16" t="s">
        <v>41</v>
      </c>
      <c r="G141" s="17" t="s">
        <v>442</v>
      </c>
      <c r="H141" s="118" t="s">
        <v>41</v>
      </c>
      <c r="I141" s="118" t="s">
        <v>41</v>
      </c>
      <c r="J141" s="16" t="s">
        <v>41</v>
      </c>
      <c r="K141" s="1" t="s">
        <v>19</v>
      </c>
      <c r="L141" s="1" t="s">
        <v>408</v>
      </c>
    </row>
    <row r="142" spans="1:12" x14ac:dyDescent="0.2">
      <c r="B142" s="1" t="s">
        <v>87</v>
      </c>
      <c r="C142" s="1" t="s">
        <v>423</v>
      </c>
      <c r="D142" s="1" t="s">
        <v>427</v>
      </c>
      <c r="E142" s="16" t="s">
        <v>41</v>
      </c>
      <c r="F142" s="16" t="s">
        <v>41</v>
      </c>
      <c r="G142" s="17" t="s">
        <v>443</v>
      </c>
      <c r="H142" s="118" t="s">
        <v>41</v>
      </c>
      <c r="I142" s="118" t="s">
        <v>41</v>
      </c>
      <c r="J142" s="16" t="s">
        <v>41</v>
      </c>
      <c r="K142" s="1" t="s">
        <v>19</v>
      </c>
      <c r="L142" s="1" t="s">
        <v>408</v>
      </c>
    </row>
    <row r="143" spans="1:12" x14ac:dyDescent="0.2">
      <c r="B143" s="1" t="s">
        <v>87</v>
      </c>
      <c r="C143" s="1" t="s">
        <v>424</v>
      </c>
      <c r="D143" s="1" t="s">
        <v>425</v>
      </c>
      <c r="E143" s="16" t="s">
        <v>41</v>
      </c>
      <c r="F143" s="16" t="s">
        <v>41</v>
      </c>
      <c r="G143" s="16" t="s">
        <v>438</v>
      </c>
      <c r="H143" s="118" t="s">
        <v>41</v>
      </c>
      <c r="I143" s="118" t="s">
        <v>41</v>
      </c>
      <c r="J143" s="16" t="s">
        <v>41</v>
      </c>
      <c r="K143" s="1" t="s">
        <v>19</v>
      </c>
      <c r="L143" s="1" t="s">
        <v>408</v>
      </c>
    </row>
    <row r="144" spans="1:12" x14ac:dyDescent="0.2">
      <c r="B144" s="1" t="s">
        <v>87</v>
      </c>
      <c r="C144" s="1" t="s">
        <v>431</v>
      </c>
      <c r="D144" s="1" t="s">
        <v>430</v>
      </c>
      <c r="E144" s="16" t="s">
        <v>41</v>
      </c>
      <c r="F144" s="16" t="s">
        <v>41</v>
      </c>
      <c r="G144" s="17" t="s">
        <v>444</v>
      </c>
      <c r="H144" s="118" t="s">
        <v>41</v>
      </c>
      <c r="I144" s="118" t="s">
        <v>41</v>
      </c>
      <c r="J144" s="16" t="s">
        <v>41</v>
      </c>
      <c r="K144" s="1" t="s">
        <v>19</v>
      </c>
      <c r="L144" s="1" t="s">
        <v>408</v>
      </c>
    </row>
    <row r="145" spans="1:12" x14ac:dyDescent="0.2">
      <c r="B145" s="1" t="s">
        <v>87</v>
      </c>
      <c r="C145" s="1" t="s">
        <v>432</v>
      </c>
      <c r="D145" s="1" t="s">
        <v>429</v>
      </c>
      <c r="E145" s="16" t="s">
        <v>41</v>
      </c>
      <c r="F145" s="16" t="s">
        <v>41</v>
      </c>
      <c r="G145" s="17" t="s">
        <v>445</v>
      </c>
      <c r="H145" s="118" t="s">
        <v>41</v>
      </c>
      <c r="I145" s="118" t="s">
        <v>41</v>
      </c>
      <c r="J145" s="16" t="s">
        <v>41</v>
      </c>
      <c r="K145" s="1" t="s">
        <v>19</v>
      </c>
      <c r="L145" s="1" t="s">
        <v>408</v>
      </c>
    </row>
    <row r="146" spans="1:12" s="14" customFormat="1" x14ac:dyDescent="0.2">
      <c r="A146" s="1"/>
      <c r="B146" s="14" t="s">
        <v>87</v>
      </c>
      <c r="C146" s="14" t="s">
        <v>433</v>
      </c>
      <c r="D146" s="14" t="s">
        <v>428</v>
      </c>
      <c r="E146" s="20" t="s">
        <v>41</v>
      </c>
      <c r="F146" s="20" t="s">
        <v>41</v>
      </c>
      <c r="G146" s="20" t="s">
        <v>439</v>
      </c>
      <c r="H146" s="126" t="s">
        <v>41</v>
      </c>
      <c r="I146" s="126" t="s">
        <v>41</v>
      </c>
      <c r="J146" s="20" t="s">
        <v>41</v>
      </c>
      <c r="K146" s="14" t="s">
        <v>19</v>
      </c>
      <c r="L146" s="14" t="s">
        <v>408</v>
      </c>
    </row>
    <row r="147" spans="1:12" x14ac:dyDescent="0.2">
      <c r="B147" s="1" t="s">
        <v>87</v>
      </c>
      <c r="C147" s="1" t="s">
        <v>329</v>
      </c>
      <c r="D147" s="1" t="s">
        <v>332</v>
      </c>
      <c r="E147" s="16" t="s">
        <v>41</v>
      </c>
      <c r="F147" s="16" t="s">
        <v>41</v>
      </c>
      <c r="G147" s="85" t="s">
        <v>335</v>
      </c>
      <c r="H147" s="17" t="s">
        <v>41</v>
      </c>
      <c r="I147" s="17" t="s">
        <v>41</v>
      </c>
      <c r="J147" s="16" t="s">
        <v>41</v>
      </c>
      <c r="K147" s="1" t="s">
        <v>19</v>
      </c>
    </row>
    <row r="148" spans="1:12" x14ac:dyDescent="0.2">
      <c r="B148" s="1" t="s">
        <v>87</v>
      </c>
      <c r="C148" s="1" t="s">
        <v>330</v>
      </c>
      <c r="D148" s="1" t="s">
        <v>333</v>
      </c>
      <c r="E148" s="16" t="s">
        <v>41</v>
      </c>
      <c r="F148" s="16" t="s">
        <v>41</v>
      </c>
      <c r="G148" s="85" t="s">
        <v>336</v>
      </c>
      <c r="H148" s="17" t="s">
        <v>41</v>
      </c>
      <c r="I148" s="17" t="s">
        <v>41</v>
      </c>
      <c r="J148" s="16" t="s">
        <v>41</v>
      </c>
      <c r="K148" s="1" t="s">
        <v>19</v>
      </c>
    </row>
    <row r="149" spans="1:12" x14ac:dyDescent="0.2">
      <c r="B149" s="1" t="s">
        <v>87</v>
      </c>
      <c r="C149" s="1" t="s">
        <v>331</v>
      </c>
      <c r="D149" s="1" t="s">
        <v>334</v>
      </c>
      <c r="E149" s="16" t="s">
        <v>41</v>
      </c>
      <c r="F149" s="16" t="s">
        <v>41</v>
      </c>
      <c r="G149" s="85" t="s">
        <v>337</v>
      </c>
      <c r="H149" s="17" t="s">
        <v>41</v>
      </c>
      <c r="I149" s="17" t="s">
        <v>41</v>
      </c>
      <c r="J149" s="16" t="s">
        <v>41</v>
      </c>
      <c r="K149" s="1" t="s">
        <v>19</v>
      </c>
    </row>
    <row r="150" spans="1:12" x14ac:dyDescent="0.2">
      <c r="B150" s="1" t="s">
        <v>87</v>
      </c>
      <c r="C150" s="1" t="s">
        <v>301</v>
      </c>
      <c r="D150" s="1" t="s">
        <v>53</v>
      </c>
      <c r="E150" s="16" t="s">
        <v>72</v>
      </c>
      <c r="F150" s="16">
        <v>2024</v>
      </c>
      <c r="G150" s="11" t="s">
        <v>313</v>
      </c>
      <c r="H150" s="19" t="s">
        <v>41</v>
      </c>
      <c r="I150" s="19" t="s">
        <v>41</v>
      </c>
      <c r="J150" s="16" t="s">
        <v>41</v>
      </c>
      <c r="K150" s="35" t="s">
        <v>19</v>
      </c>
    </row>
    <row r="151" spans="1:12" x14ac:dyDescent="0.2">
      <c r="B151" s="1" t="s">
        <v>87</v>
      </c>
      <c r="C151" s="1" t="s">
        <v>305</v>
      </c>
      <c r="D151" s="1" t="s">
        <v>114</v>
      </c>
      <c r="E151" s="16" t="s">
        <v>72</v>
      </c>
      <c r="F151" s="16">
        <v>2024</v>
      </c>
      <c r="G151" s="9" t="s">
        <v>463</v>
      </c>
      <c r="H151" s="19" t="s">
        <v>41</v>
      </c>
      <c r="I151" s="19" t="s">
        <v>41</v>
      </c>
      <c r="J151" s="16" t="s">
        <v>41</v>
      </c>
      <c r="K151" s="41" t="s">
        <v>19</v>
      </c>
      <c r="L151" s="41" t="s">
        <v>101</v>
      </c>
    </row>
    <row r="152" spans="1:12" x14ac:dyDescent="0.2">
      <c r="B152" s="1" t="s">
        <v>87</v>
      </c>
      <c r="C152" s="1" t="s">
        <v>304</v>
      </c>
      <c r="D152" s="1" t="s">
        <v>115</v>
      </c>
      <c r="E152" s="16" t="s">
        <v>72</v>
      </c>
      <c r="F152" s="16">
        <v>2024</v>
      </c>
      <c r="G152" s="9" t="s">
        <v>464</v>
      </c>
      <c r="H152" s="19" t="s">
        <v>41</v>
      </c>
      <c r="I152" s="19" t="s">
        <v>41</v>
      </c>
      <c r="J152" s="16" t="s">
        <v>41</v>
      </c>
      <c r="K152" s="41" t="s">
        <v>19</v>
      </c>
      <c r="L152" s="41" t="s">
        <v>113</v>
      </c>
    </row>
    <row r="153" spans="1:12" s="14" customFormat="1" x14ac:dyDescent="0.2">
      <c r="A153" s="1"/>
      <c r="B153" s="14" t="s">
        <v>87</v>
      </c>
      <c r="C153" s="14" t="s">
        <v>306</v>
      </c>
      <c r="D153" s="14" t="s">
        <v>124</v>
      </c>
      <c r="E153" s="20" t="s">
        <v>72</v>
      </c>
      <c r="F153" s="20">
        <v>2024</v>
      </c>
      <c r="G153" s="40" t="s">
        <v>465</v>
      </c>
      <c r="H153" s="34" t="s">
        <v>41</v>
      </c>
      <c r="I153" s="34" t="s">
        <v>41</v>
      </c>
      <c r="J153" s="20" t="s">
        <v>41</v>
      </c>
      <c r="K153" s="88" t="s">
        <v>19</v>
      </c>
      <c r="L153" s="88" t="s">
        <v>125</v>
      </c>
    </row>
    <row r="154" spans="1:12" x14ac:dyDescent="0.2">
      <c r="B154" s="1" t="s">
        <v>87</v>
      </c>
      <c r="C154" s="1" t="s">
        <v>139</v>
      </c>
      <c r="D154" s="1" t="s">
        <v>138</v>
      </c>
      <c r="E154" s="16" t="s">
        <v>72</v>
      </c>
      <c r="F154" s="16">
        <v>2024</v>
      </c>
      <c r="G154" s="11" t="s">
        <v>315</v>
      </c>
      <c r="H154" s="16" t="s">
        <v>41</v>
      </c>
      <c r="I154" s="16" t="s">
        <v>41</v>
      </c>
      <c r="J154" s="16" t="s">
        <v>41</v>
      </c>
      <c r="K154" s="38" t="s">
        <v>19</v>
      </c>
    </row>
    <row r="155" spans="1:12" x14ac:dyDescent="0.2">
      <c r="B155" s="1" t="s">
        <v>87</v>
      </c>
      <c r="C155" s="1" t="s">
        <v>140</v>
      </c>
      <c r="D155" s="1" t="s">
        <v>147</v>
      </c>
      <c r="E155" s="16" t="s">
        <v>72</v>
      </c>
      <c r="F155" s="16">
        <v>2024</v>
      </c>
      <c r="G155" s="16" t="s">
        <v>316</v>
      </c>
      <c r="H155" s="16" t="s">
        <v>41</v>
      </c>
      <c r="I155" s="16" t="s">
        <v>41</v>
      </c>
      <c r="J155" s="16" t="s">
        <v>41</v>
      </c>
      <c r="K155" s="38" t="s">
        <v>19</v>
      </c>
    </row>
    <row r="156" spans="1:12" x14ac:dyDescent="0.2">
      <c r="B156" s="1" t="s">
        <v>87</v>
      </c>
      <c r="C156" s="1" t="s">
        <v>141</v>
      </c>
      <c r="D156" s="1" t="s">
        <v>146</v>
      </c>
      <c r="E156" s="16" t="s">
        <v>72</v>
      </c>
      <c r="F156" s="16">
        <v>2024</v>
      </c>
      <c r="G156" s="11" t="s">
        <v>317</v>
      </c>
      <c r="H156" s="16" t="s">
        <v>41</v>
      </c>
      <c r="I156" s="16" t="s">
        <v>41</v>
      </c>
      <c r="J156" s="16" t="s">
        <v>41</v>
      </c>
      <c r="K156" s="38" t="s">
        <v>19</v>
      </c>
    </row>
    <row r="157" spans="1:12" x14ac:dyDescent="0.2">
      <c r="B157" s="1" t="s">
        <v>87</v>
      </c>
      <c r="C157" s="1" t="s">
        <v>195</v>
      </c>
      <c r="D157" s="1" t="s">
        <v>149</v>
      </c>
      <c r="E157" s="16" t="s">
        <v>41</v>
      </c>
      <c r="F157" s="16">
        <v>2024</v>
      </c>
      <c r="G157" s="16" t="s">
        <v>357</v>
      </c>
      <c r="H157" s="16" t="s">
        <v>41</v>
      </c>
      <c r="I157" s="16" t="s">
        <v>41</v>
      </c>
      <c r="J157" s="16" t="s">
        <v>41</v>
      </c>
      <c r="K157" s="38" t="s">
        <v>19</v>
      </c>
      <c r="L157" s="38" t="s">
        <v>196</v>
      </c>
    </row>
    <row r="158" spans="1:12" x14ac:dyDescent="0.2">
      <c r="B158" s="1" t="s">
        <v>87</v>
      </c>
      <c r="C158" s="1" t="s">
        <v>158</v>
      </c>
      <c r="D158" s="1" t="s">
        <v>148</v>
      </c>
      <c r="E158" s="16" t="s">
        <v>72</v>
      </c>
      <c r="F158" s="16">
        <v>2024</v>
      </c>
      <c r="G158" s="16" t="s">
        <v>318</v>
      </c>
      <c r="H158" s="16" t="s">
        <v>41</v>
      </c>
      <c r="I158" s="16" t="s">
        <v>41</v>
      </c>
      <c r="J158" s="16" t="s">
        <v>41</v>
      </c>
      <c r="K158" s="38" t="s">
        <v>19</v>
      </c>
    </row>
    <row r="159" spans="1:12" x14ac:dyDescent="0.2">
      <c r="B159" s="1" t="s">
        <v>87</v>
      </c>
      <c r="C159" s="1" t="s">
        <v>157</v>
      </c>
      <c r="D159" s="1" t="s">
        <v>156</v>
      </c>
      <c r="E159" s="16" t="s">
        <v>72</v>
      </c>
      <c r="F159" s="16">
        <v>2024</v>
      </c>
      <c r="G159" s="11" t="s">
        <v>319</v>
      </c>
      <c r="H159" s="16" t="s">
        <v>41</v>
      </c>
      <c r="I159" s="16" t="s">
        <v>41</v>
      </c>
      <c r="J159" s="16" t="s">
        <v>41</v>
      </c>
      <c r="K159" s="38" t="s">
        <v>19</v>
      </c>
    </row>
    <row r="160" spans="1:12" x14ac:dyDescent="0.2">
      <c r="B160" s="1" t="s">
        <v>87</v>
      </c>
      <c r="C160" s="1" t="s">
        <v>164</v>
      </c>
      <c r="D160" s="1" t="s">
        <v>163</v>
      </c>
      <c r="E160" s="16" t="s">
        <v>72</v>
      </c>
      <c r="F160" s="16">
        <v>2024</v>
      </c>
      <c r="G160" s="9" t="s">
        <v>320</v>
      </c>
      <c r="H160" s="16" t="s">
        <v>41</v>
      </c>
      <c r="I160" s="16" t="s">
        <v>41</v>
      </c>
      <c r="J160" s="16" t="s">
        <v>41</v>
      </c>
      <c r="K160" s="38" t="s">
        <v>19</v>
      </c>
    </row>
    <row r="161" spans="1:13" s="14" customFormat="1" x14ac:dyDescent="0.2">
      <c r="A161" s="1"/>
      <c r="B161" s="14" t="s">
        <v>87</v>
      </c>
      <c r="C161" s="14" t="s">
        <v>309</v>
      </c>
      <c r="D161" s="14" t="s">
        <v>134</v>
      </c>
      <c r="E161" s="20" t="s">
        <v>41</v>
      </c>
      <c r="F161" s="20" t="s">
        <v>41</v>
      </c>
      <c r="G161" s="20" t="s">
        <v>314</v>
      </c>
      <c r="H161" s="20" t="s">
        <v>41</v>
      </c>
      <c r="I161" s="20" t="s">
        <v>41</v>
      </c>
      <c r="J161" s="20" t="s">
        <v>41</v>
      </c>
      <c r="K161" s="88" t="s">
        <v>19</v>
      </c>
    </row>
    <row r="162" spans="1:13" s="98" customFormat="1" ht="15" customHeight="1" x14ac:dyDescent="0.2">
      <c r="A162" s="89"/>
      <c r="B162" s="97" t="s">
        <v>87</v>
      </c>
      <c r="C162" s="98" t="s">
        <v>290</v>
      </c>
      <c r="D162" s="98" t="s">
        <v>291</v>
      </c>
      <c r="E162" s="99" t="s">
        <v>72</v>
      </c>
      <c r="F162" s="99">
        <v>2024</v>
      </c>
      <c r="G162" s="127" t="s">
        <v>468</v>
      </c>
      <c r="H162" s="99" t="s">
        <v>41</v>
      </c>
      <c r="I162" s="99" t="s">
        <v>41</v>
      </c>
      <c r="J162" s="99" t="s">
        <v>41</v>
      </c>
      <c r="K162" s="100" t="s">
        <v>19</v>
      </c>
    </row>
    <row r="163" spans="1:13" s="97" customFormat="1" x14ac:dyDescent="0.2">
      <c r="A163" s="1"/>
      <c r="B163" s="97" t="s">
        <v>87</v>
      </c>
      <c r="C163" s="97" t="s">
        <v>170</v>
      </c>
      <c r="D163" s="97" t="s">
        <v>169</v>
      </c>
      <c r="E163" s="99" t="s">
        <v>72</v>
      </c>
      <c r="F163" s="99">
        <v>2024</v>
      </c>
      <c r="G163" s="112" t="s">
        <v>461</v>
      </c>
      <c r="H163" s="99" t="s">
        <v>41</v>
      </c>
      <c r="I163" s="99" t="s">
        <v>41</v>
      </c>
      <c r="J163" s="99" t="s">
        <v>41</v>
      </c>
      <c r="K163" s="101" t="s">
        <v>19</v>
      </c>
      <c r="L163" s="101"/>
    </row>
    <row r="164" spans="1:13" x14ac:dyDescent="0.2">
      <c r="B164" s="1" t="s">
        <v>87</v>
      </c>
      <c r="C164" s="1" t="s">
        <v>302</v>
      </c>
      <c r="D164" s="1" t="s">
        <v>307</v>
      </c>
      <c r="E164" s="16" t="s">
        <v>72</v>
      </c>
      <c r="F164" s="16">
        <v>2024</v>
      </c>
      <c r="G164" s="9" t="s">
        <v>321</v>
      </c>
      <c r="H164" s="19" t="s">
        <v>41</v>
      </c>
      <c r="I164" s="19" t="s">
        <v>41</v>
      </c>
      <c r="J164" s="16" t="s">
        <v>41</v>
      </c>
      <c r="K164" s="1" t="s">
        <v>19</v>
      </c>
    </row>
    <row r="165" spans="1:13" s="14" customFormat="1" x14ac:dyDescent="0.2">
      <c r="A165" s="1"/>
      <c r="B165" s="14" t="s">
        <v>87</v>
      </c>
      <c r="C165" s="14" t="s">
        <v>303</v>
      </c>
      <c r="D165" s="14" t="s">
        <v>308</v>
      </c>
      <c r="E165" s="20" t="s">
        <v>72</v>
      </c>
      <c r="F165" s="20">
        <v>2024</v>
      </c>
      <c r="G165" s="40" t="s">
        <v>455</v>
      </c>
      <c r="H165" s="34" t="s">
        <v>41</v>
      </c>
      <c r="I165" s="34" t="s">
        <v>41</v>
      </c>
      <c r="J165" s="20" t="s">
        <v>41</v>
      </c>
      <c r="K165" s="14" t="s">
        <v>19</v>
      </c>
    </row>
    <row r="166" spans="1:13" x14ac:dyDescent="0.2">
      <c r="B166" s="1" t="s">
        <v>87</v>
      </c>
      <c r="C166" s="1" t="s">
        <v>187</v>
      </c>
      <c r="D166" s="1" t="s">
        <v>181</v>
      </c>
      <c r="E166" s="16" t="s">
        <v>72</v>
      </c>
      <c r="F166" s="16">
        <v>2024</v>
      </c>
      <c r="G166" s="9">
        <v>0</v>
      </c>
      <c r="H166" s="19" t="s">
        <v>41</v>
      </c>
      <c r="I166" s="19" t="s">
        <v>41</v>
      </c>
      <c r="J166" s="19" t="s">
        <v>41</v>
      </c>
      <c r="K166" s="55" t="s">
        <v>19</v>
      </c>
    </row>
    <row r="167" spans="1:13" x14ac:dyDescent="0.2">
      <c r="B167" s="1" t="s">
        <v>87</v>
      </c>
      <c r="C167" s="1" t="s">
        <v>193</v>
      </c>
      <c r="D167" s="1" t="s">
        <v>44</v>
      </c>
      <c r="E167" s="16" t="s">
        <v>72</v>
      </c>
      <c r="F167" s="16">
        <v>2024</v>
      </c>
      <c r="G167" s="9">
        <v>0</v>
      </c>
      <c r="H167" s="19" t="s">
        <v>41</v>
      </c>
      <c r="I167" s="19" t="s">
        <v>41</v>
      </c>
      <c r="J167" s="19" t="s">
        <v>41</v>
      </c>
      <c r="K167" s="55" t="s">
        <v>19</v>
      </c>
    </row>
    <row r="168" spans="1:13" x14ac:dyDescent="0.2">
      <c r="B168" s="1" t="s">
        <v>87</v>
      </c>
      <c r="C168" s="1" t="s">
        <v>323</v>
      </c>
      <c r="D168" s="1" t="s">
        <v>521</v>
      </c>
      <c r="E168" s="16" t="s">
        <v>41</v>
      </c>
      <c r="F168" s="16" t="s">
        <v>41</v>
      </c>
      <c r="G168" s="16" t="s">
        <v>573</v>
      </c>
      <c r="H168" s="19" t="s">
        <v>41</v>
      </c>
      <c r="I168" s="19" t="s">
        <v>41</v>
      </c>
      <c r="J168" s="19" t="s">
        <v>41</v>
      </c>
      <c r="K168" s="55" t="s">
        <v>19</v>
      </c>
    </row>
    <row r="169" spans="1:13" x14ac:dyDescent="0.2">
      <c r="B169" s="1" t="s">
        <v>87</v>
      </c>
      <c r="C169" s="1" t="s">
        <v>546</v>
      </c>
      <c r="D169" s="1" t="s">
        <v>547</v>
      </c>
      <c r="E169" s="16" t="s">
        <v>41</v>
      </c>
      <c r="F169" s="16" t="s">
        <v>41</v>
      </c>
      <c r="G169" s="9" t="s">
        <v>602</v>
      </c>
      <c r="H169" s="16" t="s">
        <v>41</v>
      </c>
      <c r="I169" s="16" t="s">
        <v>41</v>
      </c>
      <c r="J169" s="16" t="s">
        <v>41</v>
      </c>
      <c r="K169" s="1" t="s">
        <v>13</v>
      </c>
      <c r="L169" s="91"/>
      <c r="M169" s="91"/>
    </row>
    <row r="170" spans="1:13" x14ac:dyDescent="0.2">
      <c r="B170" s="1" t="s">
        <v>87</v>
      </c>
      <c r="C170" s="1" t="s">
        <v>515</v>
      </c>
      <c r="D170" s="1" t="s">
        <v>534</v>
      </c>
      <c r="E170" s="16" t="s">
        <v>41</v>
      </c>
      <c r="F170" s="16" t="s">
        <v>41</v>
      </c>
      <c r="G170" s="18" t="s">
        <v>572</v>
      </c>
      <c r="H170" s="9" t="s">
        <v>41</v>
      </c>
      <c r="I170" s="9" t="s">
        <v>41</v>
      </c>
      <c r="J170" s="9" t="s">
        <v>41</v>
      </c>
      <c r="K170" s="1" t="s">
        <v>43</v>
      </c>
      <c r="M170" s="91"/>
    </row>
    <row r="171" spans="1:13" x14ac:dyDescent="0.2">
      <c r="B171" s="1" t="s">
        <v>87</v>
      </c>
      <c r="C171" s="1" t="s">
        <v>516</v>
      </c>
      <c r="D171" s="1" t="s">
        <v>535</v>
      </c>
      <c r="E171" s="16" t="s">
        <v>41</v>
      </c>
      <c r="F171" s="16" t="s">
        <v>41</v>
      </c>
      <c r="G171" s="18" t="s">
        <v>574</v>
      </c>
      <c r="H171" s="9" t="s">
        <v>41</v>
      </c>
      <c r="I171" s="9" t="s">
        <v>41</v>
      </c>
      <c r="J171" s="9" t="s">
        <v>41</v>
      </c>
      <c r="K171" s="1" t="s">
        <v>43</v>
      </c>
      <c r="M171" s="91"/>
    </row>
    <row r="172" spans="1:13" x14ac:dyDescent="0.2">
      <c r="B172" s="1" t="s">
        <v>87</v>
      </c>
      <c r="C172" s="1" t="s">
        <v>324</v>
      </c>
      <c r="D172" s="1" t="s">
        <v>522</v>
      </c>
      <c r="E172" s="16" t="s">
        <v>41</v>
      </c>
      <c r="F172" s="16" t="s">
        <v>41</v>
      </c>
      <c r="G172" s="16" t="s">
        <v>523</v>
      </c>
      <c r="H172" s="19" t="s">
        <v>41</v>
      </c>
      <c r="I172" s="19" t="s">
        <v>41</v>
      </c>
      <c r="J172" s="19" t="s">
        <v>41</v>
      </c>
      <c r="K172" s="55" t="s">
        <v>19</v>
      </c>
    </row>
    <row r="173" spans="1:13" x14ac:dyDescent="0.2">
      <c r="B173" s="1" t="s">
        <v>87</v>
      </c>
      <c r="C173" s="1" t="s">
        <v>328</v>
      </c>
      <c r="D173" s="1" t="s">
        <v>44</v>
      </c>
      <c r="E173" s="16" t="s">
        <v>41</v>
      </c>
      <c r="F173" s="16" t="s">
        <v>41</v>
      </c>
      <c r="G173" s="9" t="s">
        <v>326</v>
      </c>
      <c r="H173" s="19" t="s">
        <v>41</v>
      </c>
      <c r="I173" s="19" t="s">
        <v>41</v>
      </c>
      <c r="J173" s="19" t="s">
        <v>41</v>
      </c>
      <c r="K173" s="55" t="s">
        <v>19</v>
      </c>
    </row>
    <row r="174" spans="1:13" x14ac:dyDescent="0.2">
      <c r="B174" s="1" t="s">
        <v>87</v>
      </c>
      <c r="C174" s="1" t="s">
        <v>327</v>
      </c>
      <c r="D174" s="1" t="s">
        <v>44</v>
      </c>
      <c r="E174" s="16" t="s">
        <v>41</v>
      </c>
      <c r="F174" s="16" t="s">
        <v>41</v>
      </c>
      <c r="G174" s="9" t="s">
        <v>325</v>
      </c>
      <c r="H174" s="19" t="s">
        <v>41</v>
      </c>
      <c r="I174" s="19" t="s">
        <v>41</v>
      </c>
      <c r="J174" s="19" t="s">
        <v>41</v>
      </c>
      <c r="K174" s="55" t="s">
        <v>19</v>
      </c>
    </row>
    <row r="175" spans="1:13" x14ac:dyDescent="0.2">
      <c r="B175" s="1" t="s">
        <v>87</v>
      </c>
      <c r="C175" s="1" t="s">
        <v>188</v>
      </c>
      <c r="D175" s="1" t="s">
        <v>29</v>
      </c>
      <c r="E175" s="16" t="s">
        <v>41</v>
      </c>
      <c r="F175" s="16" t="s">
        <v>41</v>
      </c>
      <c r="G175" s="9">
        <v>0</v>
      </c>
      <c r="H175" s="19" t="s">
        <v>41</v>
      </c>
      <c r="I175" s="19" t="s">
        <v>41</v>
      </c>
      <c r="J175" s="19" t="s">
        <v>41</v>
      </c>
      <c r="K175" s="55" t="s">
        <v>19</v>
      </c>
    </row>
    <row r="176" spans="1:13" x14ac:dyDescent="0.2">
      <c r="B176" s="1" t="s">
        <v>87</v>
      </c>
      <c r="C176" s="1" t="s">
        <v>189</v>
      </c>
      <c r="D176" s="1" t="s">
        <v>30</v>
      </c>
      <c r="E176" s="16" t="s">
        <v>41</v>
      </c>
      <c r="F176" s="16" t="s">
        <v>41</v>
      </c>
      <c r="G176" s="19" t="s">
        <v>467</v>
      </c>
      <c r="H176" s="19" t="s">
        <v>41</v>
      </c>
      <c r="I176" s="19" t="s">
        <v>41</v>
      </c>
      <c r="J176" s="18" t="s">
        <v>41</v>
      </c>
      <c r="K176" s="102" t="s">
        <v>19</v>
      </c>
      <c r="L176" s="102"/>
    </row>
    <row r="177" spans="1:12" x14ac:dyDescent="0.2">
      <c r="B177" s="1" t="s">
        <v>87</v>
      </c>
      <c r="C177" s="1" t="s">
        <v>190</v>
      </c>
      <c r="D177" s="1" t="s">
        <v>31</v>
      </c>
      <c r="E177" s="16" t="s">
        <v>41</v>
      </c>
      <c r="F177" s="16" t="s">
        <v>41</v>
      </c>
      <c r="G177" s="9">
        <v>0</v>
      </c>
      <c r="H177" s="19" t="s">
        <v>41</v>
      </c>
      <c r="I177" s="19" t="s">
        <v>41</v>
      </c>
      <c r="J177" s="18" t="s">
        <v>41</v>
      </c>
      <c r="K177" s="102" t="s">
        <v>19</v>
      </c>
    </row>
    <row r="178" spans="1:12" x14ac:dyDescent="0.2">
      <c r="B178" s="1" t="s">
        <v>87</v>
      </c>
      <c r="C178" s="1" t="s">
        <v>191</v>
      </c>
      <c r="D178" s="1" t="s">
        <v>32</v>
      </c>
      <c r="E178" s="16" t="s">
        <v>41</v>
      </c>
      <c r="F178" s="16" t="s">
        <v>41</v>
      </c>
      <c r="G178" s="19" t="s">
        <v>466</v>
      </c>
      <c r="H178" s="19" t="s">
        <v>41</v>
      </c>
      <c r="I178" s="19" t="s">
        <v>41</v>
      </c>
      <c r="J178" s="18" t="s">
        <v>41</v>
      </c>
      <c r="K178" s="103" t="s">
        <v>19</v>
      </c>
      <c r="L178" s="103"/>
    </row>
    <row r="179" spans="1:12" s="14" customFormat="1" x14ac:dyDescent="0.2">
      <c r="A179" s="1"/>
      <c r="B179" s="14" t="s">
        <v>87</v>
      </c>
      <c r="C179" s="14" t="s">
        <v>194</v>
      </c>
      <c r="D179" s="14" t="s">
        <v>192</v>
      </c>
      <c r="E179" s="20" t="s">
        <v>41</v>
      </c>
      <c r="F179" s="20" t="s">
        <v>41</v>
      </c>
      <c r="G179" s="40" t="s">
        <v>51</v>
      </c>
      <c r="H179" s="34" t="s">
        <v>41</v>
      </c>
      <c r="I179" s="34" t="s">
        <v>41</v>
      </c>
      <c r="J179" s="87" t="s">
        <v>41</v>
      </c>
      <c r="K179" s="121" t="s">
        <v>19</v>
      </c>
      <c r="L179" s="121"/>
    </row>
  </sheetData>
  <hyperlinks>
    <hyperlink ref="K13" r:id="rId1" xr:uid="{FD7AD3CE-2010-1548-8773-4334E935873D}"/>
    <hyperlink ref="K14" r:id="rId2" xr:uid="{AAEC7152-B72C-204A-82AD-AF3B359BC308}"/>
    <hyperlink ref="K21" r:id="rId3" display="https://pubmed.ncbi.nlm.nih.gov/37321235/" xr:uid="{66261750-C362-6746-828E-228644B08436}"/>
    <hyperlink ref="K34" r:id="rId4" display="https://pubmed.ncbi.nlm.nih.gov/30007303/" xr:uid="{0ECFDDB9-D3B1-714F-B5C8-3A3A7B47985E}"/>
    <hyperlink ref="K15" r:id="rId5" display="https://pmc.ncbi.nlm.nih.gov/articles/PMC7100975/" xr:uid="{E13E83E0-6EF9-164E-891B-D432949C3572}"/>
    <hyperlink ref="K11" r:id="rId6" display="https://pmc.ncbi.nlm.nih.gov/articles/PMC7510706/" xr:uid="{4E50376E-DB15-8D40-80C4-C06518F33A28}"/>
    <hyperlink ref="K36" r:id="rId7" display="Santos M, et al. 2021" xr:uid="{EA8EA5F0-1850-2440-B3CC-BE7D63443F72}"/>
    <hyperlink ref="K24" r:id="rId8" xr:uid="{A538F768-AFA5-F644-8270-3598DD85DD10}"/>
    <hyperlink ref="K25" r:id="rId9" xr:uid="{F490E0E9-6F8C-C447-9B51-225C99A247CF}"/>
    <hyperlink ref="K40" r:id="rId10" xr:uid="{0F98D078-90D5-174C-9036-54C756B28E2C}"/>
    <hyperlink ref="K54" r:id="rId11" xr:uid="{E4404A8F-73F6-1441-A59D-1C5ECDA5D8BD}"/>
    <hyperlink ref="K150" r:id="rId12" display="de Andrade, et al. 2022" xr:uid="{13B12211-F95C-094A-AC64-541C3763901A}"/>
    <hyperlink ref="K176" r:id="rId13" display="https://onlinelibrary.wiley.com/doi/pdf/10.1111/tmi.13810" xr:uid="{F9F2628E-59ED-924A-8B74-30A393734C2D}"/>
    <hyperlink ref="K87" r:id="rId14" location="T1" xr:uid="{C91D9658-6ABD-4147-A47C-429AB2C2935A}"/>
    <hyperlink ref="K86" r:id="rId15" xr:uid="{05DA7E6A-1719-9549-AC6F-D634BC7222E0}"/>
    <hyperlink ref="K88" r:id="rId16" location="T1" display="https://gh.bmj.com/content/9/12/e016648 - T1" xr:uid="{290E205D-20A6-4640-A485-2AE617F0949A}"/>
    <hyperlink ref="K95" r:id="rId17" location="T1" display="https://gh.bmj.com/content/9/12/e016648 - T1" xr:uid="{20948A76-327E-E849-BBB5-1384A4EA65EA}"/>
    <hyperlink ref="K96" r:id="rId18" location="T1" display="https://gh.bmj.com/content/9/12/e016648 - T1" xr:uid="{F134FD99-50CE-FD48-A255-15F1C4F3ABBE}"/>
    <hyperlink ref="K89" r:id="rId19" location="T1" display="https://gh.bmj.com/content/9/12/e016648 - T1" xr:uid="{058BABBF-67EC-3E42-8F38-203D99F47F10}"/>
    <hyperlink ref="K97" r:id="rId20" location="T1" display="https://gh.bmj.com/content/9/12/e016648 - T1" xr:uid="{86F6F3EB-C367-0D4E-9CA0-BE654BD51CFD}"/>
    <hyperlink ref="K98" r:id="rId21" location="T1" display="https://gh.bmj.com/content/9/12/e016648 - T1" xr:uid="{C46D19B1-359E-DF4B-A004-2D347794FF29}"/>
    <hyperlink ref="K177" r:id="rId22" display="WHO-CHOICE" xr:uid="{A7351C1C-B3D0-B445-BDEE-F5FA283FAC2C}"/>
    <hyperlink ref="K16" r:id="rId23" xr:uid="{E63E3734-00D8-0347-8484-E4688EA0E55D}"/>
    <hyperlink ref="K51" r:id="rId24" xr:uid="{DE23EE88-24C8-474B-A15A-A0F349FBCCCE}"/>
    <hyperlink ref="K52" r:id="rId25" xr:uid="{08D18822-D1B5-2D41-A9C6-36078AF2E00F}"/>
    <hyperlink ref="K56" r:id="rId26" xr:uid="{A43AA2FC-3265-264C-8F77-EE77EE79A099}"/>
    <hyperlink ref="K57" r:id="rId27" xr:uid="{175038AE-3908-BF4A-BBD2-7E0106B15A19}"/>
    <hyperlink ref="K60" r:id="rId28" xr:uid="{396015A5-4F0E-0447-B715-896E20B7E068}"/>
    <hyperlink ref="K63" r:id="rId29" xr:uid="{AEE50F4D-76C6-934F-95F0-72BC8E46FEE1}"/>
    <hyperlink ref="K66" r:id="rId30" xr:uid="{8B0DDFC3-B39C-3145-AED5-DF262B7C94F3}"/>
    <hyperlink ref="K67" r:id="rId31" xr:uid="{B2A38D56-A8AB-8E47-B6CF-7FD604291681}"/>
    <hyperlink ref="K68" r:id="rId32" xr:uid="{9A56B8B3-8EF6-4043-8138-FC5519E356B4}"/>
    <hyperlink ref="K69" r:id="rId33" xr:uid="{44F69AC8-6C54-6D4E-868B-D55D759647D6}"/>
    <hyperlink ref="K64" r:id="rId34" xr:uid="{6408BCD8-E0C7-C646-B842-BB0C7C34BFEB}"/>
    <hyperlink ref="K65" r:id="rId35" xr:uid="{E332246E-DC02-7647-BC73-1B87A4A425E4}"/>
    <hyperlink ref="K71" r:id="rId36" xr:uid="{C05396B3-BA31-C345-80F5-DADEF601B904}"/>
    <hyperlink ref="K74:K77" r:id="rId37" display="Gonçalves, et al. 2024" xr:uid="{7D256838-8E6E-B74B-88BC-CC2224979AC8}"/>
    <hyperlink ref="K79" r:id="rId38" xr:uid="{65AC8C47-B912-4241-A0C6-78051B2ADDB3}"/>
    <hyperlink ref="K82" r:id="rId39" xr:uid="{DA996AAC-7056-6045-BB84-F9A258949E30}"/>
    <hyperlink ref="K83" r:id="rId40" xr:uid="{7DF5D0AE-C36A-774E-B439-C799CE346459}"/>
    <hyperlink ref="K84" r:id="rId41" xr:uid="{A166ECA9-5C40-A34E-B54B-CFC40AD17222}"/>
    <hyperlink ref="K163" r:id="rId42" display="https://assets-eu.researchsquare.com/files/rs-1612317/v1/6ea04974-c218-4eb1-b1e9-aee9c6f753af.pdf?c=1697480328" xr:uid="{E32C0F2B-EBD1-644C-80C8-2829DFCE475A}"/>
    <hyperlink ref="K93" r:id="rId43" xr:uid="{6080E997-3759-ED47-A58B-913434AE2B3F}"/>
    <hyperlink ref="K92" r:id="rId44" xr:uid="{6C8C5A53-580B-5C4C-AC91-E4A89D8BB6A4}"/>
    <hyperlink ref="K178" r:id="rId45" display="Gonçalves, et al. 2024" xr:uid="{CB44FBC8-4D63-DA43-8719-FD987B5B3015}"/>
    <hyperlink ref="K166:K175" r:id="rId46" display="https://assets-eu.researchsquare.com/files/rs-1612317/v1/6ea04974-c218-4eb1-b1e9-aee9c6f753af.pdf?c=1697480328" xr:uid="{74579A78-BAE2-354C-A156-B5C595813C60}"/>
    <hyperlink ref="K167" r:id="rId47" display="https://assets-eu.researchsquare.com/files/rs-1612317/v1/6ea04974-c218-4eb1-b1e9-aee9c6f753af.pdf?c=1697480328" xr:uid="{888E6AC5-FC00-E640-871E-B33A15836418}"/>
    <hyperlink ref="K7" r:id="rId48" xr:uid="{6D1BBA47-7337-7441-A51A-07D82447CB33}"/>
    <hyperlink ref="K90" r:id="rId49" xr:uid="{BB319C70-7247-744E-8387-0074B4422202}"/>
    <hyperlink ref="K20" r:id="rId50" display="https://pubmed.ncbi.nlm.nih.gov/37321235/" xr:uid="{C6E2055D-1699-F449-A818-1F4D2DC2F040}"/>
    <hyperlink ref="K22" r:id="rId51" xr:uid="{FC4DA1B6-6757-2447-A26E-E81B905B8036}"/>
    <hyperlink ref="L41" r:id="rId52" xr:uid="{D71DE9C9-EA60-A146-BE55-A474E147FE89}"/>
    <hyperlink ref="K26" r:id="rId53" xr:uid="{4E7E6BA3-CB64-E142-A1D0-0DA16566C06F}"/>
    <hyperlink ref="K27" r:id="rId54" xr:uid="{71A2C5FE-C175-6E4C-B394-961A75650AB8}"/>
    <hyperlink ref="K58" r:id="rId55" xr:uid="{8C32E4AA-3510-CC47-B553-92BD195F6879}"/>
    <hyperlink ref="K113" r:id="rId56" display="https://academic.oup.com/book/12265/chapter-abstract/317026498?redirectedFrom=fulltext" xr:uid="{B702FA2A-D1AD-5747-8043-6210D160D29C}"/>
    <hyperlink ref="L18" r:id="rId57" xr:uid="{B538EFC9-0EDA-3F4E-B3EF-1522F3DF2879}"/>
    <hyperlink ref="L19" r:id="rId58" xr:uid="{A128FFAB-00DA-734E-9A72-61B62B9E6899}"/>
    <hyperlink ref="L55" r:id="rId59" xr:uid="{B3721051-77D7-AA49-9650-7B155B41B868}"/>
    <hyperlink ref="M46" r:id="rId60" display="Sarmento T, et al. 2022" xr:uid="{A0A0650B-0D95-A645-8A41-30A23B133FAF}"/>
    <hyperlink ref="M47" r:id="rId61" display="Sarmento T, et al. 2022" xr:uid="{27D5CE73-2E2E-794B-952A-D611E55E1A47}"/>
    <hyperlink ref="K168" r:id="rId62" display="https://assets-eu.researchsquare.com/files/rs-1612317/v1/6ea04974-c218-4eb1-b1e9-aee9c6f753af.pdf?c=1697480328" xr:uid="{EC3338D5-2739-6942-A1CF-FD4CC4A285DC}"/>
    <hyperlink ref="K172" r:id="rId63" display="https://assets-eu.researchsquare.com/files/rs-1612317/v1/6ea04974-c218-4eb1-b1e9-aee9c6f753af.pdf?c=1697480328" xr:uid="{70B2CE46-F052-6642-90EE-A411CB70EE63}"/>
    <hyperlink ref="K48" r:id="rId64" xr:uid="{CE25B51B-990C-7540-8500-FC3C6A3DB65F}"/>
    <hyperlink ref="K49" r:id="rId65" xr:uid="{20164A1A-759B-6847-AF90-C536D187186D}"/>
    <hyperlink ref="L42" r:id="rId66" xr:uid="{88ED66C3-1099-F848-81E1-91AD5A32F8E0}"/>
    <hyperlink ref="M115" r:id="rId67" xr:uid="{794A9981-E5CB-C849-918D-D0ACFC6366CD}"/>
  </hyperlink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E526-2635-CE44-AB5E-CB6BDECDA741}">
  <dimension ref="A1:F2335"/>
  <sheetViews>
    <sheetView topLeftCell="A184" workbookViewId="0">
      <selection activeCell="D197" sqref="D197"/>
    </sheetView>
  </sheetViews>
  <sheetFormatPr baseColWidth="10" defaultColWidth="8.83203125" defaultRowHeight="16" x14ac:dyDescent="0.2"/>
  <cols>
    <col min="1" max="1" width="53.83203125" customWidth="1"/>
    <col min="2" max="2" width="45.1640625" customWidth="1"/>
    <col min="3" max="3" width="55" customWidth="1"/>
  </cols>
  <sheetData>
    <row r="1" spans="1:6" x14ac:dyDescent="0.2">
      <c r="A1" s="213" t="s">
        <v>639</v>
      </c>
      <c r="B1" s="213" t="s">
        <v>640</v>
      </c>
      <c r="C1" s="214" t="s">
        <v>641</v>
      </c>
      <c r="D1" s="214" t="s">
        <v>642</v>
      </c>
      <c r="E1" s="214" t="s">
        <v>151</v>
      </c>
      <c r="F1" s="214" t="s">
        <v>150</v>
      </c>
    </row>
    <row r="2" spans="1:6" ht="32" x14ac:dyDescent="0.2">
      <c r="A2" s="215" t="s">
        <v>643</v>
      </c>
      <c r="B2" s="216" t="s">
        <v>644</v>
      </c>
      <c r="C2" s="217" t="s">
        <v>645</v>
      </c>
      <c r="D2" s="218">
        <v>0.40845920429999899</v>
      </c>
      <c r="E2" s="219">
        <v>0.27357894249999998</v>
      </c>
      <c r="F2" s="220">
        <v>0.54946450499999999</v>
      </c>
    </row>
    <row r="3" spans="1:6" x14ac:dyDescent="0.2">
      <c r="A3" t="s">
        <v>646</v>
      </c>
      <c r="B3" t="s">
        <v>647</v>
      </c>
      <c r="C3" t="s">
        <v>648</v>
      </c>
      <c r="D3">
        <v>0.41069636034036</v>
      </c>
      <c r="E3">
        <v>0.27806277030604898</v>
      </c>
      <c r="F3">
        <v>0.55068573930158304</v>
      </c>
    </row>
    <row r="4" spans="1:6" x14ac:dyDescent="0.2">
      <c r="A4" t="s">
        <v>649</v>
      </c>
      <c r="B4" t="s">
        <v>650</v>
      </c>
      <c r="C4" t="s">
        <v>648</v>
      </c>
      <c r="D4">
        <v>0.43866320998543701</v>
      </c>
      <c r="E4">
        <v>0.30654567321234999</v>
      </c>
      <c r="F4">
        <v>0.57724936794849202</v>
      </c>
    </row>
    <row r="5" spans="1:6" x14ac:dyDescent="0.2">
      <c r="A5" t="s">
        <v>651</v>
      </c>
      <c r="B5" t="s">
        <v>652</v>
      </c>
      <c r="C5" t="s">
        <v>648</v>
      </c>
      <c r="D5">
        <v>0.49482700365224902</v>
      </c>
      <c r="E5">
        <v>0.35294456669518398</v>
      </c>
      <c r="F5">
        <v>0.64020241358095098</v>
      </c>
    </row>
    <row r="6" spans="1:6" x14ac:dyDescent="0.2">
      <c r="A6" t="s">
        <v>653</v>
      </c>
      <c r="B6" t="s">
        <v>644</v>
      </c>
      <c r="C6" t="s">
        <v>645</v>
      </c>
      <c r="D6">
        <v>0.40845920429999899</v>
      </c>
      <c r="E6">
        <v>0.27357894249999998</v>
      </c>
      <c r="F6">
        <v>0.54946450499999999</v>
      </c>
    </row>
    <row r="7" spans="1:6" x14ac:dyDescent="0.2">
      <c r="A7" t="s">
        <v>654</v>
      </c>
      <c r="B7" t="s">
        <v>647</v>
      </c>
      <c r="C7" t="s">
        <v>648</v>
      </c>
      <c r="D7">
        <v>0.41069636034036</v>
      </c>
      <c r="E7">
        <v>0.27806277030604898</v>
      </c>
      <c r="F7">
        <v>0.55068573930158304</v>
      </c>
    </row>
    <row r="8" spans="1:6" x14ac:dyDescent="0.2">
      <c r="A8" t="s">
        <v>655</v>
      </c>
      <c r="B8" t="s">
        <v>650</v>
      </c>
      <c r="C8" t="s">
        <v>648</v>
      </c>
      <c r="D8">
        <v>0.43866320998543701</v>
      </c>
      <c r="E8">
        <v>0.30654567321234999</v>
      </c>
      <c r="F8">
        <v>0.57724936794849202</v>
      </c>
    </row>
    <row r="9" spans="1:6" x14ac:dyDescent="0.2">
      <c r="A9" t="s">
        <v>656</v>
      </c>
      <c r="B9" t="s">
        <v>652</v>
      </c>
      <c r="C9" t="s">
        <v>648</v>
      </c>
      <c r="D9">
        <v>0.49482700365224902</v>
      </c>
      <c r="E9">
        <v>0.35294456669518398</v>
      </c>
      <c r="F9">
        <v>0.64020241358095098</v>
      </c>
    </row>
    <row r="10" spans="1:6" x14ac:dyDescent="0.2">
      <c r="A10" t="s">
        <v>657</v>
      </c>
      <c r="B10" t="s">
        <v>644</v>
      </c>
      <c r="C10" t="s">
        <v>645</v>
      </c>
      <c r="D10">
        <v>0.40845920429999899</v>
      </c>
      <c r="E10">
        <v>0.27357894249999998</v>
      </c>
      <c r="F10">
        <v>0.54946450499999999</v>
      </c>
    </row>
    <row r="11" spans="1:6" x14ac:dyDescent="0.2">
      <c r="A11" t="s">
        <v>658</v>
      </c>
      <c r="B11" t="s">
        <v>647</v>
      </c>
      <c r="C11" t="s">
        <v>648</v>
      </c>
      <c r="D11">
        <v>0.41069636034036</v>
      </c>
      <c r="E11">
        <v>0.27806277030604898</v>
      </c>
      <c r="F11">
        <v>0.55068573930158304</v>
      </c>
    </row>
    <row r="12" spans="1:6" x14ac:dyDescent="0.2">
      <c r="A12" t="s">
        <v>659</v>
      </c>
      <c r="B12" t="s">
        <v>650</v>
      </c>
      <c r="C12" t="s">
        <v>648</v>
      </c>
      <c r="D12">
        <v>0.43866320998543701</v>
      </c>
      <c r="E12">
        <v>0.30654567321234999</v>
      </c>
      <c r="F12">
        <v>0.57724936794849202</v>
      </c>
    </row>
    <row r="13" spans="1:6" x14ac:dyDescent="0.2">
      <c r="A13" t="s">
        <v>660</v>
      </c>
      <c r="B13" t="s">
        <v>652</v>
      </c>
      <c r="C13" t="s">
        <v>648</v>
      </c>
      <c r="D13">
        <v>0.49482700365224902</v>
      </c>
      <c r="E13">
        <v>0.35294456669518398</v>
      </c>
      <c r="F13">
        <v>0.64020241358095098</v>
      </c>
    </row>
    <row r="14" spans="1:6" x14ac:dyDescent="0.2">
      <c r="A14" t="s">
        <v>661</v>
      </c>
      <c r="B14" t="s">
        <v>662</v>
      </c>
      <c r="C14" t="s">
        <v>663</v>
      </c>
      <c r="D14">
        <v>0.27447870489999998</v>
      </c>
      <c r="E14">
        <v>0.18435854499999901</v>
      </c>
      <c r="F14">
        <v>0.37709576249999999</v>
      </c>
    </row>
    <row r="15" spans="1:6" x14ac:dyDescent="0.2">
      <c r="A15" t="s">
        <v>664</v>
      </c>
      <c r="B15" t="s">
        <v>665</v>
      </c>
      <c r="C15" t="s">
        <v>666</v>
      </c>
      <c r="D15">
        <v>0.58159008999999995</v>
      </c>
      <c r="E15">
        <v>0.4055435</v>
      </c>
      <c r="F15">
        <v>0.74260550250000001</v>
      </c>
    </row>
    <row r="16" spans="1:6" x14ac:dyDescent="0.2">
      <c r="A16" t="s">
        <v>667</v>
      </c>
      <c r="B16" t="s">
        <v>668</v>
      </c>
      <c r="C16" t="s">
        <v>669</v>
      </c>
      <c r="D16">
        <v>1.24408307999999E-2</v>
      </c>
      <c r="E16">
        <v>6.1947475000000002E-3</v>
      </c>
      <c r="F16">
        <v>2.2708942499999999E-2</v>
      </c>
    </row>
    <row r="17" spans="1:6" x14ac:dyDescent="0.2">
      <c r="A17" t="s">
        <v>670</v>
      </c>
      <c r="B17" t="s">
        <v>671</v>
      </c>
      <c r="D17">
        <v>1.60833307242591E-2</v>
      </c>
      <c r="E17">
        <v>7.5953950137811503E-3</v>
      </c>
      <c r="F17">
        <v>3.0998712879199499E-2</v>
      </c>
    </row>
    <row r="18" spans="1:6" x14ac:dyDescent="0.2">
      <c r="A18" t="s">
        <v>672</v>
      </c>
      <c r="B18" t="s">
        <v>673</v>
      </c>
      <c r="D18">
        <v>6.3305862468731003E-2</v>
      </c>
      <c r="E18">
        <v>3.9980344684223498E-2</v>
      </c>
      <c r="F18">
        <v>9.4802634065244903E-2</v>
      </c>
    </row>
    <row r="19" spans="1:6" x14ac:dyDescent="0.2">
      <c r="A19" t="s">
        <v>674</v>
      </c>
      <c r="B19" t="s">
        <v>675</v>
      </c>
      <c r="D19">
        <v>0.15932514528590999</v>
      </c>
      <c r="E19">
        <v>0.10850395436709399</v>
      </c>
      <c r="F19">
        <v>0.22044928265000199</v>
      </c>
    </row>
    <row r="20" spans="1:6" x14ac:dyDescent="0.2">
      <c r="A20" t="s">
        <v>676</v>
      </c>
      <c r="B20" t="s">
        <v>677</v>
      </c>
      <c r="C20" t="s">
        <v>648</v>
      </c>
      <c r="D20">
        <v>0.27718121817781199</v>
      </c>
      <c r="E20">
        <v>0.188503300832356</v>
      </c>
      <c r="F20">
        <v>0.37914754894346903</v>
      </c>
    </row>
    <row r="21" spans="1:6" x14ac:dyDescent="0.2">
      <c r="A21" t="s">
        <v>678</v>
      </c>
      <c r="B21" t="s">
        <v>679</v>
      </c>
      <c r="C21" t="s">
        <v>648</v>
      </c>
      <c r="D21">
        <v>0.31158531850967103</v>
      </c>
      <c r="E21">
        <v>0.21665628873092099</v>
      </c>
      <c r="F21">
        <v>0.41803402362325198</v>
      </c>
    </row>
    <row r="22" spans="1:6" x14ac:dyDescent="0.2">
      <c r="A22" t="s">
        <v>680</v>
      </c>
      <c r="B22" t="s">
        <v>681</v>
      </c>
      <c r="C22" t="s">
        <v>648</v>
      </c>
      <c r="D22">
        <v>0.38114762405040398</v>
      </c>
      <c r="E22">
        <v>0.26857990585767499</v>
      </c>
      <c r="F22">
        <v>0.50458202537932995</v>
      </c>
    </row>
    <row r="23" spans="1:6" x14ac:dyDescent="0.2">
      <c r="A23" t="s">
        <v>682</v>
      </c>
      <c r="B23" t="s">
        <v>683</v>
      </c>
      <c r="C23" t="s">
        <v>648</v>
      </c>
      <c r="D23">
        <v>0.58321626696497497</v>
      </c>
      <c r="E23">
        <v>0.40917473821748002</v>
      </c>
      <c r="F23">
        <v>0.74297647003911105</v>
      </c>
    </row>
    <row r="24" spans="1:6" x14ac:dyDescent="0.2">
      <c r="A24" t="s">
        <v>684</v>
      </c>
      <c r="B24" t="s">
        <v>685</v>
      </c>
      <c r="C24" t="s">
        <v>648</v>
      </c>
      <c r="D24">
        <v>0.60291260952461101</v>
      </c>
      <c r="E24">
        <v>0.43024704008973802</v>
      </c>
      <c r="F24">
        <v>0.75831273562561297</v>
      </c>
    </row>
    <row r="25" spans="1:6" x14ac:dyDescent="0.2">
      <c r="A25" t="s">
        <v>686</v>
      </c>
      <c r="B25" t="s">
        <v>687</v>
      </c>
      <c r="C25" t="s">
        <v>648</v>
      </c>
      <c r="D25">
        <v>0.64201905045320695</v>
      </c>
      <c r="E25">
        <v>0.47004963415107098</v>
      </c>
      <c r="F25">
        <v>0.79216009372961504</v>
      </c>
    </row>
    <row r="26" spans="1:6" x14ac:dyDescent="0.2">
      <c r="A26" t="s">
        <v>688</v>
      </c>
      <c r="B26" t="s">
        <v>689</v>
      </c>
      <c r="C26" t="s">
        <v>690</v>
      </c>
      <c r="D26">
        <v>7.8017329199999999E-2</v>
      </c>
      <c r="E26">
        <v>5.2124289999999997E-2</v>
      </c>
      <c r="F26">
        <v>0.111066657499999</v>
      </c>
    </row>
    <row r="27" spans="1:6" x14ac:dyDescent="0.2">
      <c r="A27" t="s">
        <v>691</v>
      </c>
      <c r="B27" t="s">
        <v>692</v>
      </c>
      <c r="C27" t="s">
        <v>648</v>
      </c>
      <c r="D27">
        <v>8.1413316308707503E-2</v>
      </c>
      <c r="E27">
        <v>5.4154642832087402E-2</v>
      </c>
      <c r="F27">
        <v>0.115741057355396</v>
      </c>
    </row>
    <row r="28" spans="1:6" x14ac:dyDescent="0.2">
      <c r="A28" t="s">
        <v>693</v>
      </c>
      <c r="B28" t="s">
        <v>694</v>
      </c>
      <c r="C28" t="s">
        <v>648</v>
      </c>
      <c r="D28">
        <v>0.12539263604668499</v>
      </c>
      <c r="E28">
        <v>8.4764613661447899E-2</v>
      </c>
      <c r="F28">
        <v>0.17641450284368199</v>
      </c>
    </row>
    <row r="29" spans="1:6" x14ac:dyDescent="0.2">
      <c r="A29" t="s">
        <v>695</v>
      </c>
      <c r="B29" t="s">
        <v>696</v>
      </c>
      <c r="C29" t="s">
        <v>648</v>
      </c>
      <c r="D29">
        <v>0.214818632701928</v>
      </c>
      <c r="E29">
        <v>0.14811105746702299</v>
      </c>
      <c r="F29">
        <v>0.29504815013240798</v>
      </c>
    </row>
    <row r="30" spans="1:6" x14ac:dyDescent="0.2">
      <c r="A30" t="s">
        <v>697</v>
      </c>
      <c r="B30" t="s">
        <v>698</v>
      </c>
      <c r="D30">
        <v>0</v>
      </c>
      <c r="E30">
        <v>0</v>
      </c>
      <c r="F30">
        <v>0</v>
      </c>
    </row>
    <row r="31" spans="1:6" x14ac:dyDescent="0.2">
      <c r="A31" t="s">
        <v>699</v>
      </c>
      <c r="B31" t="s">
        <v>700</v>
      </c>
      <c r="C31" t="s">
        <v>701</v>
      </c>
      <c r="D31">
        <v>5.0594945799999902E-2</v>
      </c>
      <c r="E31">
        <v>3.2378222499999998E-2</v>
      </c>
      <c r="F31">
        <v>7.4050449999999907E-2</v>
      </c>
    </row>
    <row r="32" spans="1:6" x14ac:dyDescent="0.2">
      <c r="A32" t="s">
        <v>702</v>
      </c>
      <c r="B32" t="s">
        <v>703</v>
      </c>
      <c r="C32" t="s">
        <v>704</v>
      </c>
      <c r="D32">
        <v>0.20294601349999999</v>
      </c>
      <c r="E32">
        <v>0.13394816000000001</v>
      </c>
      <c r="F32">
        <v>0.28958335000000002</v>
      </c>
    </row>
    <row r="33" spans="1:6" x14ac:dyDescent="0.2">
      <c r="A33" t="s">
        <v>705</v>
      </c>
      <c r="B33" t="s">
        <v>706</v>
      </c>
      <c r="C33" t="s">
        <v>707</v>
      </c>
      <c r="D33">
        <v>1.10162523999999E-2</v>
      </c>
      <c r="E33">
        <v>5.2397625E-3</v>
      </c>
      <c r="F33">
        <v>2.06195424999999E-2</v>
      </c>
    </row>
    <row r="34" spans="1:6" x14ac:dyDescent="0.2">
      <c r="A34" t="s">
        <v>708</v>
      </c>
      <c r="B34" t="s">
        <v>706</v>
      </c>
      <c r="C34" t="s">
        <v>707</v>
      </c>
      <c r="D34">
        <v>1.10162523999999E-2</v>
      </c>
      <c r="E34">
        <v>5.2397625E-3</v>
      </c>
      <c r="F34">
        <v>2.06195424999999E-2</v>
      </c>
    </row>
    <row r="35" spans="1:6" x14ac:dyDescent="0.2">
      <c r="A35" t="s">
        <v>709</v>
      </c>
      <c r="B35" t="s">
        <v>710</v>
      </c>
      <c r="C35" t="s">
        <v>711</v>
      </c>
      <c r="D35">
        <v>7.9861649000000003E-3</v>
      </c>
      <c r="E35">
        <v>3.5925099999999902E-3</v>
      </c>
      <c r="F35">
        <v>1.54907825E-2</v>
      </c>
    </row>
    <row r="36" spans="1:6" x14ac:dyDescent="0.2">
      <c r="A36" t="s">
        <v>712</v>
      </c>
      <c r="B36" t="s">
        <v>698</v>
      </c>
      <c r="D36">
        <v>0</v>
      </c>
      <c r="E36">
        <v>0</v>
      </c>
      <c r="F36">
        <v>0</v>
      </c>
    </row>
    <row r="37" spans="1:6" x14ac:dyDescent="0.2">
      <c r="A37" t="s">
        <v>713</v>
      </c>
      <c r="B37" t="s">
        <v>714</v>
      </c>
      <c r="C37" t="s">
        <v>715</v>
      </c>
      <c r="D37">
        <v>5.7864971999999903E-3</v>
      </c>
      <c r="E37">
        <v>2.29985E-3</v>
      </c>
      <c r="F37">
        <v>1.2109072499999899E-2</v>
      </c>
    </row>
    <row r="38" spans="1:6" x14ac:dyDescent="0.2">
      <c r="A38" t="s">
        <v>716</v>
      </c>
      <c r="B38" t="s">
        <v>698</v>
      </c>
      <c r="D38">
        <v>0</v>
      </c>
      <c r="E38">
        <v>0</v>
      </c>
      <c r="F38">
        <v>0</v>
      </c>
    </row>
    <row r="39" spans="1:6" x14ac:dyDescent="0.2">
      <c r="A39" t="s">
        <v>717</v>
      </c>
      <c r="B39" t="s">
        <v>700</v>
      </c>
      <c r="C39" t="s">
        <v>701</v>
      </c>
      <c r="D39">
        <v>5.0594945799999902E-2</v>
      </c>
      <c r="E39">
        <v>3.2378222499999998E-2</v>
      </c>
      <c r="F39">
        <v>7.4050449999999907E-2</v>
      </c>
    </row>
    <row r="40" spans="1:6" x14ac:dyDescent="0.2">
      <c r="A40" t="s">
        <v>718</v>
      </c>
      <c r="B40" t="s">
        <v>719</v>
      </c>
      <c r="C40" t="s">
        <v>720</v>
      </c>
      <c r="D40">
        <v>0.40479053700000001</v>
      </c>
      <c r="E40">
        <v>0.27450637750000001</v>
      </c>
      <c r="F40">
        <v>0.54553343499999996</v>
      </c>
    </row>
    <row r="41" spans="1:6" x14ac:dyDescent="0.2">
      <c r="A41" t="s">
        <v>721</v>
      </c>
      <c r="B41" t="s">
        <v>703</v>
      </c>
      <c r="C41" t="s">
        <v>704</v>
      </c>
      <c r="D41">
        <v>0.20294601349999999</v>
      </c>
      <c r="E41">
        <v>0.13394816000000001</v>
      </c>
      <c r="F41">
        <v>0.28958335000000002</v>
      </c>
    </row>
    <row r="42" spans="1:6" x14ac:dyDescent="0.2">
      <c r="A42" t="s">
        <v>722</v>
      </c>
      <c r="B42" t="s">
        <v>723</v>
      </c>
      <c r="C42" t="s">
        <v>648</v>
      </c>
      <c r="D42">
        <v>0.24302714956393101</v>
      </c>
      <c r="E42">
        <v>0.168002830906056</v>
      </c>
      <c r="F42">
        <v>0.33310621849768102</v>
      </c>
    </row>
    <row r="43" spans="1:6" x14ac:dyDescent="0.2">
      <c r="A43" t="s">
        <v>724</v>
      </c>
      <c r="B43" t="s">
        <v>725</v>
      </c>
      <c r="C43" t="s">
        <v>648</v>
      </c>
      <c r="D43">
        <v>0.43462257170202701</v>
      </c>
      <c r="E43">
        <v>0.305652484586317</v>
      </c>
      <c r="F43">
        <v>0.57131696582490898</v>
      </c>
    </row>
    <row r="44" spans="1:6" x14ac:dyDescent="0.2">
      <c r="A44" t="s">
        <v>726</v>
      </c>
      <c r="B44" t="s">
        <v>727</v>
      </c>
      <c r="C44" t="s">
        <v>648</v>
      </c>
      <c r="D44">
        <v>0.523209748983538</v>
      </c>
      <c r="E44">
        <v>0.37841876680380399</v>
      </c>
      <c r="F44">
        <v>0.66937713286530098</v>
      </c>
    </row>
    <row r="45" spans="1:6" x14ac:dyDescent="0.2">
      <c r="A45" t="s">
        <v>728</v>
      </c>
      <c r="B45" t="s">
        <v>729</v>
      </c>
      <c r="C45" t="s">
        <v>648</v>
      </c>
      <c r="D45">
        <v>0.54696594901024198</v>
      </c>
      <c r="E45">
        <v>0.40205748756085102</v>
      </c>
      <c r="F45">
        <v>0.69074739226205195</v>
      </c>
    </row>
    <row r="46" spans="1:6" x14ac:dyDescent="0.2">
      <c r="A46" t="s">
        <v>730</v>
      </c>
      <c r="B46" t="s">
        <v>698</v>
      </c>
      <c r="D46">
        <v>0</v>
      </c>
      <c r="E46">
        <v>0</v>
      </c>
      <c r="F46">
        <v>0</v>
      </c>
    </row>
    <row r="47" spans="1:6" x14ac:dyDescent="0.2">
      <c r="A47" t="s">
        <v>731</v>
      </c>
      <c r="B47" t="s">
        <v>714</v>
      </c>
      <c r="C47" t="s">
        <v>715</v>
      </c>
      <c r="D47">
        <v>5.7864971999999903E-3</v>
      </c>
      <c r="E47">
        <v>2.29985E-3</v>
      </c>
      <c r="F47">
        <v>1.2109072499999899E-2</v>
      </c>
    </row>
    <row r="48" spans="1:6" x14ac:dyDescent="0.2">
      <c r="A48" t="s">
        <v>732</v>
      </c>
      <c r="B48" t="s">
        <v>733</v>
      </c>
      <c r="C48" t="s">
        <v>734</v>
      </c>
      <c r="D48">
        <v>0.128124532799999</v>
      </c>
      <c r="E48">
        <v>8.6099004999999895E-2</v>
      </c>
      <c r="F48">
        <v>0.18045061999999901</v>
      </c>
    </row>
    <row r="49" spans="1:6" x14ac:dyDescent="0.2">
      <c r="A49" t="s">
        <v>735</v>
      </c>
      <c r="B49" t="s">
        <v>736</v>
      </c>
      <c r="C49" t="s">
        <v>737</v>
      </c>
      <c r="D49">
        <v>7.5640454000000003E-3</v>
      </c>
      <c r="E49">
        <v>3.3355575E-3</v>
      </c>
      <c r="F49">
        <v>1.5242127499999999E-2</v>
      </c>
    </row>
    <row r="50" spans="1:6" x14ac:dyDescent="0.2">
      <c r="A50" t="s">
        <v>738</v>
      </c>
      <c r="B50" t="s">
        <v>739</v>
      </c>
      <c r="C50" t="s">
        <v>740</v>
      </c>
      <c r="D50">
        <v>5.14515299999999E-3</v>
      </c>
      <c r="E50">
        <v>2.0020575E-3</v>
      </c>
      <c r="F50">
        <v>1.10252224999999E-2</v>
      </c>
    </row>
    <row r="51" spans="1:6" x14ac:dyDescent="0.2">
      <c r="A51" t="s">
        <v>741</v>
      </c>
      <c r="B51" t="s">
        <v>742</v>
      </c>
      <c r="C51" t="s">
        <v>743</v>
      </c>
      <c r="D51">
        <v>0.114339967</v>
      </c>
      <c r="E51">
        <v>7.7947084999999999E-2</v>
      </c>
      <c r="F51">
        <v>0.15867681249999999</v>
      </c>
    </row>
    <row r="52" spans="1:6" x14ac:dyDescent="0.2">
      <c r="A52" t="s">
        <v>744</v>
      </c>
      <c r="B52" t="s">
        <v>745</v>
      </c>
      <c r="C52" t="s">
        <v>746</v>
      </c>
      <c r="D52">
        <v>0.32424655079999898</v>
      </c>
      <c r="E52">
        <v>0.21972131750000001</v>
      </c>
      <c r="F52">
        <v>0.44180473999999997</v>
      </c>
    </row>
    <row r="53" spans="1:6" x14ac:dyDescent="0.2">
      <c r="A53" t="s">
        <v>747</v>
      </c>
      <c r="B53" t="s">
        <v>698</v>
      </c>
      <c r="D53">
        <v>0</v>
      </c>
      <c r="E53">
        <v>0</v>
      </c>
      <c r="F53">
        <v>0</v>
      </c>
    </row>
    <row r="54" spans="1:6" x14ac:dyDescent="0.2">
      <c r="A54" t="s">
        <v>748</v>
      </c>
      <c r="B54" t="s">
        <v>714</v>
      </c>
      <c r="C54" t="s">
        <v>715</v>
      </c>
      <c r="D54">
        <v>5.7864971999999903E-3</v>
      </c>
      <c r="E54">
        <v>2.29985E-3</v>
      </c>
      <c r="F54">
        <v>1.2109072499999899E-2</v>
      </c>
    </row>
    <row r="55" spans="1:6" x14ac:dyDescent="0.2">
      <c r="A55" t="s">
        <v>749</v>
      </c>
      <c r="B55" t="s">
        <v>733</v>
      </c>
      <c r="C55" t="s">
        <v>734</v>
      </c>
      <c r="D55">
        <v>0.128124532799999</v>
      </c>
      <c r="E55">
        <v>8.6099004999999895E-2</v>
      </c>
      <c r="F55">
        <v>0.18045061999999901</v>
      </c>
    </row>
    <row r="56" spans="1:6" x14ac:dyDescent="0.2">
      <c r="A56" t="s">
        <v>750</v>
      </c>
      <c r="B56" t="s">
        <v>736</v>
      </c>
      <c r="C56" t="s">
        <v>737</v>
      </c>
      <c r="D56">
        <v>7.5640454000000003E-3</v>
      </c>
      <c r="E56">
        <v>3.3355575E-3</v>
      </c>
      <c r="F56">
        <v>1.5242127499999999E-2</v>
      </c>
    </row>
    <row r="57" spans="1:6" x14ac:dyDescent="0.2">
      <c r="A57" t="s">
        <v>751</v>
      </c>
      <c r="B57" t="s">
        <v>739</v>
      </c>
      <c r="C57" t="s">
        <v>740</v>
      </c>
      <c r="D57">
        <v>5.14515299999999E-3</v>
      </c>
      <c r="E57">
        <v>2.0020575E-3</v>
      </c>
      <c r="F57">
        <v>1.10252224999999E-2</v>
      </c>
    </row>
    <row r="58" spans="1:6" x14ac:dyDescent="0.2">
      <c r="A58" t="s">
        <v>752</v>
      </c>
      <c r="B58" t="s">
        <v>742</v>
      </c>
      <c r="C58" t="s">
        <v>743</v>
      </c>
      <c r="D58">
        <v>0.114339967</v>
      </c>
      <c r="E58">
        <v>7.7947084999999999E-2</v>
      </c>
      <c r="F58">
        <v>0.15867681249999999</v>
      </c>
    </row>
    <row r="59" spans="1:6" x14ac:dyDescent="0.2">
      <c r="A59" t="s">
        <v>753</v>
      </c>
      <c r="B59" t="s">
        <v>745</v>
      </c>
      <c r="C59" t="s">
        <v>746</v>
      </c>
      <c r="D59">
        <v>0.32424655079999898</v>
      </c>
      <c r="E59">
        <v>0.21972131750000001</v>
      </c>
      <c r="F59">
        <v>0.44180473999999997</v>
      </c>
    </row>
    <row r="60" spans="1:6" x14ac:dyDescent="0.2">
      <c r="A60" t="s">
        <v>754</v>
      </c>
      <c r="B60" t="s">
        <v>698</v>
      </c>
      <c r="D60">
        <v>0</v>
      </c>
      <c r="E60">
        <v>0</v>
      </c>
      <c r="F60">
        <v>0</v>
      </c>
    </row>
    <row r="61" spans="1:6" x14ac:dyDescent="0.2">
      <c r="A61" t="s">
        <v>755</v>
      </c>
      <c r="B61" t="s">
        <v>714</v>
      </c>
      <c r="C61" t="s">
        <v>715</v>
      </c>
      <c r="D61">
        <v>5.7864971999999903E-3</v>
      </c>
      <c r="E61">
        <v>2.29985E-3</v>
      </c>
      <c r="F61">
        <v>1.2109072499999899E-2</v>
      </c>
    </row>
    <row r="62" spans="1:6" x14ac:dyDescent="0.2">
      <c r="A62" t="s">
        <v>756</v>
      </c>
      <c r="B62" t="s">
        <v>698</v>
      </c>
      <c r="D62">
        <v>0</v>
      </c>
      <c r="E62">
        <v>0</v>
      </c>
      <c r="F62">
        <v>0</v>
      </c>
    </row>
    <row r="63" spans="1:6" x14ac:dyDescent="0.2">
      <c r="A63" t="s">
        <v>757</v>
      </c>
      <c r="B63" t="s">
        <v>714</v>
      </c>
      <c r="C63" t="s">
        <v>715</v>
      </c>
      <c r="D63">
        <v>5.7864971999999903E-3</v>
      </c>
      <c r="E63">
        <v>2.29985E-3</v>
      </c>
      <c r="F63">
        <v>1.2109072499999899E-2</v>
      </c>
    </row>
    <row r="64" spans="1:6" x14ac:dyDescent="0.2">
      <c r="A64" t="s">
        <v>758</v>
      </c>
      <c r="B64" t="s">
        <v>700</v>
      </c>
      <c r="C64" t="s">
        <v>701</v>
      </c>
      <c r="D64">
        <v>5.0594945799999902E-2</v>
      </c>
      <c r="E64">
        <v>3.2378222499999998E-2</v>
      </c>
      <c r="F64">
        <v>7.4050449999999907E-2</v>
      </c>
    </row>
    <row r="65" spans="1:6" x14ac:dyDescent="0.2">
      <c r="A65" t="s">
        <v>759</v>
      </c>
      <c r="B65" t="s">
        <v>736</v>
      </c>
      <c r="C65" t="s">
        <v>737</v>
      </c>
      <c r="D65">
        <v>7.5640454000000003E-3</v>
      </c>
      <c r="E65">
        <v>3.3355575E-3</v>
      </c>
      <c r="F65">
        <v>1.5242127499999999E-2</v>
      </c>
    </row>
    <row r="66" spans="1:6" x14ac:dyDescent="0.2">
      <c r="A66" t="s">
        <v>760</v>
      </c>
      <c r="B66" t="s">
        <v>739</v>
      </c>
      <c r="C66" t="s">
        <v>740</v>
      </c>
      <c r="D66">
        <v>5.14515299999999E-3</v>
      </c>
      <c r="E66">
        <v>2.0020575E-3</v>
      </c>
      <c r="F66">
        <v>1.10252224999999E-2</v>
      </c>
    </row>
    <row r="67" spans="1:6" x14ac:dyDescent="0.2">
      <c r="A67" t="s">
        <v>761</v>
      </c>
      <c r="B67" t="s">
        <v>742</v>
      </c>
      <c r="C67" t="s">
        <v>743</v>
      </c>
      <c r="D67">
        <v>0.114339967</v>
      </c>
      <c r="E67">
        <v>7.7947084999999999E-2</v>
      </c>
      <c r="F67">
        <v>0.15867681249999999</v>
      </c>
    </row>
    <row r="68" spans="1:6" x14ac:dyDescent="0.2">
      <c r="A68" t="s">
        <v>762</v>
      </c>
      <c r="B68" t="s">
        <v>745</v>
      </c>
      <c r="C68" t="s">
        <v>746</v>
      </c>
      <c r="D68">
        <v>0.32424655079999898</v>
      </c>
      <c r="E68">
        <v>0.21972131750000001</v>
      </c>
      <c r="F68">
        <v>0.44180473999999997</v>
      </c>
    </row>
    <row r="69" spans="1:6" x14ac:dyDescent="0.2">
      <c r="A69" t="s">
        <v>763</v>
      </c>
      <c r="B69" t="s">
        <v>764</v>
      </c>
    </row>
    <row r="70" spans="1:6" x14ac:dyDescent="0.2">
      <c r="A70" t="s">
        <v>765</v>
      </c>
      <c r="B70" t="s">
        <v>698</v>
      </c>
      <c r="D70">
        <v>0</v>
      </c>
      <c r="E70">
        <v>0</v>
      </c>
      <c r="F70">
        <v>0</v>
      </c>
    </row>
    <row r="71" spans="1:6" x14ac:dyDescent="0.2">
      <c r="A71" t="s">
        <v>766</v>
      </c>
      <c r="B71" t="s">
        <v>767</v>
      </c>
      <c r="C71" t="s">
        <v>768</v>
      </c>
      <c r="D71">
        <v>0.33262065790000001</v>
      </c>
      <c r="E71">
        <v>0.2236295975</v>
      </c>
      <c r="F71">
        <v>0.453926995</v>
      </c>
    </row>
    <row r="72" spans="1:6" x14ac:dyDescent="0.2">
      <c r="A72" t="s">
        <v>769</v>
      </c>
      <c r="B72" t="s">
        <v>767</v>
      </c>
      <c r="C72" t="s">
        <v>768</v>
      </c>
      <c r="D72">
        <v>0.33262065790000001</v>
      </c>
      <c r="E72">
        <v>0.2236295975</v>
      </c>
      <c r="F72">
        <v>0.453926995</v>
      </c>
    </row>
    <row r="73" spans="1:6" x14ac:dyDescent="0.2">
      <c r="A73" t="s">
        <v>770</v>
      </c>
      <c r="B73" t="s">
        <v>767</v>
      </c>
      <c r="C73" t="s">
        <v>768</v>
      </c>
      <c r="D73">
        <v>0.33262065790000001</v>
      </c>
      <c r="E73">
        <v>0.2236295975</v>
      </c>
      <c r="F73">
        <v>0.453926995</v>
      </c>
    </row>
    <row r="74" spans="1:6" x14ac:dyDescent="0.2">
      <c r="A74" t="s">
        <v>771</v>
      </c>
      <c r="B74" t="s">
        <v>772</v>
      </c>
      <c r="C74" t="s">
        <v>773</v>
      </c>
      <c r="D74">
        <v>0.29616484669999898</v>
      </c>
      <c r="E74">
        <v>0.19813263</v>
      </c>
      <c r="F74">
        <v>0.41379708999999998</v>
      </c>
    </row>
    <row r="75" spans="1:6" x14ac:dyDescent="0.2">
      <c r="A75" t="s">
        <v>774</v>
      </c>
      <c r="B75" t="s">
        <v>700</v>
      </c>
      <c r="C75" t="s">
        <v>701</v>
      </c>
      <c r="D75">
        <v>5.0594945799999902E-2</v>
      </c>
      <c r="E75">
        <v>3.2378222499999998E-2</v>
      </c>
      <c r="F75">
        <v>7.4050449999999907E-2</v>
      </c>
    </row>
    <row r="76" spans="1:6" x14ac:dyDescent="0.2">
      <c r="A76" t="s">
        <v>775</v>
      </c>
      <c r="B76" t="s">
        <v>776</v>
      </c>
      <c r="C76" t="s">
        <v>777</v>
      </c>
      <c r="D76">
        <v>0.13341151879999999</v>
      </c>
      <c r="E76">
        <v>8.8459514999999905E-2</v>
      </c>
      <c r="F76">
        <v>0.18950166500000001</v>
      </c>
    </row>
    <row r="77" spans="1:6" x14ac:dyDescent="0.2">
      <c r="A77" t="s">
        <v>778</v>
      </c>
      <c r="B77" t="s">
        <v>772</v>
      </c>
      <c r="C77" t="s">
        <v>773</v>
      </c>
      <c r="D77">
        <v>0.29616484669999898</v>
      </c>
      <c r="E77">
        <v>0.19813263</v>
      </c>
      <c r="F77">
        <v>0.41379708999999998</v>
      </c>
    </row>
    <row r="78" spans="1:6" x14ac:dyDescent="0.2">
      <c r="A78" t="s">
        <v>779</v>
      </c>
      <c r="B78" t="s">
        <v>714</v>
      </c>
      <c r="C78" t="s">
        <v>715</v>
      </c>
      <c r="D78">
        <v>5.7864971999999903E-3</v>
      </c>
      <c r="E78">
        <v>2.29985E-3</v>
      </c>
      <c r="F78">
        <v>1.2109072499999899E-2</v>
      </c>
    </row>
    <row r="79" spans="1:6" x14ac:dyDescent="0.2">
      <c r="A79" t="s">
        <v>780</v>
      </c>
      <c r="B79" t="s">
        <v>700</v>
      </c>
      <c r="C79" t="s">
        <v>701</v>
      </c>
      <c r="D79">
        <v>5.0594945799999902E-2</v>
      </c>
      <c r="E79">
        <v>3.2378222499999998E-2</v>
      </c>
      <c r="F79">
        <v>7.4050449999999907E-2</v>
      </c>
    </row>
    <row r="80" spans="1:6" x14ac:dyDescent="0.2">
      <c r="A80" t="s">
        <v>781</v>
      </c>
      <c r="B80" t="s">
        <v>782</v>
      </c>
      <c r="C80" t="s">
        <v>783</v>
      </c>
      <c r="D80">
        <v>1.33199734999999E-2</v>
      </c>
      <c r="E80">
        <v>6.8780424999999997E-3</v>
      </c>
      <c r="F80">
        <v>2.3644419999999899E-2</v>
      </c>
    </row>
    <row r="81" spans="1:6" x14ac:dyDescent="0.2">
      <c r="A81" t="s">
        <v>784</v>
      </c>
      <c r="B81" t="s">
        <v>776</v>
      </c>
      <c r="C81" t="s">
        <v>777</v>
      </c>
      <c r="D81">
        <v>0.13341151879999999</v>
      </c>
      <c r="E81">
        <v>8.8459514999999905E-2</v>
      </c>
      <c r="F81">
        <v>0.18950166500000001</v>
      </c>
    </row>
    <row r="82" spans="1:6" x14ac:dyDescent="0.2">
      <c r="A82" t="s">
        <v>785</v>
      </c>
      <c r="B82" t="s">
        <v>786</v>
      </c>
      <c r="C82" t="s">
        <v>787</v>
      </c>
      <c r="D82">
        <v>9.5578865999999991E-3</v>
      </c>
      <c r="E82">
        <v>4.1924800000000002E-3</v>
      </c>
      <c r="F82">
        <v>1.8805200000000001E-2</v>
      </c>
    </row>
    <row r="83" spans="1:6" x14ac:dyDescent="0.2">
      <c r="A83" t="s">
        <v>788</v>
      </c>
      <c r="B83" t="s">
        <v>789</v>
      </c>
      <c r="C83" t="s">
        <v>790</v>
      </c>
      <c r="D83">
        <v>2.65751711999999E-2</v>
      </c>
      <c r="E83">
        <v>1.52951175E-2</v>
      </c>
      <c r="F83">
        <v>4.22289125E-2</v>
      </c>
    </row>
    <row r="84" spans="1:6" x14ac:dyDescent="0.2">
      <c r="A84" t="s">
        <v>791</v>
      </c>
      <c r="B84" t="s">
        <v>792</v>
      </c>
      <c r="C84" t="s">
        <v>793</v>
      </c>
      <c r="D84">
        <v>2.1431429099999899E-2</v>
      </c>
      <c r="E84">
        <v>1.1755784999999999E-2</v>
      </c>
      <c r="F84">
        <v>3.6158027499999898E-2</v>
      </c>
    </row>
    <row r="85" spans="1:6" x14ac:dyDescent="0.2">
      <c r="A85" t="s">
        <v>794</v>
      </c>
      <c r="B85" t="s">
        <v>795</v>
      </c>
      <c r="C85" t="s">
        <v>796</v>
      </c>
      <c r="D85">
        <v>7.3963035999999899E-2</v>
      </c>
      <c r="E85">
        <v>4.8560812499999897E-2</v>
      </c>
      <c r="F85">
        <v>0.1065795325</v>
      </c>
    </row>
    <row r="86" spans="1:6" x14ac:dyDescent="0.2">
      <c r="A86" t="s">
        <v>797</v>
      </c>
      <c r="B86" t="s">
        <v>798</v>
      </c>
      <c r="D86">
        <v>0.121816065461137</v>
      </c>
      <c r="E86">
        <v>7.9220648865462595E-2</v>
      </c>
      <c r="F86">
        <v>0.17025245226115199</v>
      </c>
    </row>
    <row r="87" spans="1:6" x14ac:dyDescent="0.2">
      <c r="A87" t="s">
        <v>799</v>
      </c>
      <c r="B87" t="s">
        <v>800</v>
      </c>
      <c r="D87">
        <v>0.136839321367873</v>
      </c>
      <c r="E87">
        <v>8.9131899284314905E-2</v>
      </c>
      <c r="F87">
        <v>0.188712897141048</v>
      </c>
    </row>
    <row r="88" spans="1:6" x14ac:dyDescent="0.2">
      <c r="A88" t="s">
        <v>801</v>
      </c>
      <c r="B88" t="s">
        <v>802</v>
      </c>
      <c r="D88">
        <v>0.132301573369912</v>
      </c>
      <c r="E88">
        <v>8.6466798909841006E-2</v>
      </c>
      <c r="F88">
        <v>0.18372988181483099</v>
      </c>
    </row>
    <row r="89" spans="1:6" x14ac:dyDescent="0.2">
      <c r="A89" t="s">
        <v>803</v>
      </c>
      <c r="B89" t="s">
        <v>804</v>
      </c>
      <c r="D89">
        <v>0.17866646028935301</v>
      </c>
      <c r="E89">
        <v>0.120347159700539</v>
      </c>
      <c r="F89">
        <v>0.24689385199373201</v>
      </c>
    </row>
    <row r="90" spans="1:6" x14ac:dyDescent="0.2">
      <c r="A90" t="s">
        <v>805</v>
      </c>
      <c r="B90" t="s">
        <v>772</v>
      </c>
      <c r="C90" t="s">
        <v>773</v>
      </c>
      <c r="D90">
        <v>0.29616484669999898</v>
      </c>
      <c r="E90">
        <v>0.19813263</v>
      </c>
      <c r="F90">
        <v>0.41379708999999998</v>
      </c>
    </row>
    <row r="91" spans="1:6" x14ac:dyDescent="0.2">
      <c r="A91" t="s">
        <v>806</v>
      </c>
      <c r="B91" t="s">
        <v>807</v>
      </c>
      <c r="C91" t="s">
        <v>808</v>
      </c>
      <c r="D91">
        <v>7.3536963899999905E-2</v>
      </c>
      <c r="E91">
        <v>4.8733499999999999E-2</v>
      </c>
      <c r="F91">
        <v>0.104392015</v>
      </c>
    </row>
    <row r="92" spans="1:6" x14ac:dyDescent="0.2">
      <c r="A92" t="s">
        <v>809</v>
      </c>
      <c r="B92" t="s">
        <v>810</v>
      </c>
      <c r="C92" t="s">
        <v>811</v>
      </c>
      <c r="D92">
        <v>0.18787419850000001</v>
      </c>
      <c r="E92">
        <v>0.12484302999999999</v>
      </c>
      <c r="F92">
        <v>0.26416233</v>
      </c>
    </row>
    <row r="93" spans="1:6" x14ac:dyDescent="0.2">
      <c r="A93" t="s">
        <v>812</v>
      </c>
      <c r="B93" t="s">
        <v>813</v>
      </c>
      <c r="C93" t="s">
        <v>814</v>
      </c>
      <c r="D93">
        <v>0.2470957725</v>
      </c>
      <c r="E93">
        <v>0.16404359499999999</v>
      </c>
      <c r="F93">
        <v>0.34777506749999998</v>
      </c>
    </row>
    <row r="94" spans="1:6" x14ac:dyDescent="0.2">
      <c r="A94" t="s">
        <v>815</v>
      </c>
      <c r="B94" t="s">
        <v>816</v>
      </c>
      <c r="C94" t="s">
        <v>817</v>
      </c>
      <c r="D94">
        <v>0.32480394149999903</v>
      </c>
      <c r="E94">
        <v>0.20924532499999901</v>
      </c>
      <c r="F94">
        <v>0.46216676249999999</v>
      </c>
    </row>
    <row r="95" spans="1:6" x14ac:dyDescent="0.2">
      <c r="A95" t="s">
        <v>818</v>
      </c>
      <c r="B95" t="s">
        <v>745</v>
      </c>
      <c r="C95" t="s">
        <v>746</v>
      </c>
      <c r="D95">
        <v>0.32424655079999898</v>
      </c>
      <c r="E95">
        <v>0.21972131750000001</v>
      </c>
      <c r="F95">
        <v>0.44180473999999997</v>
      </c>
    </row>
    <row r="96" spans="1:6" x14ac:dyDescent="0.2">
      <c r="A96" t="s">
        <v>819</v>
      </c>
      <c r="B96" t="s">
        <v>700</v>
      </c>
      <c r="C96" t="s">
        <v>701</v>
      </c>
      <c r="D96">
        <v>5.0594945799999902E-2</v>
      </c>
      <c r="E96">
        <v>3.2378222499999998E-2</v>
      </c>
      <c r="F96">
        <v>7.4050449999999907E-2</v>
      </c>
    </row>
    <row r="97" spans="1:6" x14ac:dyDescent="0.2">
      <c r="A97" t="s">
        <v>820</v>
      </c>
      <c r="B97" t="s">
        <v>776</v>
      </c>
      <c r="C97" t="s">
        <v>777</v>
      </c>
      <c r="D97">
        <v>0.13341151879999999</v>
      </c>
      <c r="E97">
        <v>8.8459514999999905E-2</v>
      </c>
      <c r="F97">
        <v>0.18950166500000001</v>
      </c>
    </row>
    <row r="98" spans="1:6" x14ac:dyDescent="0.2">
      <c r="A98" t="s">
        <v>821</v>
      </c>
      <c r="B98" t="s">
        <v>742</v>
      </c>
      <c r="C98" t="s">
        <v>743</v>
      </c>
      <c r="D98">
        <v>0.114339967</v>
      </c>
      <c r="E98">
        <v>7.7947084999999999E-2</v>
      </c>
      <c r="F98">
        <v>0.15867681249999999</v>
      </c>
    </row>
    <row r="99" spans="1:6" x14ac:dyDescent="0.2">
      <c r="A99" t="s">
        <v>822</v>
      </c>
      <c r="B99" t="s">
        <v>714</v>
      </c>
      <c r="C99" t="s">
        <v>715</v>
      </c>
      <c r="D99">
        <v>5.7864971999999903E-3</v>
      </c>
      <c r="E99">
        <v>2.29985E-3</v>
      </c>
      <c r="F99">
        <v>1.2109072499999899E-2</v>
      </c>
    </row>
    <row r="100" spans="1:6" x14ac:dyDescent="0.2">
      <c r="A100" t="s">
        <v>823</v>
      </c>
      <c r="B100" t="s">
        <v>700</v>
      </c>
      <c r="C100" t="s">
        <v>701</v>
      </c>
      <c r="D100">
        <v>5.0594945799999902E-2</v>
      </c>
      <c r="E100">
        <v>3.2378222499999998E-2</v>
      </c>
      <c r="F100">
        <v>7.4050449999999907E-2</v>
      </c>
    </row>
    <row r="101" spans="1:6" x14ac:dyDescent="0.2">
      <c r="A101" t="s">
        <v>824</v>
      </c>
      <c r="B101" t="s">
        <v>776</v>
      </c>
      <c r="C101" t="s">
        <v>777</v>
      </c>
      <c r="D101">
        <v>0.13341151879999999</v>
      </c>
      <c r="E101">
        <v>8.8459514999999905E-2</v>
      </c>
      <c r="F101">
        <v>0.18950166500000001</v>
      </c>
    </row>
    <row r="102" spans="1:6" x14ac:dyDescent="0.2">
      <c r="A102" t="s">
        <v>825</v>
      </c>
      <c r="B102" t="s">
        <v>776</v>
      </c>
      <c r="C102" t="s">
        <v>777</v>
      </c>
      <c r="D102">
        <v>0.13341151879999999</v>
      </c>
      <c r="E102">
        <v>8.8459514999999905E-2</v>
      </c>
      <c r="F102">
        <v>0.18950166500000001</v>
      </c>
    </row>
    <row r="103" spans="1:6" x14ac:dyDescent="0.2">
      <c r="A103" t="s">
        <v>826</v>
      </c>
      <c r="B103" t="s">
        <v>764</v>
      </c>
    </row>
    <row r="104" spans="1:6" x14ac:dyDescent="0.2">
      <c r="A104" t="s">
        <v>827</v>
      </c>
      <c r="B104" t="s">
        <v>714</v>
      </c>
      <c r="C104" t="s">
        <v>715</v>
      </c>
      <c r="D104">
        <v>5.7864971999999903E-3</v>
      </c>
      <c r="E104">
        <v>2.29985E-3</v>
      </c>
      <c r="F104">
        <v>1.2109072499999899E-2</v>
      </c>
    </row>
    <row r="105" spans="1:6" x14ac:dyDescent="0.2">
      <c r="A105" t="s">
        <v>828</v>
      </c>
      <c r="B105" t="s">
        <v>829</v>
      </c>
      <c r="C105" t="s">
        <v>648</v>
      </c>
      <c r="D105">
        <v>9.4564588885162407E-3</v>
      </c>
      <c r="E105">
        <v>3.7379648000726499E-3</v>
      </c>
      <c r="F105">
        <v>1.9990374672651901E-2</v>
      </c>
    </row>
    <row r="106" spans="1:6" x14ac:dyDescent="0.2">
      <c r="A106" t="s">
        <v>830</v>
      </c>
      <c r="B106" t="s">
        <v>831</v>
      </c>
      <c r="C106" t="s">
        <v>648</v>
      </c>
      <c r="D106">
        <v>5.7010903896366601E-2</v>
      </c>
      <c r="E106">
        <v>3.6645644172970199E-2</v>
      </c>
      <c r="F106">
        <v>8.5295880522734693E-2</v>
      </c>
    </row>
    <row r="107" spans="1:6" x14ac:dyDescent="0.2">
      <c r="A107" t="s">
        <v>832</v>
      </c>
      <c r="B107" t="s">
        <v>833</v>
      </c>
      <c r="C107" t="s">
        <v>648</v>
      </c>
      <c r="D107">
        <v>0.15368270742168999</v>
      </c>
      <c r="E107">
        <v>0.10500097621297801</v>
      </c>
      <c r="F107">
        <v>0.21399375001701501</v>
      </c>
    </row>
    <row r="108" spans="1:6" x14ac:dyDescent="0.2">
      <c r="A108" t="s">
        <v>834</v>
      </c>
      <c r="B108" t="s">
        <v>700</v>
      </c>
      <c r="C108" t="s">
        <v>701</v>
      </c>
      <c r="D108">
        <v>5.0594945799999902E-2</v>
      </c>
      <c r="E108">
        <v>3.2378222499999998E-2</v>
      </c>
      <c r="F108">
        <v>7.4050449999999907E-2</v>
      </c>
    </row>
    <row r="109" spans="1:6" x14ac:dyDescent="0.2">
      <c r="A109" t="s">
        <v>835</v>
      </c>
      <c r="B109" t="s">
        <v>836</v>
      </c>
      <c r="C109" t="s">
        <v>648</v>
      </c>
      <c r="D109">
        <v>5.40912769231853E-2</v>
      </c>
      <c r="E109">
        <v>3.3975600824515E-2</v>
      </c>
      <c r="F109">
        <v>7.9322085231024006E-2</v>
      </c>
    </row>
    <row r="110" spans="1:6" x14ac:dyDescent="0.2">
      <c r="A110" t="s">
        <v>837</v>
      </c>
      <c r="B110" t="s">
        <v>838</v>
      </c>
      <c r="C110" t="s">
        <v>648</v>
      </c>
      <c r="D110">
        <v>9.9421230842791697E-2</v>
      </c>
      <c r="E110">
        <v>6.4835668045493899E-2</v>
      </c>
      <c r="F110">
        <v>0.14205088137793301</v>
      </c>
    </row>
    <row r="111" spans="1:6" x14ac:dyDescent="0.2">
      <c r="A111" t="s">
        <v>839</v>
      </c>
      <c r="B111" t="s">
        <v>840</v>
      </c>
      <c r="C111" t="s">
        <v>648</v>
      </c>
      <c r="D111">
        <v>0.19162019824648899</v>
      </c>
      <c r="E111">
        <v>0.132884256117102</v>
      </c>
      <c r="F111">
        <v>0.26260119864894699</v>
      </c>
    </row>
    <row r="112" spans="1:6" x14ac:dyDescent="0.2">
      <c r="A112" t="s">
        <v>841</v>
      </c>
      <c r="B112" t="s">
        <v>776</v>
      </c>
      <c r="C112" t="s">
        <v>777</v>
      </c>
      <c r="D112">
        <v>0.13341151879999999</v>
      </c>
      <c r="E112">
        <v>8.8459514999999905E-2</v>
      </c>
      <c r="F112">
        <v>0.18950166500000001</v>
      </c>
    </row>
    <row r="113" spans="1:6" x14ac:dyDescent="0.2">
      <c r="A113" t="s">
        <v>842</v>
      </c>
      <c r="B113" t="s">
        <v>843</v>
      </c>
      <c r="C113" t="s">
        <v>648</v>
      </c>
      <c r="D113">
        <v>0.136608729508858</v>
      </c>
      <c r="E113">
        <v>9.1457382015738706E-2</v>
      </c>
      <c r="F113">
        <v>0.192488150004933</v>
      </c>
    </row>
    <row r="114" spans="1:6" x14ac:dyDescent="0.2">
      <c r="A114" t="s">
        <v>844</v>
      </c>
      <c r="B114" t="s">
        <v>845</v>
      </c>
      <c r="C114" t="s">
        <v>648</v>
      </c>
      <c r="D114">
        <v>0.177867946714338</v>
      </c>
      <c r="E114">
        <v>0.12183736967690199</v>
      </c>
      <c r="F114">
        <v>0.247376207280356</v>
      </c>
    </row>
    <row r="115" spans="1:6" x14ac:dyDescent="0.2">
      <c r="A115" t="s">
        <v>846</v>
      </c>
      <c r="B115" t="s">
        <v>847</v>
      </c>
      <c r="C115" t="s">
        <v>648</v>
      </c>
      <c r="D115">
        <v>0.26167538066322099</v>
      </c>
      <c r="E115">
        <v>0.183516715919878</v>
      </c>
      <c r="F115">
        <v>0.35904947510167801</v>
      </c>
    </row>
    <row r="116" spans="1:6" x14ac:dyDescent="0.2">
      <c r="A116" t="s">
        <v>848</v>
      </c>
      <c r="B116" t="s">
        <v>698</v>
      </c>
      <c r="D116">
        <v>0</v>
      </c>
      <c r="E116">
        <v>0</v>
      </c>
      <c r="F116">
        <v>0</v>
      </c>
    </row>
    <row r="117" spans="1:6" x14ac:dyDescent="0.2">
      <c r="A117" t="s">
        <v>849</v>
      </c>
      <c r="B117" t="s">
        <v>850</v>
      </c>
      <c r="C117" t="s">
        <v>851</v>
      </c>
      <c r="D117">
        <v>3.69639789999999E-3</v>
      </c>
      <c r="E117">
        <v>1.3124725E-3</v>
      </c>
      <c r="F117">
        <v>8.1387825000000004E-3</v>
      </c>
    </row>
    <row r="118" spans="1:6" x14ac:dyDescent="0.2">
      <c r="A118" t="s">
        <v>852</v>
      </c>
      <c r="B118" t="s">
        <v>853</v>
      </c>
      <c r="C118" t="s">
        <v>854</v>
      </c>
      <c r="D118">
        <v>5.1541961499999997E-2</v>
      </c>
      <c r="E118">
        <v>3.3847374999999999E-2</v>
      </c>
      <c r="F118">
        <v>7.5721812499999999E-2</v>
      </c>
    </row>
    <row r="119" spans="1:6" x14ac:dyDescent="0.2">
      <c r="A119" t="s">
        <v>855</v>
      </c>
      <c r="B119" t="s">
        <v>856</v>
      </c>
      <c r="C119" t="s">
        <v>857</v>
      </c>
      <c r="D119">
        <v>0.14876615300000001</v>
      </c>
      <c r="E119">
        <v>0.10073293999999899</v>
      </c>
      <c r="F119">
        <v>0.20911520249999899</v>
      </c>
    </row>
    <row r="120" spans="1:6" x14ac:dyDescent="0.2">
      <c r="A120" t="s">
        <v>858</v>
      </c>
      <c r="B120" t="s">
        <v>698</v>
      </c>
      <c r="D120">
        <v>0</v>
      </c>
      <c r="E120">
        <v>0</v>
      </c>
      <c r="F120">
        <v>0</v>
      </c>
    </row>
    <row r="121" spans="1:6" x14ac:dyDescent="0.2">
      <c r="A121" t="s">
        <v>859</v>
      </c>
      <c r="B121" t="s">
        <v>850</v>
      </c>
      <c r="C121" t="s">
        <v>851</v>
      </c>
      <c r="D121">
        <v>3.69639789999999E-3</v>
      </c>
      <c r="E121">
        <v>1.3124725E-3</v>
      </c>
      <c r="F121">
        <v>8.1387825000000004E-3</v>
      </c>
    </row>
    <row r="122" spans="1:6" x14ac:dyDescent="0.2">
      <c r="A122" t="s">
        <v>860</v>
      </c>
      <c r="B122" t="s">
        <v>853</v>
      </c>
      <c r="C122" t="s">
        <v>854</v>
      </c>
      <c r="D122">
        <v>5.1541961499999997E-2</v>
      </c>
      <c r="E122">
        <v>3.3847374999999999E-2</v>
      </c>
      <c r="F122">
        <v>7.5721812499999999E-2</v>
      </c>
    </row>
    <row r="123" spans="1:6" x14ac:dyDescent="0.2">
      <c r="A123" t="s">
        <v>861</v>
      </c>
      <c r="B123" t="s">
        <v>856</v>
      </c>
      <c r="C123" t="s">
        <v>857</v>
      </c>
      <c r="D123">
        <v>0.14876615300000001</v>
      </c>
      <c r="E123">
        <v>0.10073293999999899</v>
      </c>
      <c r="F123">
        <v>0.20911520249999899</v>
      </c>
    </row>
    <row r="124" spans="1:6" x14ac:dyDescent="0.2">
      <c r="A124" t="s">
        <v>862</v>
      </c>
      <c r="B124" t="s">
        <v>863</v>
      </c>
      <c r="C124" t="s">
        <v>864</v>
      </c>
      <c r="D124">
        <v>6.08338594999999E-2</v>
      </c>
      <c r="E124">
        <v>3.9587362499999897E-2</v>
      </c>
      <c r="F124">
        <v>8.9085129999999998E-2</v>
      </c>
    </row>
    <row r="125" spans="1:6" x14ac:dyDescent="0.2">
      <c r="A125" t="s">
        <v>865</v>
      </c>
      <c r="B125" t="s">
        <v>866</v>
      </c>
      <c r="C125" t="s">
        <v>648</v>
      </c>
      <c r="D125">
        <v>0.23648531544898699</v>
      </c>
      <c r="E125">
        <v>0.16477131335158501</v>
      </c>
      <c r="F125">
        <v>0.32307596056295501</v>
      </c>
    </row>
    <row r="126" spans="1:6" x14ac:dyDescent="0.2">
      <c r="A126" t="s">
        <v>867</v>
      </c>
      <c r="B126" t="s">
        <v>868</v>
      </c>
      <c r="C126" t="s">
        <v>648</v>
      </c>
    </row>
    <row r="127" spans="1:6" x14ac:dyDescent="0.2">
      <c r="A127" t="s">
        <v>869</v>
      </c>
      <c r="B127" t="s">
        <v>870</v>
      </c>
      <c r="C127" t="s">
        <v>648</v>
      </c>
    </row>
    <row r="128" spans="1:6" x14ac:dyDescent="0.2">
      <c r="A128" t="s">
        <v>869</v>
      </c>
      <c r="B128" t="s">
        <v>870</v>
      </c>
      <c r="C128" t="s">
        <v>648</v>
      </c>
    </row>
    <row r="129" spans="1:6" x14ac:dyDescent="0.2">
      <c r="A129" t="s">
        <v>871</v>
      </c>
      <c r="B129" t="s">
        <v>872</v>
      </c>
      <c r="C129" t="s">
        <v>873</v>
      </c>
      <c r="D129">
        <v>0.40161053799999902</v>
      </c>
      <c r="E129">
        <v>0.2682705675</v>
      </c>
      <c r="F129">
        <v>0.54533271750000001</v>
      </c>
    </row>
    <row r="130" spans="1:6" x14ac:dyDescent="0.2">
      <c r="A130" t="s">
        <v>874</v>
      </c>
      <c r="B130" t="s">
        <v>875</v>
      </c>
      <c r="C130" t="s">
        <v>648</v>
      </c>
      <c r="D130">
        <v>0.51154796962864801</v>
      </c>
      <c r="E130">
        <v>0.36513903067502901</v>
      </c>
      <c r="F130">
        <v>0.65776340132739497</v>
      </c>
    </row>
    <row r="131" spans="1:6" x14ac:dyDescent="0.2">
      <c r="A131" t="s">
        <v>876</v>
      </c>
      <c r="B131" t="s">
        <v>877</v>
      </c>
      <c r="C131" t="s">
        <v>648</v>
      </c>
    </row>
    <row r="132" spans="1:6" x14ac:dyDescent="0.2">
      <c r="A132" t="s">
        <v>878</v>
      </c>
      <c r="B132" t="s">
        <v>879</v>
      </c>
      <c r="C132" t="s">
        <v>648</v>
      </c>
      <c r="D132">
        <v>0.35103802944739299</v>
      </c>
      <c r="E132">
        <v>0.245212131291454</v>
      </c>
      <c r="F132">
        <v>0.46739038855932402</v>
      </c>
    </row>
    <row r="133" spans="1:6" x14ac:dyDescent="0.2">
      <c r="A133" t="s">
        <v>878</v>
      </c>
      <c r="B133" t="s">
        <v>879</v>
      </c>
      <c r="C133" t="s">
        <v>648</v>
      </c>
      <c r="D133">
        <v>0.35103802944739299</v>
      </c>
      <c r="E133">
        <v>0.245212131291454</v>
      </c>
      <c r="F133">
        <v>0.46739038855932402</v>
      </c>
    </row>
    <row r="134" spans="1:6" x14ac:dyDescent="0.2">
      <c r="A134" t="s">
        <v>880</v>
      </c>
      <c r="B134" t="s">
        <v>881</v>
      </c>
      <c r="C134" t="s">
        <v>648</v>
      </c>
    </row>
    <row r="135" spans="1:6" x14ac:dyDescent="0.2">
      <c r="A135" t="s">
        <v>880</v>
      </c>
      <c r="B135" t="s">
        <v>881</v>
      </c>
      <c r="C135" t="s">
        <v>648</v>
      </c>
    </row>
    <row r="136" spans="1:6" x14ac:dyDescent="0.2">
      <c r="A136" t="s">
        <v>882</v>
      </c>
      <c r="B136" t="s">
        <v>883</v>
      </c>
      <c r="C136" t="s">
        <v>648</v>
      </c>
    </row>
    <row r="137" spans="1:6" x14ac:dyDescent="0.2">
      <c r="A137" t="s">
        <v>882</v>
      </c>
      <c r="B137" t="s">
        <v>883</v>
      </c>
      <c r="C137" t="s">
        <v>648</v>
      </c>
    </row>
    <row r="138" spans="1:6" x14ac:dyDescent="0.2">
      <c r="A138" t="s">
        <v>882</v>
      </c>
      <c r="B138" t="s">
        <v>883</v>
      </c>
      <c r="C138" t="s">
        <v>648</v>
      </c>
    </row>
    <row r="139" spans="1:6" x14ac:dyDescent="0.2">
      <c r="A139" t="s">
        <v>884</v>
      </c>
      <c r="B139" t="s">
        <v>885</v>
      </c>
      <c r="C139" t="s">
        <v>648</v>
      </c>
    </row>
    <row r="140" spans="1:6" x14ac:dyDescent="0.2">
      <c r="A140" t="s">
        <v>884</v>
      </c>
      <c r="B140" t="s">
        <v>885</v>
      </c>
      <c r="C140" t="s">
        <v>648</v>
      </c>
    </row>
    <row r="141" spans="1:6" x14ac:dyDescent="0.2">
      <c r="A141" t="s">
        <v>886</v>
      </c>
      <c r="B141" t="s">
        <v>887</v>
      </c>
      <c r="C141" t="s">
        <v>648</v>
      </c>
      <c r="D141">
        <v>0.62507767911441803</v>
      </c>
      <c r="E141">
        <v>0.45449602852545301</v>
      </c>
      <c r="F141">
        <v>0.77777199816193399</v>
      </c>
    </row>
    <row r="142" spans="1:6" x14ac:dyDescent="0.2">
      <c r="A142" t="s">
        <v>886</v>
      </c>
      <c r="B142" t="s">
        <v>887</v>
      </c>
      <c r="C142" t="s">
        <v>648</v>
      </c>
      <c r="D142">
        <v>0.62507767911441803</v>
      </c>
      <c r="E142">
        <v>0.45449602852545301</v>
      </c>
      <c r="F142">
        <v>0.77777199816193399</v>
      </c>
    </row>
    <row r="143" spans="1:6" x14ac:dyDescent="0.2">
      <c r="A143" t="s">
        <v>888</v>
      </c>
      <c r="B143" t="s">
        <v>889</v>
      </c>
      <c r="C143" t="s">
        <v>648</v>
      </c>
    </row>
    <row r="144" spans="1:6" x14ac:dyDescent="0.2">
      <c r="A144" t="s">
        <v>888</v>
      </c>
      <c r="B144" t="s">
        <v>889</v>
      </c>
      <c r="C144" t="s">
        <v>648</v>
      </c>
    </row>
    <row r="145" spans="1:6" x14ac:dyDescent="0.2">
      <c r="A145" t="s">
        <v>890</v>
      </c>
      <c r="B145" t="s">
        <v>891</v>
      </c>
      <c r="C145" t="s">
        <v>648</v>
      </c>
    </row>
    <row r="146" spans="1:6" x14ac:dyDescent="0.2">
      <c r="A146" t="s">
        <v>890</v>
      </c>
      <c r="B146" t="s">
        <v>891</v>
      </c>
      <c r="C146" t="s">
        <v>648</v>
      </c>
    </row>
    <row r="147" spans="1:6" x14ac:dyDescent="0.2">
      <c r="A147" t="s">
        <v>890</v>
      </c>
      <c r="B147" t="s">
        <v>891</v>
      </c>
      <c r="C147" t="s">
        <v>648</v>
      </c>
    </row>
    <row r="148" spans="1:6" x14ac:dyDescent="0.2">
      <c r="A148" t="s">
        <v>892</v>
      </c>
      <c r="B148" t="s">
        <v>700</v>
      </c>
      <c r="C148" t="s">
        <v>701</v>
      </c>
      <c r="D148">
        <v>5.0594945799999902E-2</v>
      </c>
      <c r="E148">
        <v>3.2378222499999998E-2</v>
      </c>
      <c r="F148">
        <v>7.4050449999999907E-2</v>
      </c>
    </row>
    <row r="149" spans="1:6" x14ac:dyDescent="0.2">
      <c r="A149" t="s">
        <v>893</v>
      </c>
      <c r="B149" t="s">
        <v>698</v>
      </c>
      <c r="D149">
        <v>0</v>
      </c>
      <c r="E149">
        <v>0</v>
      </c>
      <c r="F149">
        <v>0</v>
      </c>
    </row>
    <row r="150" spans="1:6" x14ac:dyDescent="0.2">
      <c r="A150" t="s">
        <v>894</v>
      </c>
      <c r="B150" t="s">
        <v>895</v>
      </c>
      <c r="C150" t="s">
        <v>896</v>
      </c>
      <c r="D150">
        <v>0.224156355</v>
      </c>
      <c r="E150">
        <v>0.15097352250000001</v>
      </c>
      <c r="F150">
        <v>0.31209085249999902</v>
      </c>
    </row>
    <row r="151" spans="1:6" x14ac:dyDescent="0.2">
      <c r="A151" t="s">
        <v>897</v>
      </c>
      <c r="B151" t="s">
        <v>898</v>
      </c>
      <c r="C151" t="s">
        <v>899</v>
      </c>
      <c r="D151">
        <v>4.14518940999999E-2</v>
      </c>
      <c r="E151">
        <v>2.6103222499999999E-2</v>
      </c>
      <c r="F151">
        <v>6.2339544999999899E-2</v>
      </c>
    </row>
    <row r="152" spans="1:6" x14ac:dyDescent="0.2">
      <c r="A152" t="s">
        <v>900</v>
      </c>
      <c r="B152" t="s">
        <v>901</v>
      </c>
      <c r="C152" t="s">
        <v>902</v>
      </c>
      <c r="D152">
        <v>7.1653432699999894E-2</v>
      </c>
      <c r="E152">
        <v>4.6600777500000003E-2</v>
      </c>
      <c r="F152">
        <v>0.10308943</v>
      </c>
    </row>
    <row r="153" spans="1:6" x14ac:dyDescent="0.2">
      <c r="A153" t="s">
        <v>903</v>
      </c>
      <c r="B153" t="s">
        <v>904</v>
      </c>
      <c r="C153" t="s">
        <v>905</v>
      </c>
      <c r="D153">
        <v>0.17906669619999999</v>
      </c>
      <c r="E153">
        <v>0.1215548</v>
      </c>
      <c r="F153">
        <v>0.25072915749999902</v>
      </c>
    </row>
    <row r="154" spans="1:6" x14ac:dyDescent="0.2">
      <c r="A154" t="s">
        <v>906</v>
      </c>
      <c r="B154" t="s">
        <v>907</v>
      </c>
      <c r="C154" t="s">
        <v>908</v>
      </c>
      <c r="D154">
        <v>1.1009249599999899E-2</v>
      </c>
      <c r="E154">
        <v>5.3773199999999997E-3</v>
      </c>
      <c r="F154">
        <v>2.08201875E-2</v>
      </c>
    </row>
    <row r="155" spans="1:6" x14ac:dyDescent="0.2">
      <c r="A155" t="s">
        <v>909</v>
      </c>
      <c r="B155" t="s">
        <v>742</v>
      </c>
      <c r="C155" t="s">
        <v>743</v>
      </c>
      <c r="D155">
        <v>0.114339967</v>
      </c>
      <c r="E155">
        <v>7.7947084999999999E-2</v>
      </c>
      <c r="F155">
        <v>0.15867681249999999</v>
      </c>
    </row>
    <row r="156" spans="1:6" x14ac:dyDescent="0.2">
      <c r="A156" t="s">
        <v>910</v>
      </c>
      <c r="B156" t="s">
        <v>911</v>
      </c>
      <c r="C156" t="s">
        <v>912</v>
      </c>
      <c r="D156">
        <v>4.9011414699999999E-2</v>
      </c>
      <c r="E156">
        <v>3.1121342499999899E-2</v>
      </c>
      <c r="F156">
        <v>7.2092547499999896E-2</v>
      </c>
    </row>
    <row r="157" spans="1:6" x14ac:dyDescent="0.2">
      <c r="A157" t="s">
        <v>913</v>
      </c>
      <c r="B157" t="s">
        <v>700</v>
      </c>
      <c r="C157" t="s">
        <v>701</v>
      </c>
      <c r="D157">
        <v>5.0594945799999902E-2</v>
      </c>
      <c r="E157">
        <v>3.2378222499999998E-2</v>
      </c>
      <c r="F157">
        <v>7.4050449999999907E-2</v>
      </c>
    </row>
    <row r="158" spans="1:6" x14ac:dyDescent="0.2">
      <c r="A158" t="s">
        <v>914</v>
      </c>
      <c r="B158" t="s">
        <v>776</v>
      </c>
      <c r="C158" t="s">
        <v>777</v>
      </c>
      <c r="D158">
        <v>0.13341151879999999</v>
      </c>
      <c r="E158">
        <v>8.8459514999999905E-2</v>
      </c>
      <c r="F158">
        <v>0.18950166500000001</v>
      </c>
    </row>
    <row r="159" spans="1:6" x14ac:dyDescent="0.2">
      <c r="A159" t="s">
        <v>915</v>
      </c>
      <c r="B159" t="s">
        <v>916</v>
      </c>
      <c r="C159" t="s">
        <v>917</v>
      </c>
      <c r="D159">
        <v>6.6991753799999998E-2</v>
      </c>
      <c r="E159">
        <v>4.4417720000000001E-2</v>
      </c>
      <c r="F159">
        <v>9.5900522499999905E-2</v>
      </c>
    </row>
    <row r="160" spans="1:6" x14ac:dyDescent="0.2">
      <c r="A160" t="s">
        <v>918</v>
      </c>
      <c r="B160" t="s">
        <v>919</v>
      </c>
      <c r="C160" t="s">
        <v>920</v>
      </c>
      <c r="D160">
        <v>2.6517503899999999E-2</v>
      </c>
      <c r="E160">
        <v>1.5009937500000001E-2</v>
      </c>
      <c r="F160">
        <v>4.23970475E-2</v>
      </c>
    </row>
    <row r="161" spans="1:6" x14ac:dyDescent="0.2">
      <c r="A161" t="s">
        <v>921</v>
      </c>
      <c r="B161" t="s">
        <v>922</v>
      </c>
      <c r="C161" t="s">
        <v>923</v>
      </c>
      <c r="D161">
        <v>0.54166777129999999</v>
      </c>
      <c r="E161">
        <v>0.37403827749999902</v>
      </c>
      <c r="F161">
        <v>0.70224279499999998</v>
      </c>
    </row>
    <row r="162" spans="1:6" x14ac:dyDescent="0.2">
      <c r="A162" t="s">
        <v>924</v>
      </c>
      <c r="B162" t="s">
        <v>922</v>
      </c>
      <c r="C162" t="s">
        <v>923</v>
      </c>
      <c r="D162">
        <v>0.54166777129999999</v>
      </c>
      <c r="E162">
        <v>0.37403827749999902</v>
      </c>
      <c r="F162">
        <v>0.70224279499999998</v>
      </c>
    </row>
    <row r="163" spans="1:6" x14ac:dyDescent="0.2">
      <c r="A163" t="s">
        <v>925</v>
      </c>
      <c r="B163" t="s">
        <v>919</v>
      </c>
      <c r="C163" t="s">
        <v>920</v>
      </c>
      <c r="D163">
        <v>2.6517503899999999E-2</v>
      </c>
      <c r="E163">
        <v>1.5009937500000001E-2</v>
      </c>
      <c r="F163">
        <v>4.23970475E-2</v>
      </c>
    </row>
    <row r="164" spans="1:6" x14ac:dyDescent="0.2">
      <c r="A164" t="s">
        <v>926</v>
      </c>
      <c r="B164" t="s">
        <v>714</v>
      </c>
      <c r="C164" t="s">
        <v>715</v>
      </c>
      <c r="D164">
        <v>5.7864971999999903E-3</v>
      </c>
      <c r="E164">
        <v>2.29985E-3</v>
      </c>
      <c r="F164">
        <v>1.2109072499999899E-2</v>
      </c>
    </row>
    <row r="165" spans="1:6" x14ac:dyDescent="0.2">
      <c r="A165" t="s">
        <v>927</v>
      </c>
      <c r="B165" t="s">
        <v>850</v>
      </c>
      <c r="C165" t="s">
        <v>851</v>
      </c>
      <c r="D165">
        <v>3.69639789999999E-3</v>
      </c>
      <c r="E165">
        <v>1.3124725E-3</v>
      </c>
      <c r="F165">
        <v>8.1387825000000004E-3</v>
      </c>
    </row>
    <row r="166" spans="1:6" x14ac:dyDescent="0.2">
      <c r="A166" t="s">
        <v>928</v>
      </c>
      <c r="B166" t="s">
        <v>853</v>
      </c>
      <c r="C166" t="s">
        <v>854</v>
      </c>
      <c r="D166">
        <v>5.1541961499999997E-2</v>
      </c>
      <c r="E166">
        <v>3.3847374999999999E-2</v>
      </c>
      <c r="F166">
        <v>7.5721812499999999E-2</v>
      </c>
    </row>
    <row r="167" spans="1:6" x14ac:dyDescent="0.2">
      <c r="A167" t="s">
        <v>929</v>
      </c>
      <c r="B167" t="s">
        <v>856</v>
      </c>
      <c r="C167" t="s">
        <v>857</v>
      </c>
      <c r="D167">
        <v>0.14876615300000001</v>
      </c>
      <c r="E167">
        <v>0.10073293999999899</v>
      </c>
      <c r="F167">
        <v>0.20911520249999899</v>
      </c>
    </row>
    <row r="168" spans="1:6" x14ac:dyDescent="0.2">
      <c r="A168" t="s">
        <v>930</v>
      </c>
      <c r="B168" t="s">
        <v>807</v>
      </c>
      <c r="C168" t="s">
        <v>808</v>
      </c>
      <c r="D168">
        <v>7.3536963899999905E-2</v>
      </c>
      <c r="E168">
        <v>4.8733499999999999E-2</v>
      </c>
      <c r="F168">
        <v>0.104392015</v>
      </c>
    </row>
    <row r="169" spans="1:6" x14ac:dyDescent="0.2">
      <c r="A169" t="s">
        <v>931</v>
      </c>
      <c r="B169" t="s">
        <v>816</v>
      </c>
      <c r="C169" t="s">
        <v>817</v>
      </c>
      <c r="D169">
        <v>0.32480394149999903</v>
      </c>
      <c r="E169">
        <v>0.20924532499999901</v>
      </c>
      <c r="F169">
        <v>0.46216676249999999</v>
      </c>
    </row>
    <row r="170" spans="1:6" x14ac:dyDescent="0.2">
      <c r="A170" t="s">
        <v>932</v>
      </c>
      <c r="B170" t="s">
        <v>907</v>
      </c>
      <c r="C170" t="s">
        <v>908</v>
      </c>
      <c r="D170">
        <v>1.1009249599999899E-2</v>
      </c>
      <c r="E170">
        <v>5.3773199999999997E-3</v>
      </c>
      <c r="F170">
        <v>2.08201875E-2</v>
      </c>
    </row>
    <row r="171" spans="1:6" x14ac:dyDescent="0.2">
      <c r="A171" t="s">
        <v>933</v>
      </c>
      <c r="B171" t="s">
        <v>907</v>
      </c>
      <c r="C171" t="s">
        <v>908</v>
      </c>
      <c r="D171">
        <v>1.1009249599999899E-2</v>
      </c>
      <c r="E171">
        <v>5.3773199999999997E-3</v>
      </c>
      <c r="F171">
        <v>2.08201875E-2</v>
      </c>
    </row>
    <row r="172" spans="1:6" x14ac:dyDescent="0.2">
      <c r="A172" t="s">
        <v>934</v>
      </c>
      <c r="B172" t="s">
        <v>907</v>
      </c>
      <c r="C172" t="s">
        <v>908</v>
      </c>
      <c r="D172">
        <v>1.1009249599999899E-2</v>
      </c>
      <c r="E172">
        <v>5.3773199999999997E-3</v>
      </c>
      <c r="F172">
        <v>2.08201875E-2</v>
      </c>
    </row>
    <row r="173" spans="1:6" x14ac:dyDescent="0.2">
      <c r="A173" t="s">
        <v>935</v>
      </c>
      <c r="B173" t="s">
        <v>907</v>
      </c>
      <c r="C173" t="s">
        <v>908</v>
      </c>
      <c r="D173">
        <v>1.1009249599999899E-2</v>
      </c>
      <c r="E173">
        <v>5.3773199999999997E-3</v>
      </c>
      <c r="F173">
        <v>2.08201875E-2</v>
      </c>
    </row>
    <row r="174" spans="1:6" x14ac:dyDescent="0.2">
      <c r="A174" t="s">
        <v>936</v>
      </c>
      <c r="B174" t="s">
        <v>742</v>
      </c>
      <c r="C174" t="s">
        <v>743</v>
      </c>
      <c r="D174">
        <v>0.114339967</v>
      </c>
      <c r="E174">
        <v>7.7947084999999999E-2</v>
      </c>
      <c r="F174">
        <v>0.15867681249999999</v>
      </c>
    </row>
    <row r="175" spans="1:6" x14ac:dyDescent="0.2">
      <c r="A175" t="s">
        <v>937</v>
      </c>
      <c r="B175" t="s">
        <v>938</v>
      </c>
      <c r="C175" t="s">
        <v>648</v>
      </c>
    </row>
    <row r="176" spans="1:6" x14ac:dyDescent="0.2">
      <c r="A176" t="s">
        <v>939</v>
      </c>
      <c r="B176" t="s">
        <v>940</v>
      </c>
      <c r="C176" t="s">
        <v>941</v>
      </c>
      <c r="D176">
        <v>1.9316720799999899E-2</v>
      </c>
      <c r="E176">
        <v>1.06353925E-2</v>
      </c>
      <c r="F176">
        <v>3.2722879999999899E-2</v>
      </c>
    </row>
    <row r="177" spans="1:6" x14ac:dyDescent="0.2">
      <c r="A177" t="s">
        <v>942</v>
      </c>
      <c r="B177" t="s">
        <v>742</v>
      </c>
      <c r="C177" t="s">
        <v>743</v>
      </c>
      <c r="D177">
        <v>0.114339967</v>
      </c>
      <c r="E177">
        <v>7.7947084999999999E-2</v>
      </c>
      <c r="F177">
        <v>0.15867681249999999</v>
      </c>
    </row>
    <row r="178" spans="1:6" x14ac:dyDescent="0.2">
      <c r="A178" t="s">
        <v>943</v>
      </c>
      <c r="B178" t="s">
        <v>938</v>
      </c>
      <c r="C178" t="s">
        <v>648</v>
      </c>
    </row>
    <row r="179" spans="1:6" x14ac:dyDescent="0.2">
      <c r="A179" t="s">
        <v>944</v>
      </c>
      <c r="B179" t="s">
        <v>698</v>
      </c>
      <c r="D179">
        <v>0</v>
      </c>
      <c r="E179">
        <v>0</v>
      </c>
      <c r="F179">
        <v>0</v>
      </c>
    </row>
    <row r="180" spans="1:6" x14ac:dyDescent="0.2">
      <c r="A180" t="s">
        <v>945</v>
      </c>
      <c r="B180" t="s">
        <v>700</v>
      </c>
      <c r="C180" t="s">
        <v>701</v>
      </c>
      <c r="D180">
        <v>5.0594945799999902E-2</v>
      </c>
      <c r="E180">
        <v>3.2378222499999998E-2</v>
      </c>
      <c r="F180">
        <v>7.4050449999999907E-2</v>
      </c>
    </row>
    <row r="181" spans="1:6" x14ac:dyDescent="0.2">
      <c r="A181" t="s">
        <v>946</v>
      </c>
      <c r="B181" t="s">
        <v>733</v>
      </c>
      <c r="C181" t="s">
        <v>734</v>
      </c>
      <c r="D181">
        <v>0.128124532799999</v>
      </c>
      <c r="E181">
        <v>8.6099004999999895E-2</v>
      </c>
      <c r="F181">
        <v>0.18045061999999901</v>
      </c>
    </row>
    <row r="182" spans="1:6" x14ac:dyDescent="0.2">
      <c r="A182" t="s">
        <v>947</v>
      </c>
      <c r="B182" t="s">
        <v>948</v>
      </c>
      <c r="C182" t="s">
        <v>949</v>
      </c>
      <c r="D182">
        <v>0.108583132899999</v>
      </c>
      <c r="E182">
        <v>7.3114282499999905E-2</v>
      </c>
      <c r="F182">
        <v>0.15372801249999901</v>
      </c>
    </row>
    <row r="183" spans="1:6" x14ac:dyDescent="0.2">
      <c r="A183" t="s">
        <v>950</v>
      </c>
      <c r="B183" t="s">
        <v>698</v>
      </c>
      <c r="D183">
        <v>0</v>
      </c>
      <c r="E183">
        <v>0</v>
      </c>
      <c r="F183">
        <v>0</v>
      </c>
    </row>
    <row r="184" spans="1:6" x14ac:dyDescent="0.2">
      <c r="A184" t="s">
        <v>951</v>
      </c>
      <c r="B184" t="s">
        <v>706</v>
      </c>
      <c r="C184" t="s">
        <v>707</v>
      </c>
      <c r="D184">
        <v>1.10162523999999E-2</v>
      </c>
      <c r="E184">
        <v>5.2397625E-3</v>
      </c>
      <c r="F184">
        <v>2.06195424999999E-2</v>
      </c>
    </row>
    <row r="185" spans="1:6" x14ac:dyDescent="0.2">
      <c r="A185" t="s">
        <v>952</v>
      </c>
      <c r="B185" t="s">
        <v>719</v>
      </c>
      <c r="C185" t="s">
        <v>720</v>
      </c>
      <c r="D185">
        <v>0.40479053700000001</v>
      </c>
      <c r="E185">
        <v>0.27450637750000001</v>
      </c>
      <c r="F185">
        <v>0.54553343499999996</v>
      </c>
    </row>
    <row r="186" spans="1:6" x14ac:dyDescent="0.2">
      <c r="A186" t="s">
        <v>953</v>
      </c>
      <c r="B186" t="s">
        <v>919</v>
      </c>
      <c r="C186" t="s">
        <v>920</v>
      </c>
      <c r="D186">
        <v>2.6517503899999999E-2</v>
      </c>
      <c r="E186">
        <v>1.5009937500000001E-2</v>
      </c>
      <c r="F186">
        <v>4.23970475E-2</v>
      </c>
    </row>
    <row r="187" spans="1:6" x14ac:dyDescent="0.2">
      <c r="A187" t="s">
        <v>954</v>
      </c>
      <c r="B187" t="s">
        <v>955</v>
      </c>
      <c r="C187" t="s">
        <v>956</v>
      </c>
      <c r="D187">
        <v>0.18808746869999901</v>
      </c>
      <c r="E187">
        <v>0.124700385</v>
      </c>
      <c r="F187">
        <v>0.26659237499999999</v>
      </c>
    </row>
    <row r="188" spans="1:6" x14ac:dyDescent="0.2">
      <c r="A188" t="s">
        <v>957</v>
      </c>
      <c r="B188" t="s">
        <v>955</v>
      </c>
      <c r="C188" t="s">
        <v>956</v>
      </c>
      <c r="D188">
        <v>0.18808746869999901</v>
      </c>
      <c r="E188">
        <v>0.124700385</v>
      </c>
      <c r="F188">
        <v>0.26659237499999999</v>
      </c>
    </row>
    <row r="189" spans="1:6" x14ac:dyDescent="0.2">
      <c r="A189" t="s">
        <v>958</v>
      </c>
      <c r="B189" t="s">
        <v>959</v>
      </c>
      <c r="C189" t="s">
        <v>960</v>
      </c>
      <c r="D189">
        <v>3.0842126399999899E-2</v>
      </c>
      <c r="E189">
        <v>1.8822002500000001E-2</v>
      </c>
      <c r="F189">
        <v>4.8710372499999897E-2</v>
      </c>
    </row>
    <row r="190" spans="1:6" x14ac:dyDescent="0.2">
      <c r="A190" t="s">
        <v>961</v>
      </c>
      <c r="B190" t="s">
        <v>962</v>
      </c>
      <c r="C190" t="s">
        <v>963</v>
      </c>
      <c r="D190">
        <v>0.18404848779999999</v>
      </c>
      <c r="E190">
        <v>0.1251250575</v>
      </c>
      <c r="F190">
        <v>0.25828618249999902</v>
      </c>
    </row>
    <row r="191" spans="1:6" x14ac:dyDescent="0.2">
      <c r="A191" t="s">
        <v>964</v>
      </c>
      <c r="B191" t="s">
        <v>965</v>
      </c>
      <c r="C191" t="s">
        <v>966</v>
      </c>
      <c r="D191">
        <v>0.18736458340000001</v>
      </c>
      <c r="E191">
        <v>0.1244286775</v>
      </c>
      <c r="F191">
        <v>0.26021716249999999</v>
      </c>
    </row>
    <row r="192" spans="1:6" x14ac:dyDescent="0.2">
      <c r="A192" t="s">
        <v>967</v>
      </c>
      <c r="B192" t="s">
        <v>959</v>
      </c>
      <c r="C192" t="s">
        <v>960</v>
      </c>
      <c r="D192">
        <v>3.0842126399999899E-2</v>
      </c>
      <c r="E192">
        <v>1.8822002500000001E-2</v>
      </c>
      <c r="F192">
        <v>4.8710372499999897E-2</v>
      </c>
    </row>
    <row r="193" spans="1:6" x14ac:dyDescent="0.2">
      <c r="A193" t="s">
        <v>968</v>
      </c>
      <c r="B193" t="s">
        <v>962</v>
      </c>
      <c r="C193" t="s">
        <v>963</v>
      </c>
      <c r="D193">
        <v>0.18404848779999999</v>
      </c>
      <c r="E193">
        <v>0.1251250575</v>
      </c>
      <c r="F193">
        <v>0.25828618249999902</v>
      </c>
    </row>
    <row r="194" spans="1:6" x14ac:dyDescent="0.2">
      <c r="A194" t="s">
        <v>969</v>
      </c>
      <c r="B194" t="s">
        <v>965</v>
      </c>
      <c r="C194" t="s">
        <v>966</v>
      </c>
      <c r="D194">
        <v>0.18736458340000001</v>
      </c>
      <c r="E194">
        <v>0.1244286775</v>
      </c>
      <c r="F194">
        <v>0.26021716249999999</v>
      </c>
    </row>
    <row r="195" spans="1:6" s="221" customFormat="1" x14ac:dyDescent="0.2">
      <c r="A195" s="221" t="s">
        <v>970</v>
      </c>
      <c r="B195" s="221" t="s">
        <v>971</v>
      </c>
      <c r="C195" s="221" t="s">
        <v>972</v>
      </c>
      <c r="D195" s="221">
        <v>0.218848731399999</v>
      </c>
      <c r="E195" s="221">
        <v>0.14806672500000001</v>
      </c>
      <c r="F195" s="221">
        <v>0.30782901499999998</v>
      </c>
    </row>
    <row r="196" spans="1:6" s="221" customFormat="1" x14ac:dyDescent="0.2">
      <c r="A196" s="221" t="s">
        <v>973</v>
      </c>
      <c r="B196" s="221" t="s">
        <v>700</v>
      </c>
      <c r="C196" s="221" t="s">
        <v>701</v>
      </c>
      <c r="D196" s="222">
        <v>5.0594945799999902E-2</v>
      </c>
      <c r="E196" s="222">
        <v>3.2378222499999998E-2</v>
      </c>
      <c r="F196" s="222">
        <v>7.4050449999999907E-2</v>
      </c>
    </row>
    <row r="197" spans="1:6" s="221" customFormat="1" x14ac:dyDescent="0.2">
      <c r="A197" s="221" t="s">
        <v>974</v>
      </c>
      <c r="B197" s="221" t="s">
        <v>776</v>
      </c>
      <c r="C197" s="221" t="s">
        <v>777</v>
      </c>
      <c r="D197" s="222">
        <v>0.13341151879999999</v>
      </c>
      <c r="E197" s="222">
        <v>8.8459514999999905E-2</v>
      </c>
      <c r="F197" s="222">
        <v>0.18950166500000001</v>
      </c>
    </row>
    <row r="198" spans="1:6" x14ac:dyDescent="0.2">
      <c r="A198" t="s">
        <v>975</v>
      </c>
      <c r="B198" t="s">
        <v>698</v>
      </c>
      <c r="D198">
        <v>0</v>
      </c>
      <c r="E198">
        <v>0</v>
      </c>
      <c r="F198">
        <v>0</v>
      </c>
    </row>
    <row r="199" spans="1:6" x14ac:dyDescent="0.2">
      <c r="A199" t="s">
        <v>976</v>
      </c>
      <c r="B199" t="s">
        <v>700</v>
      </c>
      <c r="C199" t="s">
        <v>701</v>
      </c>
      <c r="D199">
        <v>5.0594945799999902E-2</v>
      </c>
      <c r="E199">
        <v>3.2378222499999998E-2</v>
      </c>
      <c r="F199">
        <v>7.4050449999999907E-2</v>
      </c>
    </row>
    <row r="200" spans="1:6" x14ac:dyDescent="0.2">
      <c r="A200" t="s">
        <v>977</v>
      </c>
      <c r="B200" t="s">
        <v>776</v>
      </c>
      <c r="C200" t="s">
        <v>777</v>
      </c>
      <c r="D200">
        <v>0.13341151879999999</v>
      </c>
      <c r="E200">
        <v>8.8459514999999905E-2</v>
      </c>
      <c r="F200">
        <v>0.18950166500000001</v>
      </c>
    </row>
    <row r="201" spans="1:6" x14ac:dyDescent="0.2">
      <c r="A201" t="s">
        <v>978</v>
      </c>
      <c r="B201" t="s">
        <v>776</v>
      </c>
      <c r="C201" t="s">
        <v>777</v>
      </c>
      <c r="D201">
        <v>0.13341151879999999</v>
      </c>
      <c r="E201">
        <v>8.8459514999999905E-2</v>
      </c>
      <c r="F201">
        <v>0.18950166500000001</v>
      </c>
    </row>
    <row r="202" spans="1:6" x14ac:dyDescent="0.2">
      <c r="A202" t="s">
        <v>979</v>
      </c>
      <c r="B202" t="s">
        <v>698</v>
      </c>
      <c r="D202">
        <v>0</v>
      </c>
      <c r="E202">
        <v>0</v>
      </c>
      <c r="F202">
        <v>0</v>
      </c>
    </row>
    <row r="203" spans="1:6" x14ac:dyDescent="0.2">
      <c r="A203" t="s">
        <v>980</v>
      </c>
      <c r="B203" t="s">
        <v>981</v>
      </c>
      <c r="C203" t="s">
        <v>982</v>
      </c>
      <c r="D203">
        <v>2.6558228399999901E-2</v>
      </c>
      <c r="E203">
        <v>1.45425174999999E-2</v>
      </c>
      <c r="F203">
        <v>4.3477967499999902E-2</v>
      </c>
    </row>
    <row r="204" spans="1:6" x14ac:dyDescent="0.2">
      <c r="A204" t="s">
        <v>983</v>
      </c>
      <c r="B204" t="s">
        <v>907</v>
      </c>
      <c r="C204" t="s">
        <v>908</v>
      </c>
      <c r="D204">
        <v>1.1009249599999899E-2</v>
      </c>
      <c r="E204">
        <v>5.3773199999999997E-3</v>
      </c>
      <c r="F204">
        <v>2.08201875E-2</v>
      </c>
    </row>
    <row r="205" spans="1:6" x14ac:dyDescent="0.2">
      <c r="A205" t="s">
        <v>984</v>
      </c>
      <c r="B205" t="s">
        <v>985</v>
      </c>
      <c r="C205" t="s">
        <v>986</v>
      </c>
      <c r="D205">
        <v>0.12765389569999999</v>
      </c>
      <c r="E205">
        <v>8.1910120000000003E-2</v>
      </c>
      <c r="F205">
        <v>0.18267661999999901</v>
      </c>
    </row>
    <row r="206" spans="1:6" x14ac:dyDescent="0.2">
      <c r="A206" t="s">
        <v>987</v>
      </c>
      <c r="B206" t="s">
        <v>698</v>
      </c>
      <c r="D206">
        <v>0</v>
      </c>
      <c r="E206">
        <v>0</v>
      </c>
      <c r="F206">
        <v>0</v>
      </c>
    </row>
    <row r="207" spans="1:6" x14ac:dyDescent="0.2">
      <c r="A207" t="s">
        <v>988</v>
      </c>
      <c r="B207" t="s">
        <v>981</v>
      </c>
      <c r="C207" t="s">
        <v>982</v>
      </c>
      <c r="D207">
        <v>2.6558228399999901E-2</v>
      </c>
      <c r="E207">
        <v>1.45425174999999E-2</v>
      </c>
      <c r="F207">
        <v>4.3477967499999902E-2</v>
      </c>
    </row>
    <row r="208" spans="1:6" x14ac:dyDescent="0.2">
      <c r="A208" t="s">
        <v>989</v>
      </c>
      <c r="B208" t="s">
        <v>907</v>
      </c>
      <c r="C208" t="s">
        <v>908</v>
      </c>
      <c r="D208">
        <v>1.1009249599999899E-2</v>
      </c>
      <c r="E208">
        <v>5.3773199999999997E-3</v>
      </c>
      <c r="F208">
        <v>2.08201875E-2</v>
      </c>
    </row>
    <row r="209" spans="1:6" x14ac:dyDescent="0.2">
      <c r="A209" t="s">
        <v>990</v>
      </c>
      <c r="B209" t="s">
        <v>985</v>
      </c>
      <c r="C209" t="s">
        <v>986</v>
      </c>
      <c r="D209">
        <v>0.12765389569999999</v>
      </c>
      <c r="E209">
        <v>8.1910120000000003E-2</v>
      </c>
      <c r="F209">
        <v>0.18267661999999901</v>
      </c>
    </row>
    <row r="210" spans="1:6" x14ac:dyDescent="0.2">
      <c r="A210" t="s">
        <v>991</v>
      </c>
      <c r="B210" t="s">
        <v>698</v>
      </c>
      <c r="D210">
        <v>0</v>
      </c>
      <c r="E210">
        <v>0</v>
      </c>
      <c r="F210">
        <v>0</v>
      </c>
    </row>
    <row r="211" spans="1:6" x14ac:dyDescent="0.2">
      <c r="A211" t="s">
        <v>992</v>
      </c>
      <c r="B211" t="s">
        <v>850</v>
      </c>
      <c r="C211" t="s">
        <v>851</v>
      </c>
      <c r="D211">
        <v>3.69639789999999E-3</v>
      </c>
      <c r="E211">
        <v>1.3124725E-3</v>
      </c>
      <c r="F211">
        <v>8.1387825000000004E-3</v>
      </c>
    </row>
    <row r="212" spans="1:6" x14ac:dyDescent="0.2">
      <c r="A212" t="s">
        <v>993</v>
      </c>
      <c r="B212" t="s">
        <v>853</v>
      </c>
      <c r="C212" t="s">
        <v>854</v>
      </c>
      <c r="D212">
        <v>5.1541961499999997E-2</v>
      </c>
      <c r="E212">
        <v>3.3847374999999999E-2</v>
      </c>
      <c r="F212">
        <v>7.5721812499999999E-2</v>
      </c>
    </row>
    <row r="213" spans="1:6" x14ac:dyDescent="0.2">
      <c r="A213" t="s">
        <v>994</v>
      </c>
      <c r="B213" t="s">
        <v>856</v>
      </c>
      <c r="C213" t="s">
        <v>857</v>
      </c>
      <c r="D213">
        <v>0.14876615300000001</v>
      </c>
      <c r="E213">
        <v>0.10073293999999899</v>
      </c>
      <c r="F213">
        <v>0.20911520249999899</v>
      </c>
    </row>
    <row r="214" spans="1:6" x14ac:dyDescent="0.2">
      <c r="A214" t="s">
        <v>995</v>
      </c>
      <c r="B214" t="s">
        <v>981</v>
      </c>
      <c r="C214" t="s">
        <v>982</v>
      </c>
      <c r="D214">
        <v>2.6558228399999901E-2</v>
      </c>
      <c r="E214">
        <v>1.45425174999999E-2</v>
      </c>
      <c r="F214">
        <v>4.3477967499999902E-2</v>
      </c>
    </row>
    <row r="215" spans="1:6" x14ac:dyDescent="0.2">
      <c r="A215" t="s">
        <v>996</v>
      </c>
      <c r="B215" t="s">
        <v>907</v>
      </c>
      <c r="C215" t="s">
        <v>908</v>
      </c>
      <c r="D215">
        <v>1.1009249599999899E-2</v>
      </c>
      <c r="E215">
        <v>5.3773199999999997E-3</v>
      </c>
      <c r="F215">
        <v>2.08201875E-2</v>
      </c>
    </row>
    <row r="216" spans="1:6" x14ac:dyDescent="0.2">
      <c r="A216" t="s">
        <v>997</v>
      </c>
      <c r="B216" t="s">
        <v>985</v>
      </c>
      <c r="C216" t="s">
        <v>986</v>
      </c>
      <c r="D216">
        <v>0.12765389569999999</v>
      </c>
      <c r="E216">
        <v>8.1910120000000003E-2</v>
      </c>
      <c r="F216">
        <v>0.18267661999999901</v>
      </c>
    </row>
    <row r="217" spans="1:6" x14ac:dyDescent="0.2">
      <c r="A217" t="s">
        <v>998</v>
      </c>
      <c r="B217" t="s">
        <v>698</v>
      </c>
      <c r="D217">
        <v>0</v>
      </c>
      <c r="E217">
        <v>0</v>
      </c>
      <c r="F217">
        <v>0</v>
      </c>
    </row>
    <row r="218" spans="1:6" x14ac:dyDescent="0.2">
      <c r="A218" t="s">
        <v>999</v>
      </c>
      <c r="B218" t="s">
        <v>698</v>
      </c>
      <c r="D218">
        <v>0</v>
      </c>
      <c r="E218">
        <v>0</v>
      </c>
      <c r="F218">
        <v>0</v>
      </c>
    </row>
    <row r="219" spans="1:6" x14ac:dyDescent="0.2">
      <c r="A219" t="s">
        <v>1000</v>
      </c>
      <c r="B219" t="s">
        <v>698</v>
      </c>
      <c r="D219">
        <v>0</v>
      </c>
      <c r="E219">
        <v>0</v>
      </c>
      <c r="F219">
        <v>0</v>
      </c>
    </row>
    <row r="220" spans="1:6" x14ac:dyDescent="0.2">
      <c r="A220" t="s">
        <v>1001</v>
      </c>
      <c r="B220" t="s">
        <v>698</v>
      </c>
      <c r="D220">
        <v>0</v>
      </c>
      <c r="E220">
        <v>0</v>
      </c>
      <c r="F220">
        <v>0</v>
      </c>
    </row>
    <row r="221" spans="1:6" x14ac:dyDescent="0.2">
      <c r="A221" t="s">
        <v>1002</v>
      </c>
      <c r="B221" t="s">
        <v>698</v>
      </c>
      <c r="D221">
        <v>0</v>
      </c>
      <c r="E221">
        <v>0</v>
      </c>
      <c r="F221">
        <v>0</v>
      </c>
    </row>
    <row r="222" spans="1:6" x14ac:dyDescent="0.2">
      <c r="A222" t="s">
        <v>1003</v>
      </c>
      <c r="B222" t="s">
        <v>940</v>
      </c>
      <c r="C222" t="s">
        <v>941</v>
      </c>
      <c r="D222">
        <v>1.9316720799999899E-2</v>
      </c>
      <c r="E222">
        <v>1.06353925E-2</v>
      </c>
      <c r="F222">
        <v>3.2722879999999899E-2</v>
      </c>
    </row>
    <row r="223" spans="1:6" x14ac:dyDescent="0.2">
      <c r="A223" t="s">
        <v>1004</v>
      </c>
      <c r="B223" t="s">
        <v>1005</v>
      </c>
      <c r="C223" t="s">
        <v>1006</v>
      </c>
      <c r="D223">
        <v>0.22517170789999999</v>
      </c>
      <c r="E223">
        <v>0.15291988000000001</v>
      </c>
      <c r="F223">
        <v>0.30972899249999902</v>
      </c>
    </row>
    <row r="224" spans="1:6" x14ac:dyDescent="0.2">
      <c r="A224" t="s">
        <v>1007</v>
      </c>
      <c r="B224" t="s">
        <v>1008</v>
      </c>
      <c r="C224" t="s">
        <v>1009</v>
      </c>
      <c r="D224">
        <v>0.40785797679999902</v>
      </c>
      <c r="E224">
        <v>0.273411367499999</v>
      </c>
      <c r="F224">
        <v>0.55565908499999905</v>
      </c>
    </row>
    <row r="225" spans="1:6" x14ac:dyDescent="0.2">
      <c r="A225" t="s">
        <v>1010</v>
      </c>
      <c r="B225" t="s">
        <v>742</v>
      </c>
      <c r="C225" t="s">
        <v>743</v>
      </c>
      <c r="D225">
        <v>0.114339967</v>
      </c>
      <c r="E225">
        <v>7.7947084999999999E-2</v>
      </c>
      <c r="F225">
        <v>0.15867681249999999</v>
      </c>
    </row>
    <row r="226" spans="1:6" x14ac:dyDescent="0.2">
      <c r="A226" t="s">
        <v>1011</v>
      </c>
      <c r="B226" t="s">
        <v>742</v>
      </c>
      <c r="C226" t="s">
        <v>743</v>
      </c>
      <c r="D226">
        <v>0.114339967</v>
      </c>
      <c r="E226">
        <v>7.7947084999999999E-2</v>
      </c>
      <c r="F226">
        <v>0.15867681249999999</v>
      </c>
    </row>
    <row r="227" spans="1:6" x14ac:dyDescent="0.2">
      <c r="A227" t="s">
        <v>1012</v>
      </c>
      <c r="B227" t="s">
        <v>742</v>
      </c>
      <c r="C227" t="s">
        <v>743</v>
      </c>
      <c r="D227">
        <v>0.114339967</v>
      </c>
      <c r="E227">
        <v>7.7947084999999999E-2</v>
      </c>
      <c r="F227">
        <v>0.15867681249999999</v>
      </c>
    </row>
    <row r="228" spans="1:6" x14ac:dyDescent="0.2">
      <c r="A228" t="s">
        <v>1013</v>
      </c>
      <c r="B228" t="s">
        <v>742</v>
      </c>
      <c r="C228" t="s">
        <v>743</v>
      </c>
      <c r="D228">
        <v>0.114339967</v>
      </c>
      <c r="E228">
        <v>7.7947084999999999E-2</v>
      </c>
      <c r="F228">
        <v>0.15867681249999999</v>
      </c>
    </row>
    <row r="229" spans="1:6" x14ac:dyDescent="0.2">
      <c r="A229" t="s">
        <v>1014</v>
      </c>
      <c r="B229" t="s">
        <v>938</v>
      </c>
      <c r="C229" t="s">
        <v>648</v>
      </c>
    </row>
    <row r="230" spans="1:6" x14ac:dyDescent="0.2">
      <c r="A230" t="s">
        <v>1015</v>
      </c>
      <c r="B230" t="s">
        <v>706</v>
      </c>
      <c r="C230" t="s">
        <v>707</v>
      </c>
      <c r="D230">
        <v>1.10162523999999E-2</v>
      </c>
      <c r="E230">
        <v>5.2397625E-3</v>
      </c>
      <c r="F230">
        <v>2.06195424999999E-2</v>
      </c>
    </row>
    <row r="231" spans="1:6" x14ac:dyDescent="0.2">
      <c r="A231" t="s">
        <v>1016</v>
      </c>
      <c r="B231" t="s">
        <v>916</v>
      </c>
      <c r="C231" t="s">
        <v>917</v>
      </c>
      <c r="D231">
        <v>6.6991753799999998E-2</v>
      </c>
      <c r="E231">
        <v>4.4417720000000001E-2</v>
      </c>
      <c r="F231">
        <v>9.5900522499999905E-2</v>
      </c>
    </row>
    <row r="232" spans="1:6" x14ac:dyDescent="0.2">
      <c r="A232" t="s">
        <v>1017</v>
      </c>
      <c r="B232" t="s">
        <v>776</v>
      </c>
      <c r="C232" t="s">
        <v>777</v>
      </c>
      <c r="D232">
        <v>0.13341151879999999</v>
      </c>
      <c r="E232">
        <v>8.8459514999999905E-2</v>
      </c>
      <c r="F232">
        <v>0.18950166500000001</v>
      </c>
    </row>
    <row r="233" spans="1:6" x14ac:dyDescent="0.2">
      <c r="A233" t="s">
        <v>1018</v>
      </c>
      <c r="B233" t="s">
        <v>971</v>
      </c>
      <c r="C233" t="s">
        <v>972</v>
      </c>
      <c r="D233">
        <v>0.218848731399999</v>
      </c>
      <c r="E233">
        <v>0.14806672500000001</v>
      </c>
      <c r="F233">
        <v>0.30782901499999998</v>
      </c>
    </row>
    <row r="234" spans="1:6" x14ac:dyDescent="0.2">
      <c r="A234" t="s">
        <v>1019</v>
      </c>
      <c r="B234" t="s">
        <v>698</v>
      </c>
      <c r="D234">
        <v>0</v>
      </c>
      <c r="E234">
        <v>0</v>
      </c>
      <c r="F234">
        <v>0</v>
      </c>
    </row>
    <row r="235" spans="1:6" x14ac:dyDescent="0.2">
      <c r="A235" t="s">
        <v>1020</v>
      </c>
      <c r="B235" t="s">
        <v>700</v>
      </c>
      <c r="C235" t="s">
        <v>701</v>
      </c>
      <c r="D235">
        <v>5.0594945799999902E-2</v>
      </c>
      <c r="E235">
        <v>3.2378222499999998E-2</v>
      </c>
      <c r="F235">
        <v>7.4050449999999907E-2</v>
      </c>
    </row>
    <row r="236" spans="1:6" x14ac:dyDescent="0.2">
      <c r="A236" t="s">
        <v>1021</v>
      </c>
      <c r="B236" t="s">
        <v>889</v>
      </c>
      <c r="C236" t="s">
        <v>648</v>
      </c>
    </row>
    <row r="237" spans="1:6" x14ac:dyDescent="0.2">
      <c r="A237" t="s">
        <v>1021</v>
      </c>
      <c r="B237" t="s">
        <v>889</v>
      </c>
      <c r="C237" t="s">
        <v>648</v>
      </c>
    </row>
    <row r="238" spans="1:6" x14ac:dyDescent="0.2">
      <c r="A238" t="s">
        <v>1022</v>
      </c>
      <c r="B238" t="s">
        <v>772</v>
      </c>
      <c r="C238" t="s">
        <v>773</v>
      </c>
      <c r="D238">
        <v>0.29616484669999898</v>
      </c>
      <c r="E238">
        <v>0.19813263</v>
      </c>
      <c r="F238">
        <v>0.41379708999999998</v>
      </c>
    </row>
    <row r="239" spans="1:6" x14ac:dyDescent="0.2">
      <c r="A239" t="s">
        <v>1023</v>
      </c>
      <c r="B239" t="s">
        <v>919</v>
      </c>
      <c r="C239" t="s">
        <v>920</v>
      </c>
      <c r="D239">
        <v>2.6517503899999999E-2</v>
      </c>
      <c r="E239">
        <v>1.5009937500000001E-2</v>
      </c>
      <c r="F239">
        <v>4.23970475E-2</v>
      </c>
    </row>
    <row r="240" spans="1:6" x14ac:dyDescent="0.2">
      <c r="A240" t="s">
        <v>1024</v>
      </c>
      <c r="B240" t="s">
        <v>1025</v>
      </c>
      <c r="C240" t="s">
        <v>1026</v>
      </c>
      <c r="D240">
        <v>7.8670707099999806E-2</v>
      </c>
      <c r="E240">
        <v>5.3842090000000002E-2</v>
      </c>
      <c r="F240">
        <v>0.109519294999999</v>
      </c>
    </row>
    <row r="241" spans="1:6" x14ac:dyDescent="0.2">
      <c r="A241" t="s">
        <v>1027</v>
      </c>
      <c r="B241" t="s">
        <v>764</v>
      </c>
    </row>
    <row r="242" spans="1:6" x14ac:dyDescent="0.2">
      <c r="A242" t="s">
        <v>1028</v>
      </c>
      <c r="B242" t="s">
        <v>850</v>
      </c>
      <c r="C242" t="s">
        <v>851</v>
      </c>
      <c r="D242">
        <v>3.69639789999999E-3</v>
      </c>
      <c r="E242">
        <v>1.3124725E-3</v>
      </c>
      <c r="F242">
        <v>8.1387825000000004E-3</v>
      </c>
    </row>
    <row r="243" spans="1:6" x14ac:dyDescent="0.2">
      <c r="A243" t="s">
        <v>1029</v>
      </c>
      <c r="B243" t="s">
        <v>853</v>
      </c>
      <c r="C243" t="s">
        <v>854</v>
      </c>
      <c r="D243">
        <v>5.1541961499999997E-2</v>
      </c>
      <c r="E243">
        <v>3.3847374999999999E-2</v>
      </c>
      <c r="F243">
        <v>7.5721812499999999E-2</v>
      </c>
    </row>
    <row r="244" spans="1:6" x14ac:dyDescent="0.2">
      <c r="A244" t="s">
        <v>1030</v>
      </c>
      <c r="B244" t="s">
        <v>856</v>
      </c>
      <c r="C244" t="s">
        <v>857</v>
      </c>
      <c r="D244">
        <v>0.14876615300000001</v>
      </c>
      <c r="E244">
        <v>0.10073293999999899</v>
      </c>
      <c r="F244">
        <v>0.20911520249999899</v>
      </c>
    </row>
    <row r="245" spans="1:6" x14ac:dyDescent="0.2">
      <c r="A245" t="s">
        <v>1031</v>
      </c>
      <c r="B245" t="s">
        <v>776</v>
      </c>
      <c r="C245" t="s">
        <v>777</v>
      </c>
      <c r="D245">
        <v>0.13341151879999999</v>
      </c>
      <c r="E245">
        <v>8.8459514999999905E-2</v>
      </c>
      <c r="F245">
        <v>0.18950166500000001</v>
      </c>
    </row>
    <row r="246" spans="1:6" x14ac:dyDescent="0.2">
      <c r="A246" t="s">
        <v>1032</v>
      </c>
      <c r="B246" t="s">
        <v>776</v>
      </c>
      <c r="C246" t="s">
        <v>777</v>
      </c>
      <c r="D246">
        <v>0.13341151879999999</v>
      </c>
      <c r="E246">
        <v>8.8459514999999905E-2</v>
      </c>
      <c r="F246">
        <v>0.18950166500000001</v>
      </c>
    </row>
    <row r="247" spans="1:6" x14ac:dyDescent="0.2">
      <c r="A247" t="s">
        <v>1033</v>
      </c>
      <c r="B247" t="s">
        <v>1034</v>
      </c>
      <c r="C247" t="s">
        <v>1035</v>
      </c>
      <c r="D247">
        <v>4.4530398599999903E-2</v>
      </c>
      <c r="E247">
        <v>2.7943497500000001E-2</v>
      </c>
      <c r="F247">
        <v>6.5829780000000004E-2</v>
      </c>
    </row>
    <row r="248" spans="1:6" x14ac:dyDescent="0.2">
      <c r="A248" t="s">
        <v>1036</v>
      </c>
      <c r="B248" t="s">
        <v>1037</v>
      </c>
      <c r="C248" t="s">
        <v>1038</v>
      </c>
      <c r="D248">
        <v>1.0793008600000001E-2</v>
      </c>
      <c r="E248">
        <v>5.1901200000000003E-3</v>
      </c>
      <c r="F248">
        <v>2.02353999999999E-2</v>
      </c>
    </row>
    <row r="249" spans="1:6" x14ac:dyDescent="0.2">
      <c r="A249" t="s">
        <v>1039</v>
      </c>
      <c r="B249" t="s">
        <v>1040</v>
      </c>
      <c r="C249" t="s">
        <v>1041</v>
      </c>
      <c r="D249">
        <v>4.25405801999999E-2</v>
      </c>
      <c r="E249">
        <v>2.5978245000000001E-2</v>
      </c>
      <c r="F249">
        <v>6.4453929999999895E-2</v>
      </c>
    </row>
    <row r="250" spans="1:6" x14ac:dyDescent="0.2">
      <c r="A250" t="s">
        <v>1042</v>
      </c>
      <c r="B250" t="s">
        <v>786</v>
      </c>
      <c r="C250" t="s">
        <v>787</v>
      </c>
      <c r="D250">
        <v>9.5578865999999991E-3</v>
      </c>
      <c r="E250">
        <v>4.1924800000000002E-3</v>
      </c>
      <c r="F250">
        <v>1.8805200000000001E-2</v>
      </c>
    </row>
    <row r="251" spans="1:6" x14ac:dyDescent="0.2">
      <c r="A251" t="s">
        <v>1043</v>
      </c>
      <c r="B251" t="s">
        <v>789</v>
      </c>
      <c r="C251" t="s">
        <v>790</v>
      </c>
      <c r="D251">
        <v>2.65751711999999E-2</v>
      </c>
      <c r="E251">
        <v>1.52951175E-2</v>
      </c>
      <c r="F251">
        <v>4.22289125E-2</v>
      </c>
    </row>
    <row r="252" spans="1:6" x14ac:dyDescent="0.2">
      <c r="A252" t="s">
        <v>1044</v>
      </c>
      <c r="B252" t="s">
        <v>1045</v>
      </c>
      <c r="C252" t="s">
        <v>1046</v>
      </c>
      <c r="D252">
        <v>0.15839743489999999</v>
      </c>
      <c r="E252">
        <v>0.1047161475</v>
      </c>
      <c r="F252">
        <v>0.226632689999999</v>
      </c>
    </row>
    <row r="253" spans="1:6" x14ac:dyDescent="0.2">
      <c r="A253" t="s">
        <v>1047</v>
      </c>
      <c r="B253" t="s">
        <v>1048</v>
      </c>
      <c r="C253" t="s">
        <v>1049</v>
      </c>
      <c r="D253">
        <v>0.2039397084</v>
      </c>
      <c r="E253">
        <v>0.13448814749999999</v>
      </c>
      <c r="F253">
        <v>0.28766184750000001</v>
      </c>
    </row>
    <row r="254" spans="1:6" x14ac:dyDescent="0.2">
      <c r="A254" t="s">
        <v>1050</v>
      </c>
      <c r="B254" t="s">
        <v>1051</v>
      </c>
      <c r="C254" t="s">
        <v>1052</v>
      </c>
      <c r="D254">
        <v>0.21483467019999899</v>
      </c>
      <c r="E254">
        <v>0.14405489499999999</v>
      </c>
      <c r="F254">
        <v>0.30661874249999999</v>
      </c>
    </row>
    <row r="255" spans="1:6" x14ac:dyDescent="0.2">
      <c r="A255" t="s">
        <v>1053</v>
      </c>
      <c r="B255" t="s">
        <v>792</v>
      </c>
      <c r="C255" t="s">
        <v>793</v>
      </c>
      <c r="D255">
        <v>2.1431429099999899E-2</v>
      </c>
      <c r="E255">
        <v>1.1755784999999999E-2</v>
      </c>
      <c r="F255">
        <v>3.6158027499999898E-2</v>
      </c>
    </row>
    <row r="256" spans="1:6" x14ac:dyDescent="0.2">
      <c r="A256" t="s">
        <v>1054</v>
      </c>
      <c r="B256" t="s">
        <v>795</v>
      </c>
      <c r="C256" t="s">
        <v>796</v>
      </c>
      <c r="D256">
        <v>7.3963035999999899E-2</v>
      </c>
      <c r="E256">
        <v>4.8560812499999897E-2</v>
      </c>
      <c r="F256">
        <v>0.1065795325</v>
      </c>
    </row>
    <row r="257" spans="1:6" x14ac:dyDescent="0.2">
      <c r="A257" t="s">
        <v>1055</v>
      </c>
      <c r="B257" t="s">
        <v>1056</v>
      </c>
      <c r="C257" t="s">
        <v>1057</v>
      </c>
      <c r="D257">
        <v>0.26086708250000001</v>
      </c>
      <c r="E257">
        <v>0.17492123749999999</v>
      </c>
      <c r="F257">
        <v>0.3600558425</v>
      </c>
    </row>
    <row r="258" spans="1:6" x14ac:dyDescent="0.2">
      <c r="A258" t="s">
        <v>1058</v>
      </c>
      <c r="B258" t="s">
        <v>1059</v>
      </c>
      <c r="C258" t="s">
        <v>1060</v>
      </c>
      <c r="D258">
        <v>0.27732069809999998</v>
      </c>
      <c r="E258">
        <v>0.18206008500000001</v>
      </c>
      <c r="F258">
        <v>0.38717259249999902</v>
      </c>
    </row>
    <row r="259" spans="1:6" x14ac:dyDescent="0.2">
      <c r="A259" t="s">
        <v>1061</v>
      </c>
      <c r="B259" t="s">
        <v>1062</v>
      </c>
      <c r="C259" t="s">
        <v>1063</v>
      </c>
      <c r="D259">
        <v>0.31580135729999997</v>
      </c>
      <c r="E259">
        <v>0.2122617</v>
      </c>
      <c r="F259">
        <v>0.43527153749999897</v>
      </c>
    </row>
    <row r="260" spans="1:6" x14ac:dyDescent="0.2">
      <c r="A260" t="s">
        <v>1064</v>
      </c>
      <c r="B260" t="s">
        <v>959</v>
      </c>
      <c r="C260" t="s">
        <v>960</v>
      </c>
      <c r="D260">
        <v>3.0842126399999899E-2</v>
      </c>
      <c r="E260">
        <v>1.8822002500000001E-2</v>
      </c>
      <c r="F260">
        <v>4.8710372499999897E-2</v>
      </c>
    </row>
    <row r="261" spans="1:6" x14ac:dyDescent="0.2">
      <c r="A261" t="s">
        <v>1065</v>
      </c>
      <c r="B261" t="s">
        <v>962</v>
      </c>
      <c r="C261" t="s">
        <v>963</v>
      </c>
      <c r="D261">
        <v>0.18404848779999999</v>
      </c>
      <c r="E261">
        <v>0.1251250575</v>
      </c>
      <c r="F261">
        <v>0.25828618249999902</v>
      </c>
    </row>
    <row r="262" spans="1:6" x14ac:dyDescent="0.2">
      <c r="A262" t="s">
        <v>1066</v>
      </c>
      <c r="B262" t="s">
        <v>965</v>
      </c>
      <c r="C262" t="s">
        <v>966</v>
      </c>
      <c r="D262">
        <v>0.18736458340000001</v>
      </c>
      <c r="E262">
        <v>0.1244286775</v>
      </c>
      <c r="F262">
        <v>0.26021716249999999</v>
      </c>
    </row>
    <row r="263" spans="1:6" x14ac:dyDescent="0.2">
      <c r="A263" t="s">
        <v>1067</v>
      </c>
      <c r="B263" t="s">
        <v>1068</v>
      </c>
      <c r="C263" t="s">
        <v>1069</v>
      </c>
      <c r="D263">
        <v>1.0140717400000001E-2</v>
      </c>
      <c r="E263">
        <v>4.8555075E-3</v>
      </c>
      <c r="F263">
        <v>1.933766E-2</v>
      </c>
    </row>
    <row r="264" spans="1:6" x14ac:dyDescent="0.2">
      <c r="A264" t="s">
        <v>1070</v>
      </c>
      <c r="B264" t="s">
        <v>863</v>
      </c>
      <c r="C264" t="s">
        <v>864</v>
      </c>
      <c r="D264">
        <v>6.08338594999999E-2</v>
      </c>
      <c r="E264">
        <v>3.9587362499999897E-2</v>
      </c>
      <c r="F264">
        <v>8.9085129999999998E-2</v>
      </c>
    </row>
    <row r="265" spans="1:6" x14ac:dyDescent="0.2">
      <c r="A265" t="s">
        <v>1071</v>
      </c>
      <c r="B265" t="s">
        <v>872</v>
      </c>
      <c r="C265" t="s">
        <v>873</v>
      </c>
      <c r="D265">
        <v>0.40161053799999902</v>
      </c>
      <c r="E265">
        <v>0.2682705675</v>
      </c>
      <c r="F265">
        <v>0.54533271750000001</v>
      </c>
    </row>
    <row r="266" spans="1:6" x14ac:dyDescent="0.2">
      <c r="A266" t="s">
        <v>1072</v>
      </c>
      <c r="B266" t="s">
        <v>1073</v>
      </c>
      <c r="C266" t="s">
        <v>1074</v>
      </c>
      <c r="D266">
        <v>3.1164678500000001E-2</v>
      </c>
      <c r="E266">
        <v>1.8060440000000001E-2</v>
      </c>
      <c r="F266">
        <v>4.9540897499999903E-2</v>
      </c>
    </row>
    <row r="267" spans="1:6" x14ac:dyDescent="0.2">
      <c r="A267" t="s">
        <v>1075</v>
      </c>
      <c r="B267" t="s">
        <v>703</v>
      </c>
      <c r="C267" t="s">
        <v>704</v>
      </c>
      <c r="D267">
        <v>0.20294601349999999</v>
      </c>
      <c r="E267">
        <v>0.13394816000000001</v>
      </c>
      <c r="F267">
        <v>0.28958335000000002</v>
      </c>
    </row>
    <row r="268" spans="1:6" x14ac:dyDescent="0.2">
      <c r="A268" t="s">
        <v>1076</v>
      </c>
      <c r="B268" t="s">
        <v>922</v>
      </c>
      <c r="C268" t="s">
        <v>923</v>
      </c>
      <c r="D268">
        <v>0.54166777129999999</v>
      </c>
      <c r="E268">
        <v>0.37403827749999902</v>
      </c>
      <c r="F268">
        <v>0.70224279499999998</v>
      </c>
    </row>
    <row r="269" spans="1:6" x14ac:dyDescent="0.2">
      <c r="A269" t="s">
        <v>1077</v>
      </c>
      <c r="B269" t="s">
        <v>1078</v>
      </c>
      <c r="C269" t="s">
        <v>1079</v>
      </c>
      <c r="D269">
        <v>9.2486303049999996E-2</v>
      </c>
      <c r="E269">
        <v>6.3713094999999997E-2</v>
      </c>
      <c r="F269">
        <v>0.12911613750000001</v>
      </c>
    </row>
    <row r="270" spans="1:6" x14ac:dyDescent="0.2">
      <c r="A270" t="s">
        <v>1080</v>
      </c>
      <c r="B270" t="s">
        <v>1081</v>
      </c>
      <c r="C270" t="s">
        <v>1079</v>
      </c>
      <c r="D270">
        <v>0.16741505925</v>
      </c>
      <c r="E270">
        <v>0.11486844874999901</v>
      </c>
      <c r="F270">
        <v>0.23069741124999901</v>
      </c>
    </row>
    <row r="271" spans="1:6" x14ac:dyDescent="0.2">
      <c r="A271" t="s">
        <v>1082</v>
      </c>
      <c r="B271" t="s">
        <v>1083</v>
      </c>
      <c r="C271" t="s">
        <v>1084</v>
      </c>
      <c r="D271">
        <v>1.6546802699999998E-2</v>
      </c>
      <c r="E271">
        <v>8.7435424999999997E-3</v>
      </c>
      <c r="F271">
        <v>2.8682119999999901E-2</v>
      </c>
    </row>
    <row r="272" spans="1:6" x14ac:dyDescent="0.2">
      <c r="A272" t="s">
        <v>1085</v>
      </c>
      <c r="B272" t="s">
        <v>938</v>
      </c>
      <c r="C272" t="s">
        <v>648</v>
      </c>
    </row>
    <row r="273" spans="1:6" x14ac:dyDescent="0.2">
      <c r="A273" t="s">
        <v>1086</v>
      </c>
      <c r="B273" t="s">
        <v>776</v>
      </c>
      <c r="C273" t="s">
        <v>777</v>
      </c>
      <c r="D273">
        <v>0.13341151879999999</v>
      </c>
      <c r="E273">
        <v>8.8459514999999905E-2</v>
      </c>
      <c r="F273">
        <v>0.18950166500000001</v>
      </c>
    </row>
    <row r="274" spans="1:6" x14ac:dyDescent="0.2">
      <c r="A274" t="s">
        <v>1087</v>
      </c>
      <c r="B274" t="s">
        <v>1034</v>
      </c>
      <c r="C274" t="s">
        <v>1035</v>
      </c>
      <c r="D274">
        <v>4.4530398599999903E-2</v>
      </c>
      <c r="E274">
        <v>2.7943497500000001E-2</v>
      </c>
      <c r="F274">
        <v>6.5829780000000004E-2</v>
      </c>
    </row>
    <row r="275" spans="1:6" x14ac:dyDescent="0.2">
      <c r="A275" t="s">
        <v>1088</v>
      </c>
      <c r="B275" t="s">
        <v>1037</v>
      </c>
      <c r="C275" t="s">
        <v>1038</v>
      </c>
      <c r="D275">
        <v>1.0793008600000001E-2</v>
      </c>
      <c r="E275">
        <v>5.1901200000000003E-3</v>
      </c>
      <c r="F275">
        <v>2.02353999999999E-2</v>
      </c>
    </row>
    <row r="276" spans="1:6" x14ac:dyDescent="0.2">
      <c r="A276" t="s">
        <v>1089</v>
      </c>
      <c r="B276" t="s">
        <v>1040</v>
      </c>
      <c r="C276" t="s">
        <v>1041</v>
      </c>
      <c r="D276">
        <v>4.25405801999999E-2</v>
      </c>
      <c r="E276">
        <v>2.5978245000000001E-2</v>
      </c>
      <c r="F276">
        <v>6.4453929999999895E-2</v>
      </c>
    </row>
    <row r="277" spans="1:6" x14ac:dyDescent="0.2">
      <c r="A277" t="s">
        <v>1090</v>
      </c>
      <c r="B277" t="s">
        <v>959</v>
      </c>
      <c r="C277" t="s">
        <v>960</v>
      </c>
      <c r="D277">
        <v>3.0842126399999899E-2</v>
      </c>
      <c r="E277">
        <v>1.8822002500000001E-2</v>
      </c>
      <c r="F277">
        <v>4.8710372499999897E-2</v>
      </c>
    </row>
    <row r="278" spans="1:6" x14ac:dyDescent="0.2">
      <c r="A278" t="s">
        <v>1091</v>
      </c>
      <c r="B278" t="s">
        <v>962</v>
      </c>
      <c r="C278" t="s">
        <v>963</v>
      </c>
      <c r="D278">
        <v>0.18404848779999999</v>
      </c>
      <c r="E278">
        <v>0.1251250575</v>
      </c>
      <c r="F278">
        <v>0.25828618249999902</v>
      </c>
    </row>
    <row r="279" spans="1:6" x14ac:dyDescent="0.2">
      <c r="A279" t="s">
        <v>1092</v>
      </c>
      <c r="B279" t="s">
        <v>965</v>
      </c>
      <c r="C279" t="s">
        <v>966</v>
      </c>
      <c r="D279">
        <v>0.18736458340000001</v>
      </c>
      <c r="E279">
        <v>0.1244286775</v>
      </c>
      <c r="F279">
        <v>0.26021716249999999</v>
      </c>
    </row>
    <row r="280" spans="1:6" x14ac:dyDescent="0.2">
      <c r="A280" t="s">
        <v>1093</v>
      </c>
      <c r="B280" t="s">
        <v>1068</v>
      </c>
      <c r="C280" t="s">
        <v>1069</v>
      </c>
      <c r="D280">
        <v>1.0140717400000001E-2</v>
      </c>
      <c r="E280">
        <v>4.8555075E-3</v>
      </c>
      <c r="F280">
        <v>1.933766E-2</v>
      </c>
    </row>
    <row r="281" spans="1:6" x14ac:dyDescent="0.2">
      <c r="A281" t="s">
        <v>1094</v>
      </c>
      <c r="B281" t="s">
        <v>863</v>
      </c>
      <c r="C281" t="s">
        <v>864</v>
      </c>
      <c r="D281">
        <v>6.08338594999999E-2</v>
      </c>
      <c r="E281">
        <v>3.9587362499999897E-2</v>
      </c>
      <c r="F281">
        <v>8.9085129999999998E-2</v>
      </c>
    </row>
    <row r="282" spans="1:6" x14ac:dyDescent="0.2">
      <c r="A282" t="s">
        <v>1095</v>
      </c>
      <c r="B282" t="s">
        <v>872</v>
      </c>
      <c r="C282" t="s">
        <v>873</v>
      </c>
      <c r="D282">
        <v>0.40161053799999902</v>
      </c>
      <c r="E282">
        <v>0.2682705675</v>
      </c>
      <c r="F282">
        <v>0.54533271750000001</v>
      </c>
    </row>
    <row r="283" spans="1:6" x14ac:dyDescent="0.2">
      <c r="A283" t="s">
        <v>1096</v>
      </c>
      <c r="B283" t="s">
        <v>1073</v>
      </c>
      <c r="C283" t="s">
        <v>1074</v>
      </c>
      <c r="D283">
        <v>3.1164678500000001E-2</v>
      </c>
      <c r="E283">
        <v>1.8060440000000001E-2</v>
      </c>
      <c r="F283">
        <v>4.9540897499999903E-2</v>
      </c>
    </row>
    <row r="284" spans="1:6" x14ac:dyDescent="0.2">
      <c r="A284" t="s">
        <v>1097</v>
      </c>
      <c r="B284" t="s">
        <v>703</v>
      </c>
      <c r="C284" t="s">
        <v>704</v>
      </c>
      <c r="D284">
        <v>0.20294601349999999</v>
      </c>
      <c r="E284">
        <v>0.13394816000000001</v>
      </c>
      <c r="F284">
        <v>0.28958335000000002</v>
      </c>
    </row>
    <row r="285" spans="1:6" x14ac:dyDescent="0.2">
      <c r="A285" t="s">
        <v>1098</v>
      </c>
      <c r="B285" t="s">
        <v>922</v>
      </c>
      <c r="C285" t="s">
        <v>923</v>
      </c>
      <c r="D285">
        <v>0.54166777129999999</v>
      </c>
      <c r="E285">
        <v>0.37403827749999902</v>
      </c>
      <c r="F285">
        <v>0.70224279499999998</v>
      </c>
    </row>
    <row r="286" spans="1:6" x14ac:dyDescent="0.2">
      <c r="A286" t="s">
        <v>1099</v>
      </c>
      <c r="B286" t="s">
        <v>1083</v>
      </c>
      <c r="C286" t="s">
        <v>1084</v>
      </c>
      <c r="D286">
        <v>1.6546802699999998E-2</v>
      </c>
      <c r="E286">
        <v>8.7435424999999997E-3</v>
      </c>
      <c r="F286">
        <v>2.8682119999999901E-2</v>
      </c>
    </row>
    <row r="287" spans="1:6" x14ac:dyDescent="0.2">
      <c r="A287" t="s">
        <v>1100</v>
      </c>
      <c r="B287" t="s">
        <v>938</v>
      </c>
      <c r="C287" t="s">
        <v>648</v>
      </c>
    </row>
    <row r="288" spans="1:6" x14ac:dyDescent="0.2">
      <c r="A288" t="s">
        <v>1101</v>
      </c>
      <c r="B288" t="s">
        <v>700</v>
      </c>
      <c r="C288" t="s">
        <v>701</v>
      </c>
      <c r="D288">
        <v>5.0594945799999902E-2</v>
      </c>
      <c r="E288">
        <v>3.2378222499999998E-2</v>
      </c>
      <c r="F288">
        <v>7.4050449999999907E-2</v>
      </c>
    </row>
    <row r="289" spans="1:6" x14ac:dyDescent="0.2">
      <c r="A289" t="s">
        <v>1102</v>
      </c>
      <c r="B289" t="s">
        <v>776</v>
      </c>
      <c r="C289" t="s">
        <v>777</v>
      </c>
      <c r="D289">
        <v>0.13341151879999999</v>
      </c>
      <c r="E289">
        <v>8.8459514999999905E-2</v>
      </c>
      <c r="F289">
        <v>0.18950166500000001</v>
      </c>
    </row>
    <row r="290" spans="1:6" x14ac:dyDescent="0.2">
      <c r="A290" t="s">
        <v>1103</v>
      </c>
      <c r="B290" t="s">
        <v>700</v>
      </c>
      <c r="C290" t="s">
        <v>701</v>
      </c>
      <c r="D290">
        <v>5.0594945799999902E-2</v>
      </c>
      <c r="E290">
        <v>3.2378222499999998E-2</v>
      </c>
      <c r="F290">
        <v>7.4050449999999907E-2</v>
      </c>
    </row>
    <row r="291" spans="1:6" x14ac:dyDescent="0.2">
      <c r="A291" t="s">
        <v>1104</v>
      </c>
      <c r="B291" t="s">
        <v>776</v>
      </c>
      <c r="C291" t="s">
        <v>777</v>
      </c>
      <c r="D291">
        <v>0.13341151879999999</v>
      </c>
      <c r="E291">
        <v>8.8459514999999905E-2</v>
      </c>
      <c r="F291">
        <v>0.18950166500000001</v>
      </c>
    </row>
    <row r="292" spans="1:6" x14ac:dyDescent="0.2">
      <c r="A292" t="s">
        <v>1105</v>
      </c>
      <c r="B292" t="s">
        <v>1068</v>
      </c>
      <c r="C292" t="s">
        <v>1069</v>
      </c>
      <c r="D292">
        <v>1.0140717400000001E-2</v>
      </c>
      <c r="E292">
        <v>4.8555075E-3</v>
      </c>
      <c r="F292">
        <v>1.933766E-2</v>
      </c>
    </row>
    <row r="293" spans="1:6" x14ac:dyDescent="0.2">
      <c r="A293" t="s">
        <v>1106</v>
      </c>
      <c r="B293" t="s">
        <v>863</v>
      </c>
      <c r="C293" t="s">
        <v>864</v>
      </c>
      <c r="D293">
        <v>6.08338594999999E-2</v>
      </c>
      <c r="E293">
        <v>3.9587362499999897E-2</v>
      </c>
      <c r="F293">
        <v>8.9085129999999998E-2</v>
      </c>
    </row>
    <row r="294" spans="1:6" x14ac:dyDescent="0.2">
      <c r="A294" t="s">
        <v>1107</v>
      </c>
      <c r="B294" t="s">
        <v>872</v>
      </c>
      <c r="C294" t="s">
        <v>873</v>
      </c>
      <c r="D294">
        <v>0.40161053799999902</v>
      </c>
      <c r="E294">
        <v>0.2682705675</v>
      </c>
      <c r="F294">
        <v>0.54533271750000001</v>
      </c>
    </row>
    <row r="295" spans="1:6" x14ac:dyDescent="0.2">
      <c r="A295" t="s">
        <v>1108</v>
      </c>
      <c r="B295" t="s">
        <v>1073</v>
      </c>
      <c r="C295" t="s">
        <v>1074</v>
      </c>
      <c r="D295">
        <v>3.1164678500000001E-2</v>
      </c>
      <c r="E295">
        <v>1.8060440000000001E-2</v>
      </c>
      <c r="F295">
        <v>4.9540897499999903E-2</v>
      </c>
    </row>
    <row r="296" spans="1:6" x14ac:dyDescent="0.2">
      <c r="A296" t="s">
        <v>1109</v>
      </c>
      <c r="B296" t="s">
        <v>866</v>
      </c>
      <c r="C296" t="s">
        <v>648</v>
      </c>
      <c r="D296">
        <v>0.23648531544898699</v>
      </c>
      <c r="E296">
        <v>0.16477131335158501</v>
      </c>
      <c r="F296">
        <v>0.32307596056295501</v>
      </c>
    </row>
    <row r="297" spans="1:6" x14ac:dyDescent="0.2">
      <c r="A297" t="s">
        <v>1110</v>
      </c>
      <c r="B297" t="s">
        <v>868</v>
      </c>
      <c r="C297" t="s">
        <v>648</v>
      </c>
    </row>
    <row r="298" spans="1:6" x14ac:dyDescent="0.2">
      <c r="A298" t="s">
        <v>1111</v>
      </c>
      <c r="B298" t="s">
        <v>870</v>
      </c>
      <c r="C298" t="s">
        <v>648</v>
      </c>
    </row>
    <row r="299" spans="1:6" x14ac:dyDescent="0.2">
      <c r="A299" t="s">
        <v>1111</v>
      </c>
      <c r="B299" t="s">
        <v>870</v>
      </c>
      <c r="C299" t="s">
        <v>648</v>
      </c>
    </row>
    <row r="300" spans="1:6" x14ac:dyDescent="0.2">
      <c r="A300" t="s">
        <v>1112</v>
      </c>
      <c r="B300" t="s">
        <v>879</v>
      </c>
      <c r="C300" t="s">
        <v>648</v>
      </c>
      <c r="D300">
        <v>0.35103802944739299</v>
      </c>
      <c r="E300">
        <v>0.245212131291454</v>
      </c>
      <c r="F300">
        <v>0.46739038855932402</v>
      </c>
    </row>
    <row r="301" spans="1:6" x14ac:dyDescent="0.2">
      <c r="A301" t="s">
        <v>1112</v>
      </c>
      <c r="B301" t="s">
        <v>879</v>
      </c>
      <c r="C301" t="s">
        <v>648</v>
      </c>
      <c r="D301">
        <v>0.35103802944739299</v>
      </c>
      <c r="E301">
        <v>0.245212131291454</v>
      </c>
      <c r="F301">
        <v>0.46739038855932402</v>
      </c>
    </row>
    <row r="302" spans="1:6" x14ac:dyDescent="0.2">
      <c r="A302" t="s">
        <v>1113</v>
      </c>
      <c r="B302" t="s">
        <v>881</v>
      </c>
      <c r="C302" t="s">
        <v>648</v>
      </c>
    </row>
    <row r="303" spans="1:6" x14ac:dyDescent="0.2">
      <c r="A303" t="s">
        <v>1113</v>
      </c>
      <c r="B303" t="s">
        <v>881</v>
      </c>
      <c r="C303" t="s">
        <v>648</v>
      </c>
    </row>
    <row r="304" spans="1:6" x14ac:dyDescent="0.2">
      <c r="A304" t="s">
        <v>1114</v>
      </c>
      <c r="B304" t="s">
        <v>883</v>
      </c>
      <c r="C304" t="s">
        <v>648</v>
      </c>
    </row>
    <row r="305" spans="1:6" x14ac:dyDescent="0.2">
      <c r="A305" t="s">
        <v>1114</v>
      </c>
      <c r="B305" t="s">
        <v>883</v>
      </c>
      <c r="C305" t="s">
        <v>648</v>
      </c>
    </row>
    <row r="306" spans="1:6" x14ac:dyDescent="0.2">
      <c r="A306" t="s">
        <v>1114</v>
      </c>
      <c r="B306" t="s">
        <v>883</v>
      </c>
      <c r="C306" t="s">
        <v>648</v>
      </c>
    </row>
    <row r="307" spans="1:6" x14ac:dyDescent="0.2">
      <c r="A307" t="s">
        <v>1115</v>
      </c>
      <c r="B307" t="s">
        <v>875</v>
      </c>
      <c r="C307" t="s">
        <v>648</v>
      </c>
      <c r="D307">
        <v>0.51154796962864801</v>
      </c>
      <c r="E307">
        <v>0.36513903067502901</v>
      </c>
      <c r="F307">
        <v>0.65776340132739497</v>
      </c>
    </row>
    <row r="308" spans="1:6" x14ac:dyDescent="0.2">
      <c r="A308" t="s">
        <v>1116</v>
      </c>
      <c r="B308" t="s">
        <v>877</v>
      </c>
      <c r="C308" t="s">
        <v>648</v>
      </c>
    </row>
    <row r="309" spans="1:6" x14ac:dyDescent="0.2">
      <c r="A309" t="s">
        <v>1117</v>
      </c>
      <c r="B309" t="s">
        <v>885</v>
      </c>
      <c r="C309" t="s">
        <v>648</v>
      </c>
    </row>
    <row r="310" spans="1:6" x14ac:dyDescent="0.2">
      <c r="A310" t="s">
        <v>1117</v>
      </c>
      <c r="B310" t="s">
        <v>885</v>
      </c>
      <c r="C310" t="s">
        <v>648</v>
      </c>
    </row>
    <row r="311" spans="1:6" x14ac:dyDescent="0.2">
      <c r="A311" t="s">
        <v>1118</v>
      </c>
      <c r="B311" t="s">
        <v>887</v>
      </c>
      <c r="C311" t="s">
        <v>648</v>
      </c>
      <c r="D311">
        <v>0.62507767911441803</v>
      </c>
      <c r="E311">
        <v>0.45449602852545301</v>
      </c>
      <c r="F311">
        <v>0.77777199816193399</v>
      </c>
    </row>
    <row r="312" spans="1:6" x14ac:dyDescent="0.2">
      <c r="A312" t="s">
        <v>1118</v>
      </c>
      <c r="B312" t="s">
        <v>887</v>
      </c>
      <c r="C312" t="s">
        <v>648</v>
      </c>
      <c r="D312">
        <v>0.62507767911441803</v>
      </c>
      <c r="E312">
        <v>0.45449602852545301</v>
      </c>
      <c r="F312">
        <v>0.77777199816193399</v>
      </c>
    </row>
    <row r="313" spans="1:6" x14ac:dyDescent="0.2">
      <c r="A313" t="s">
        <v>1119</v>
      </c>
      <c r="B313" t="s">
        <v>889</v>
      </c>
      <c r="C313" t="s">
        <v>648</v>
      </c>
    </row>
    <row r="314" spans="1:6" x14ac:dyDescent="0.2">
      <c r="A314" t="s">
        <v>1119</v>
      </c>
      <c r="B314" t="s">
        <v>889</v>
      </c>
      <c r="C314" t="s">
        <v>648</v>
      </c>
    </row>
    <row r="315" spans="1:6" x14ac:dyDescent="0.2">
      <c r="A315" t="s">
        <v>1120</v>
      </c>
      <c r="B315" t="s">
        <v>891</v>
      </c>
      <c r="C315" t="s">
        <v>648</v>
      </c>
    </row>
    <row r="316" spans="1:6" x14ac:dyDescent="0.2">
      <c r="A316" t="s">
        <v>1120</v>
      </c>
      <c r="B316" t="s">
        <v>891</v>
      </c>
      <c r="C316" t="s">
        <v>648</v>
      </c>
    </row>
    <row r="317" spans="1:6" x14ac:dyDescent="0.2">
      <c r="A317" t="s">
        <v>1120</v>
      </c>
      <c r="B317" t="s">
        <v>891</v>
      </c>
      <c r="C317" t="s">
        <v>648</v>
      </c>
    </row>
    <row r="318" spans="1:6" x14ac:dyDescent="0.2">
      <c r="A318" t="s">
        <v>1121</v>
      </c>
      <c r="B318" t="s">
        <v>700</v>
      </c>
      <c r="C318" t="s">
        <v>701</v>
      </c>
      <c r="D318">
        <v>5.0594945799999902E-2</v>
      </c>
      <c r="E318">
        <v>3.2378222499999998E-2</v>
      </c>
      <c r="F318">
        <v>7.4050449999999907E-2</v>
      </c>
    </row>
    <row r="319" spans="1:6" x14ac:dyDescent="0.2">
      <c r="A319" t="s">
        <v>1122</v>
      </c>
      <c r="B319" t="s">
        <v>776</v>
      </c>
      <c r="C319" t="s">
        <v>777</v>
      </c>
      <c r="D319">
        <v>0.13341151879999999</v>
      </c>
      <c r="E319">
        <v>8.8459514999999905E-2</v>
      </c>
      <c r="F319">
        <v>0.18950166500000001</v>
      </c>
    </row>
    <row r="320" spans="1:6" x14ac:dyDescent="0.2">
      <c r="A320" t="s">
        <v>1123</v>
      </c>
      <c r="B320" t="s">
        <v>714</v>
      </c>
      <c r="C320" t="s">
        <v>715</v>
      </c>
      <c r="D320">
        <v>5.7864971999999903E-3</v>
      </c>
      <c r="E320">
        <v>2.29985E-3</v>
      </c>
      <c r="F320">
        <v>1.2109072499999899E-2</v>
      </c>
    </row>
    <row r="321" spans="1:6" x14ac:dyDescent="0.2">
      <c r="A321" t="s">
        <v>1124</v>
      </c>
      <c r="B321" t="s">
        <v>1124</v>
      </c>
      <c r="C321" t="s">
        <v>1125</v>
      </c>
      <c r="D321">
        <v>5.7766013499999998E-2</v>
      </c>
      <c r="E321">
        <v>3.54452725E-2</v>
      </c>
      <c r="F321">
        <v>8.9710524999999902E-2</v>
      </c>
    </row>
    <row r="322" spans="1:6" x14ac:dyDescent="0.2">
      <c r="A322" t="s">
        <v>1126</v>
      </c>
      <c r="B322" t="s">
        <v>698</v>
      </c>
      <c r="D322">
        <v>0</v>
      </c>
      <c r="E322">
        <v>0</v>
      </c>
      <c r="F322">
        <v>0</v>
      </c>
    </row>
    <row r="323" spans="1:6" x14ac:dyDescent="0.2">
      <c r="A323" t="s">
        <v>1127</v>
      </c>
      <c r="B323" t="s">
        <v>700</v>
      </c>
      <c r="C323" t="s">
        <v>701</v>
      </c>
      <c r="D323">
        <v>5.0594945799999902E-2</v>
      </c>
      <c r="E323">
        <v>3.2378222499999998E-2</v>
      </c>
      <c r="F323">
        <v>7.4050449999999907E-2</v>
      </c>
    </row>
    <row r="324" spans="1:6" x14ac:dyDescent="0.2">
      <c r="A324" t="s">
        <v>1128</v>
      </c>
      <c r="B324" t="s">
        <v>776</v>
      </c>
      <c r="C324" t="s">
        <v>777</v>
      </c>
      <c r="D324">
        <v>0.13341151879999999</v>
      </c>
      <c r="E324">
        <v>8.8459514999999905E-2</v>
      </c>
      <c r="F324">
        <v>0.18950166500000001</v>
      </c>
    </row>
    <row r="325" spans="1:6" x14ac:dyDescent="0.2">
      <c r="A325" t="s">
        <v>1129</v>
      </c>
      <c r="B325" t="s">
        <v>698</v>
      </c>
      <c r="D325">
        <v>0</v>
      </c>
      <c r="E325">
        <v>0</v>
      </c>
      <c r="F325">
        <v>0</v>
      </c>
    </row>
    <row r="326" spans="1:6" x14ac:dyDescent="0.2">
      <c r="A326" t="s">
        <v>1130</v>
      </c>
      <c r="B326" t="s">
        <v>700</v>
      </c>
      <c r="C326" t="s">
        <v>701</v>
      </c>
      <c r="D326">
        <v>5.0594945799999902E-2</v>
      </c>
      <c r="E326">
        <v>3.2378222499999998E-2</v>
      </c>
      <c r="F326">
        <v>7.4050449999999907E-2</v>
      </c>
    </row>
    <row r="327" spans="1:6" x14ac:dyDescent="0.2">
      <c r="A327" t="s">
        <v>1131</v>
      </c>
      <c r="B327" t="s">
        <v>776</v>
      </c>
      <c r="C327" t="s">
        <v>777</v>
      </c>
      <c r="D327">
        <v>0.13341151879999999</v>
      </c>
      <c r="E327">
        <v>8.8459514999999905E-2</v>
      </c>
      <c r="F327">
        <v>0.18950166500000001</v>
      </c>
    </row>
    <row r="328" spans="1:6" x14ac:dyDescent="0.2">
      <c r="A328" t="s">
        <v>1132</v>
      </c>
      <c r="B328" t="s">
        <v>698</v>
      </c>
      <c r="D328">
        <v>0</v>
      </c>
      <c r="E328">
        <v>0</v>
      </c>
      <c r="F328">
        <v>0</v>
      </c>
    </row>
    <row r="329" spans="1:6" x14ac:dyDescent="0.2">
      <c r="A329" t="s">
        <v>1133</v>
      </c>
      <c r="B329" t="s">
        <v>700</v>
      </c>
      <c r="C329" t="s">
        <v>701</v>
      </c>
      <c r="D329">
        <v>5.0594945799999902E-2</v>
      </c>
      <c r="E329">
        <v>3.2378222499999998E-2</v>
      </c>
      <c r="F329">
        <v>7.4050449999999907E-2</v>
      </c>
    </row>
    <row r="330" spans="1:6" x14ac:dyDescent="0.2">
      <c r="A330" t="s">
        <v>1134</v>
      </c>
      <c r="B330" t="s">
        <v>776</v>
      </c>
      <c r="C330" t="s">
        <v>777</v>
      </c>
      <c r="D330">
        <v>0.13341151879999999</v>
      </c>
      <c r="E330">
        <v>8.8459514999999905E-2</v>
      </c>
      <c r="F330">
        <v>0.18950166500000001</v>
      </c>
    </row>
    <row r="331" spans="1:6" x14ac:dyDescent="0.2">
      <c r="A331" t="s">
        <v>1135</v>
      </c>
      <c r="B331" t="s">
        <v>698</v>
      </c>
      <c r="D331">
        <v>0</v>
      </c>
      <c r="E331">
        <v>0</v>
      </c>
      <c r="F331">
        <v>0</v>
      </c>
    </row>
    <row r="332" spans="1:6" x14ac:dyDescent="0.2">
      <c r="A332" t="s">
        <v>1136</v>
      </c>
      <c r="B332" t="s">
        <v>700</v>
      </c>
      <c r="C332" t="s">
        <v>701</v>
      </c>
      <c r="D332">
        <v>5.0594945799999902E-2</v>
      </c>
      <c r="E332">
        <v>3.2378222499999998E-2</v>
      </c>
      <c r="F332">
        <v>7.4050449999999907E-2</v>
      </c>
    </row>
    <row r="333" spans="1:6" x14ac:dyDescent="0.2">
      <c r="A333" t="s">
        <v>1137</v>
      </c>
      <c r="B333" t="s">
        <v>776</v>
      </c>
      <c r="C333" t="s">
        <v>777</v>
      </c>
      <c r="D333">
        <v>0.13341151879999999</v>
      </c>
      <c r="E333">
        <v>8.8459514999999905E-2</v>
      </c>
      <c r="F333">
        <v>0.18950166500000001</v>
      </c>
    </row>
    <row r="334" spans="1:6" x14ac:dyDescent="0.2">
      <c r="A334" t="s">
        <v>1138</v>
      </c>
      <c r="B334" t="s">
        <v>772</v>
      </c>
      <c r="C334" t="s">
        <v>773</v>
      </c>
      <c r="D334">
        <v>0.29616484669999898</v>
      </c>
      <c r="E334">
        <v>0.19813263</v>
      </c>
      <c r="F334">
        <v>0.41379708999999998</v>
      </c>
    </row>
    <row r="335" spans="1:6" x14ac:dyDescent="0.2">
      <c r="A335" t="s">
        <v>1139</v>
      </c>
      <c r="B335" t="s">
        <v>850</v>
      </c>
      <c r="C335" t="s">
        <v>851</v>
      </c>
      <c r="D335">
        <v>3.69639789999999E-3</v>
      </c>
      <c r="E335">
        <v>1.3124725E-3</v>
      </c>
      <c r="F335">
        <v>8.1387825000000004E-3</v>
      </c>
    </row>
    <row r="336" spans="1:6" x14ac:dyDescent="0.2">
      <c r="A336" t="s">
        <v>1140</v>
      </c>
      <c r="B336" t="s">
        <v>853</v>
      </c>
      <c r="C336" t="s">
        <v>854</v>
      </c>
      <c r="D336">
        <v>5.1541961499999997E-2</v>
      </c>
      <c r="E336">
        <v>3.3847374999999999E-2</v>
      </c>
      <c r="F336">
        <v>7.5721812499999999E-2</v>
      </c>
    </row>
    <row r="337" spans="1:6" x14ac:dyDescent="0.2">
      <c r="A337" t="s">
        <v>1141</v>
      </c>
      <c r="B337" t="s">
        <v>856</v>
      </c>
      <c r="C337" t="s">
        <v>857</v>
      </c>
      <c r="D337">
        <v>0.14876615300000001</v>
      </c>
      <c r="E337">
        <v>0.10073293999999899</v>
      </c>
      <c r="F337">
        <v>0.20911520249999899</v>
      </c>
    </row>
    <row r="338" spans="1:6" x14ac:dyDescent="0.2">
      <c r="A338" t="s">
        <v>1142</v>
      </c>
      <c r="B338" t="s">
        <v>764</v>
      </c>
    </row>
    <row r="339" spans="1:6" x14ac:dyDescent="0.2">
      <c r="A339" t="s">
        <v>1143</v>
      </c>
      <c r="B339" t="s">
        <v>850</v>
      </c>
      <c r="C339" t="s">
        <v>851</v>
      </c>
      <c r="D339">
        <v>3.69639789999999E-3</v>
      </c>
      <c r="E339">
        <v>1.3124725E-3</v>
      </c>
      <c r="F339">
        <v>8.1387825000000004E-3</v>
      </c>
    </row>
    <row r="340" spans="1:6" x14ac:dyDescent="0.2">
      <c r="A340" t="s">
        <v>1144</v>
      </c>
      <c r="B340" t="s">
        <v>853</v>
      </c>
      <c r="C340" t="s">
        <v>854</v>
      </c>
      <c r="D340">
        <v>5.1541961499999997E-2</v>
      </c>
      <c r="E340">
        <v>3.3847374999999999E-2</v>
      </c>
      <c r="F340">
        <v>7.5721812499999999E-2</v>
      </c>
    </row>
    <row r="341" spans="1:6" x14ac:dyDescent="0.2">
      <c r="A341" t="s">
        <v>1145</v>
      </c>
      <c r="B341" t="s">
        <v>856</v>
      </c>
      <c r="C341" t="s">
        <v>857</v>
      </c>
      <c r="D341">
        <v>0.14876615300000001</v>
      </c>
      <c r="E341">
        <v>0.10073293999999899</v>
      </c>
      <c r="F341">
        <v>0.20911520249999899</v>
      </c>
    </row>
    <row r="342" spans="1:6" x14ac:dyDescent="0.2">
      <c r="A342" t="s">
        <v>1146</v>
      </c>
      <c r="B342" t="s">
        <v>742</v>
      </c>
      <c r="C342" t="s">
        <v>743</v>
      </c>
      <c r="D342">
        <v>0.114339967</v>
      </c>
      <c r="E342">
        <v>7.7947084999999999E-2</v>
      </c>
      <c r="F342">
        <v>0.15867681249999999</v>
      </c>
    </row>
    <row r="343" spans="1:6" x14ac:dyDescent="0.2">
      <c r="A343" t="s">
        <v>1147</v>
      </c>
      <c r="B343" t="s">
        <v>745</v>
      </c>
      <c r="C343" t="s">
        <v>746</v>
      </c>
      <c r="D343">
        <v>0.32424655079999898</v>
      </c>
      <c r="E343">
        <v>0.21972131750000001</v>
      </c>
      <c r="F343">
        <v>0.44180473999999997</v>
      </c>
    </row>
    <row r="344" spans="1:6" x14ac:dyDescent="0.2">
      <c r="A344" t="s">
        <v>1148</v>
      </c>
      <c r="B344" t="s">
        <v>739</v>
      </c>
      <c r="C344" t="s">
        <v>740</v>
      </c>
      <c r="D344">
        <v>5.14515299999999E-3</v>
      </c>
      <c r="E344">
        <v>2.0020575E-3</v>
      </c>
      <c r="F344">
        <v>1.10252224999999E-2</v>
      </c>
    </row>
    <row r="345" spans="1:6" x14ac:dyDescent="0.2">
      <c r="A345" t="s">
        <v>1149</v>
      </c>
      <c r="B345" t="s">
        <v>700</v>
      </c>
      <c r="C345" t="s">
        <v>701</v>
      </c>
      <c r="D345">
        <v>5.0594945799999902E-2</v>
      </c>
      <c r="E345">
        <v>3.2378222499999998E-2</v>
      </c>
      <c r="F345">
        <v>7.4050449999999907E-2</v>
      </c>
    </row>
    <row r="346" spans="1:6" x14ac:dyDescent="0.2">
      <c r="A346" t="s">
        <v>1150</v>
      </c>
      <c r="B346" t="s">
        <v>776</v>
      </c>
      <c r="C346" t="s">
        <v>777</v>
      </c>
      <c r="D346">
        <v>0.13341151879999999</v>
      </c>
      <c r="E346">
        <v>8.8459514999999905E-2</v>
      </c>
      <c r="F346">
        <v>0.18950166500000001</v>
      </c>
    </row>
    <row r="347" spans="1:6" x14ac:dyDescent="0.2">
      <c r="A347" t="s">
        <v>1151</v>
      </c>
      <c r="B347" t="s">
        <v>1152</v>
      </c>
      <c r="C347" t="s">
        <v>648</v>
      </c>
      <c r="D347">
        <v>6.7162269851650594E-2</v>
      </c>
      <c r="E347">
        <v>4.1406855904478797E-2</v>
      </c>
      <c r="F347">
        <v>0.10272912446935301</v>
      </c>
    </row>
    <row r="348" spans="1:6" x14ac:dyDescent="0.2">
      <c r="A348" t="s">
        <v>1153</v>
      </c>
      <c r="B348" t="s">
        <v>1152</v>
      </c>
      <c r="C348" t="s">
        <v>648</v>
      </c>
      <c r="D348">
        <v>6.7162269851650594E-2</v>
      </c>
      <c r="E348">
        <v>4.1406855904478797E-2</v>
      </c>
      <c r="F348">
        <v>0.10272912446935301</v>
      </c>
    </row>
    <row r="349" spans="1:6" x14ac:dyDescent="0.2">
      <c r="A349" t="s">
        <v>1154</v>
      </c>
      <c r="B349" t="s">
        <v>911</v>
      </c>
      <c r="C349" t="s">
        <v>912</v>
      </c>
      <c r="D349">
        <v>4.9011414699999999E-2</v>
      </c>
      <c r="E349">
        <v>3.1121342499999899E-2</v>
      </c>
      <c r="F349">
        <v>7.2092547499999896E-2</v>
      </c>
    </row>
    <row r="350" spans="1:6" x14ac:dyDescent="0.2">
      <c r="A350" t="s">
        <v>1155</v>
      </c>
      <c r="B350" t="s">
        <v>1156</v>
      </c>
      <c r="C350" t="s">
        <v>648</v>
      </c>
      <c r="D350">
        <v>0.173592709453988</v>
      </c>
      <c r="E350">
        <v>0.119654046108031</v>
      </c>
      <c r="F350">
        <v>0.239485856666627</v>
      </c>
    </row>
    <row r="351" spans="1:6" x14ac:dyDescent="0.2">
      <c r="A351" t="s">
        <v>1157</v>
      </c>
      <c r="B351" t="s">
        <v>1158</v>
      </c>
      <c r="C351" t="s">
        <v>648</v>
      </c>
      <c r="D351">
        <v>0.60201058844927502</v>
      </c>
      <c r="E351">
        <v>0.426581275681651</v>
      </c>
      <c r="F351">
        <v>0.75272228774703898</v>
      </c>
    </row>
    <row r="352" spans="1:6" x14ac:dyDescent="0.2">
      <c r="A352" t="s">
        <v>1159</v>
      </c>
      <c r="B352" t="s">
        <v>745</v>
      </c>
      <c r="C352" t="s">
        <v>746</v>
      </c>
      <c r="D352">
        <v>0.32424655079999898</v>
      </c>
      <c r="E352">
        <v>0.21972131750000001</v>
      </c>
      <c r="F352">
        <v>0.44180473999999997</v>
      </c>
    </row>
    <row r="353" spans="1:6" x14ac:dyDescent="0.2">
      <c r="A353" t="s">
        <v>1160</v>
      </c>
      <c r="B353" t="s">
        <v>1160</v>
      </c>
      <c r="C353" t="s">
        <v>1161</v>
      </c>
      <c r="D353">
        <v>0.50124232310000005</v>
      </c>
      <c r="E353">
        <v>0.33897586749999897</v>
      </c>
      <c r="F353">
        <v>0.65669105249999904</v>
      </c>
    </row>
    <row r="354" spans="1:6" x14ac:dyDescent="0.2">
      <c r="A354" t="s">
        <v>1162</v>
      </c>
      <c r="B354" t="s">
        <v>1162</v>
      </c>
      <c r="C354" t="s">
        <v>1163</v>
      </c>
      <c r="D354">
        <v>0.34169778209999901</v>
      </c>
      <c r="E354">
        <v>0.22677866999999999</v>
      </c>
      <c r="F354">
        <v>0.47818819749999902</v>
      </c>
    </row>
    <row r="355" spans="1:6" x14ac:dyDescent="0.2">
      <c r="A355" t="s">
        <v>1164</v>
      </c>
      <c r="B355" t="s">
        <v>742</v>
      </c>
      <c r="C355" t="s">
        <v>743</v>
      </c>
      <c r="D355">
        <v>0.114339967</v>
      </c>
      <c r="E355">
        <v>7.7947084999999999E-2</v>
      </c>
      <c r="F355">
        <v>0.15867681249999999</v>
      </c>
    </row>
    <row r="356" spans="1:6" x14ac:dyDescent="0.2">
      <c r="A356" t="s">
        <v>1165</v>
      </c>
      <c r="B356" t="s">
        <v>742</v>
      </c>
      <c r="C356" t="s">
        <v>743</v>
      </c>
      <c r="D356">
        <v>0.114339967</v>
      </c>
      <c r="E356">
        <v>7.7947084999999999E-2</v>
      </c>
      <c r="F356">
        <v>0.15867681249999999</v>
      </c>
    </row>
    <row r="357" spans="1:6" x14ac:dyDescent="0.2">
      <c r="A357" t="s">
        <v>1166</v>
      </c>
      <c r="B357" t="s">
        <v>764</v>
      </c>
    </row>
    <row r="358" spans="1:6" x14ac:dyDescent="0.2">
      <c r="A358" t="s">
        <v>1167</v>
      </c>
      <c r="B358" t="s">
        <v>1068</v>
      </c>
      <c r="C358" t="s">
        <v>1069</v>
      </c>
      <c r="D358">
        <v>1.0140717400000001E-2</v>
      </c>
      <c r="E358">
        <v>4.8555075E-3</v>
      </c>
      <c r="F358">
        <v>1.933766E-2</v>
      </c>
    </row>
    <row r="359" spans="1:6" x14ac:dyDescent="0.2">
      <c r="A359" t="s">
        <v>1168</v>
      </c>
      <c r="B359" t="s">
        <v>1068</v>
      </c>
      <c r="C359" t="s">
        <v>1069</v>
      </c>
      <c r="D359">
        <v>1.0140717400000001E-2</v>
      </c>
      <c r="E359">
        <v>4.8555075E-3</v>
      </c>
      <c r="F359">
        <v>1.933766E-2</v>
      </c>
    </row>
    <row r="360" spans="1:6" x14ac:dyDescent="0.2">
      <c r="A360" t="s">
        <v>1169</v>
      </c>
      <c r="B360" t="s">
        <v>1068</v>
      </c>
      <c r="C360" t="s">
        <v>1069</v>
      </c>
      <c r="D360">
        <v>1.0140717400000001E-2</v>
      </c>
      <c r="E360">
        <v>4.8555075E-3</v>
      </c>
      <c r="F360">
        <v>1.933766E-2</v>
      </c>
    </row>
    <row r="361" spans="1:6" x14ac:dyDescent="0.2">
      <c r="A361" t="s">
        <v>1170</v>
      </c>
      <c r="B361" t="s">
        <v>863</v>
      </c>
      <c r="C361" t="s">
        <v>864</v>
      </c>
      <c r="D361">
        <v>6.08338594999999E-2</v>
      </c>
      <c r="E361">
        <v>3.9587362499999897E-2</v>
      </c>
      <c r="F361">
        <v>8.9085129999999998E-2</v>
      </c>
    </row>
    <row r="362" spans="1:6" x14ac:dyDescent="0.2">
      <c r="A362" t="s">
        <v>1171</v>
      </c>
      <c r="B362" t="s">
        <v>863</v>
      </c>
      <c r="C362" t="s">
        <v>864</v>
      </c>
      <c r="D362">
        <v>6.08338594999999E-2</v>
      </c>
      <c r="E362">
        <v>3.9587362499999897E-2</v>
      </c>
      <c r="F362">
        <v>8.9085129999999998E-2</v>
      </c>
    </row>
    <row r="363" spans="1:6" x14ac:dyDescent="0.2">
      <c r="A363" t="s">
        <v>1172</v>
      </c>
      <c r="B363" t="s">
        <v>863</v>
      </c>
      <c r="C363" t="s">
        <v>864</v>
      </c>
      <c r="D363">
        <v>6.08338594999999E-2</v>
      </c>
      <c r="E363">
        <v>3.9587362499999897E-2</v>
      </c>
      <c r="F363">
        <v>8.9085129999999998E-2</v>
      </c>
    </row>
    <row r="364" spans="1:6" x14ac:dyDescent="0.2">
      <c r="A364" t="s">
        <v>1173</v>
      </c>
      <c r="B364" t="s">
        <v>872</v>
      </c>
      <c r="C364" t="s">
        <v>873</v>
      </c>
      <c r="D364">
        <v>0.40161053799999902</v>
      </c>
      <c r="E364">
        <v>0.2682705675</v>
      </c>
      <c r="F364">
        <v>0.54533271750000001</v>
      </c>
    </row>
    <row r="365" spans="1:6" x14ac:dyDescent="0.2">
      <c r="A365" t="s">
        <v>1174</v>
      </c>
      <c r="B365" t="s">
        <v>872</v>
      </c>
      <c r="C365" t="s">
        <v>873</v>
      </c>
      <c r="D365">
        <v>0.40161053799999902</v>
      </c>
      <c r="E365">
        <v>0.2682705675</v>
      </c>
      <c r="F365">
        <v>0.54533271750000001</v>
      </c>
    </row>
    <row r="366" spans="1:6" x14ac:dyDescent="0.2">
      <c r="A366" t="s">
        <v>1175</v>
      </c>
      <c r="B366" t="s">
        <v>872</v>
      </c>
      <c r="C366" t="s">
        <v>873</v>
      </c>
      <c r="D366">
        <v>0.40161053799999902</v>
      </c>
      <c r="E366">
        <v>0.2682705675</v>
      </c>
      <c r="F366">
        <v>0.54533271750000001</v>
      </c>
    </row>
    <row r="367" spans="1:6" x14ac:dyDescent="0.2">
      <c r="A367" t="s">
        <v>1176</v>
      </c>
      <c r="B367" t="s">
        <v>1073</v>
      </c>
      <c r="C367" t="s">
        <v>1074</v>
      </c>
      <c r="D367">
        <v>3.1164678500000001E-2</v>
      </c>
      <c r="E367">
        <v>1.8060440000000001E-2</v>
      </c>
      <c r="F367">
        <v>4.9540897499999903E-2</v>
      </c>
    </row>
    <row r="368" spans="1:6" x14ac:dyDescent="0.2">
      <c r="A368" t="s">
        <v>1177</v>
      </c>
      <c r="B368" t="s">
        <v>1073</v>
      </c>
      <c r="C368" t="s">
        <v>1074</v>
      </c>
      <c r="D368">
        <v>3.1164678500000001E-2</v>
      </c>
      <c r="E368">
        <v>1.8060440000000001E-2</v>
      </c>
      <c r="F368">
        <v>4.9540897499999903E-2</v>
      </c>
    </row>
    <row r="369" spans="1:6" x14ac:dyDescent="0.2">
      <c r="A369" t="s">
        <v>1178</v>
      </c>
      <c r="B369" t="s">
        <v>1073</v>
      </c>
      <c r="C369" t="s">
        <v>1074</v>
      </c>
      <c r="D369">
        <v>3.1164678500000001E-2</v>
      </c>
      <c r="E369">
        <v>1.8060440000000001E-2</v>
      </c>
      <c r="F369">
        <v>4.9540897499999903E-2</v>
      </c>
    </row>
    <row r="370" spans="1:6" x14ac:dyDescent="0.2">
      <c r="A370" t="s">
        <v>1179</v>
      </c>
      <c r="B370" t="s">
        <v>866</v>
      </c>
      <c r="C370" t="s">
        <v>648</v>
      </c>
      <c r="D370">
        <v>0.23648531544898699</v>
      </c>
      <c r="E370">
        <v>0.16477131335158501</v>
      </c>
      <c r="F370">
        <v>0.32307596056295501</v>
      </c>
    </row>
    <row r="371" spans="1:6" x14ac:dyDescent="0.2">
      <c r="A371" t="s">
        <v>1180</v>
      </c>
      <c r="B371" t="s">
        <v>866</v>
      </c>
      <c r="C371" t="s">
        <v>648</v>
      </c>
      <c r="D371">
        <v>0.23648531544898699</v>
      </c>
      <c r="E371">
        <v>0.16477131335158501</v>
      </c>
      <c r="F371">
        <v>0.32307596056295501</v>
      </c>
    </row>
    <row r="372" spans="1:6" x14ac:dyDescent="0.2">
      <c r="A372" t="s">
        <v>1181</v>
      </c>
      <c r="B372" t="s">
        <v>866</v>
      </c>
      <c r="C372" t="s">
        <v>648</v>
      </c>
      <c r="D372">
        <v>0.23648531544898699</v>
      </c>
      <c r="E372">
        <v>0.16477131335158501</v>
      </c>
      <c r="F372">
        <v>0.32307596056295501</v>
      </c>
    </row>
    <row r="373" spans="1:6" x14ac:dyDescent="0.2">
      <c r="A373" t="s">
        <v>1182</v>
      </c>
      <c r="B373" t="s">
        <v>868</v>
      </c>
      <c r="C373" t="s">
        <v>648</v>
      </c>
    </row>
    <row r="374" spans="1:6" x14ac:dyDescent="0.2">
      <c r="A374" t="s">
        <v>1183</v>
      </c>
      <c r="B374" t="s">
        <v>868</v>
      </c>
      <c r="C374" t="s">
        <v>648</v>
      </c>
    </row>
    <row r="375" spans="1:6" x14ac:dyDescent="0.2">
      <c r="A375" t="s">
        <v>1184</v>
      </c>
      <c r="B375" t="s">
        <v>868</v>
      </c>
      <c r="C375" t="s">
        <v>648</v>
      </c>
    </row>
    <row r="376" spans="1:6" x14ac:dyDescent="0.2">
      <c r="A376" t="s">
        <v>1185</v>
      </c>
      <c r="B376" t="s">
        <v>870</v>
      </c>
      <c r="C376" t="s">
        <v>648</v>
      </c>
    </row>
    <row r="377" spans="1:6" x14ac:dyDescent="0.2">
      <c r="A377" t="s">
        <v>1185</v>
      </c>
      <c r="B377" t="s">
        <v>870</v>
      </c>
      <c r="C377" t="s">
        <v>648</v>
      </c>
    </row>
    <row r="378" spans="1:6" x14ac:dyDescent="0.2">
      <c r="A378" t="s">
        <v>1186</v>
      </c>
      <c r="B378" t="s">
        <v>870</v>
      </c>
      <c r="C378" t="s">
        <v>648</v>
      </c>
    </row>
    <row r="379" spans="1:6" x14ac:dyDescent="0.2">
      <c r="A379" t="s">
        <v>1186</v>
      </c>
      <c r="B379" t="s">
        <v>870</v>
      </c>
      <c r="C379" t="s">
        <v>648</v>
      </c>
    </row>
    <row r="380" spans="1:6" x14ac:dyDescent="0.2">
      <c r="A380" t="s">
        <v>1187</v>
      </c>
      <c r="B380" t="s">
        <v>870</v>
      </c>
      <c r="C380" t="s">
        <v>648</v>
      </c>
    </row>
    <row r="381" spans="1:6" x14ac:dyDescent="0.2">
      <c r="A381" t="s">
        <v>1187</v>
      </c>
      <c r="B381" t="s">
        <v>870</v>
      </c>
      <c r="C381" t="s">
        <v>648</v>
      </c>
    </row>
    <row r="382" spans="1:6" x14ac:dyDescent="0.2">
      <c r="A382" t="s">
        <v>1188</v>
      </c>
      <c r="B382" t="s">
        <v>879</v>
      </c>
      <c r="C382" t="s">
        <v>648</v>
      </c>
      <c r="D382">
        <v>0.35103802944739299</v>
      </c>
      <c r="E382">
        <v>0.245212131291454</v>
      </c>
      <c r="F382">
        <v>0.46739038855932402</v>
      </c>
    </row>
    <row r="383" spans="1:6" x14ac:dyDescent="0.2">
      <c r="A383" t="s">
        <v>1188</v>
      </c>
      <c r="B383" t="s">
        <v>879</v>
      </c>
      <c r="C383" t="s">
        <v>648</v>
      </c>
      <c r="D383">
        <v>0.35103802944739299</v>
      </c>
      <c r="E383">
        <v>0.245212131291454</v>
      </c>
      <c r="F383">
        <v>0.46739038855932402</v>
      </c>
    </row>
    <row r="384" spans="1:6" x14ac:dyDescent="0.2">
      <c r="A384" t="s">
        <v>1189</v>
      </c>
      <c r="B384" t="s">
        <v>879</v>
      </c>
      <c r="C384" t="s">
        <v>648</v>
      </c>
      <c r="D384">
        <v>0.35103802944739299</v>
      </c>
      <c r="E384">
        <v>0.245212131291454</v>
      </c>
      <c r="F384">
        <v>0.46739038855932402</v>
      </c>
    </row>
    <row r="385" spans="1:6" x14ac:dyDescent="0.2">
      <c r="A385" t="s">
        <v>1189</v>
      </c>
      <c r="B385" t="s">
        <v>879</v>
      </c>
      <c r="C385" t="s">
        <v>648</v>
      </c>
      <c r="D385">
        <v>0.35103802944739299</v>
      </c>
      <c r="E385">
        <v>0.245212131291454</v>
      </c>
      <c r="F385">
        <v>0.46739038855932402</v>
      </c>
    </row>
    <row r="386" spans="1:6" x14ac:dyDescent="0.2">
      <c r="A386" t="s">
        <v>1190</v>
      </c>
      <c r="B386" t="s">
        <v>879</v>
      </c>
      <c r="C386" t="s">
        <v>648</v>
      </c>
      <c r="D386">
        <v>0.35103802944739299</v>
      </c>
      <c r="E386">
        <v>0.245212131291454</v>
      </c>
      <c r="F386">
        <v>0.46739038855932402</v>
      </c>
    </row>
    <row r="387" spans="1:6" x14ac:dyDescent="0.2">
      <c r="A387" t="s">
        <v>1190</v>
      </c>
      <c r="B387" t="s">
        <v>879</v>
      </c>
      <c r="C387" t="s">
        <v>648</v>
      </c>
      <c r="D387">
        <v>0.35103802944739299</v>
      </c>
      <c r="E387">
        <v>0.245212131291454</v>
      </c>
      <c r="F387">
        <v>0.46739038855932402</v>
      </c>
    </row>
    <row r="388" spans="1:6" x14ac:dyDescent="0.2">
      <c r="A388" t="s">
        <v>1191</v>
      </c>
      <c r="B388" t="s">
        <v>881</v>
      </c>
      <c r="C388" t="s">
        <v>648</v>
      </c>
    </row>
    <row r="389" spans="1:6" x14ac:dyDescent="0.2">
      <c r="A389" t="s">
        <v>1191</v>
      </c>
      <c r="B389" t="s">
        <v>881</v>
      </c>
      <c r="C389" t="s">
        <v>648</v>
      </c>
    </row>
    <row r="390" spans="1:6" x14ac:dyDescent="0.2">
      <c r="A390" t="s">
        <v>1192</v>
      </c>
      <c r="B390" t="s">
        <v>881</v>
      </c>
      <c r="C390" t="s">
        <v>648</v>
      </c>
    </row>
    <row r="391" spans="1:6" x14ac:dyDescent="0.2">
      <c r="A391" t="s">
        <v>1192</v>
      </c>
      <c r="B391" t="s">
        <v>881</v>
      </c>
      <c r="C391" t="s">
        <v>648</v>
      </c>
    </row>
    <row r="392" spans="1:6" x14ac:dyDescent="0.2">
      <c r="A392" t="s">
        <v>1193</v>
      </c>
      <c r="B392" t="s">
        <v>881</v>
      </c>
      <c r="C392" t="s">
        <v>648</v>
      </c>
    </row>
    <row r="393" spans="1:6" x14ac:dyDescent="0.2">
      <c r="A393" t="s">
        <v>1193</v>
      </c>
      <c r="B393" t="s">
        <v>881</v>
      </c>
      <c r="C393" t="s">
        <v>648</v>
      </c>
    </row>
    <row r="394" spans="1:6" x14ac:dyDescent="0.2">
      <c r="A394" t="s">
        <v>1194</v>
      </c>
      <c r="B394" t="s">
        <v>883</v>
      </c>
      <c r="C394" t="s">
        <v>648</v>
      </c>
    </row>
    <row r="395" spans="1:6" x14ac:dyDescent="0.2">
      <c r="A395" t="s">
        <v>1194</v>
      </c>
      <c r="B395" t="s">
        <v>883</v>
      </c>
      <c r="C395" t="s">
        <v>648</v>
      </c>
    </row>
    <row r="396" spans="1:6" x14ac:dyDescent="0.2">
      <c r="A396" t="s">
        <v>1194</v>
      </c>
      <c r="B396" t="s">
        <v>883</v>
      </c>
      <c r="C396" t="s">
        <v>648</v>
      </c>
    </row>
    <row r="397" spans="1:6" x14ac:dyDescent="0.2">
      <c r="A397" t="s">
        <v>1195</v>
      </c>
      <c r="B397" t="s">
        <v>883</v>
      </c>
      <c r="C397" t="s">
        <v>648</v>
      </c>
    </row>
    <row r="398" spans="1:6" x14ac:dyDescent="0.2">
      <c r="A398" t="s">
        <v>1195</v>
      </c>
      <c r="B398" t="s">
        <v>883</v>
      </c>
      <c r="C398" t="s">
        <v>648</v>
      </c>
    </row>
    <row r="399" spans="1:6" x14ac:dyDescent="0.2">
      <c r="A399" t="s">
        <v>1195</v>
      </c>
      <c r="B399" t="s">
        <v>883</v>
      </c>
      <c r="C399" t="s">
        <v>648</v>
      </c>
    </row>
    <row r="400" spans="1:6" x14ac:dyDescent="0.2">
      <c r="A400" t="s">
        <v>1196</v>
      </c>
      <c r="B400" t="s">
        <v>883</v>
      </c>
      <c r="C400" t="s">
        <v>648</v>
      </c>
    </row>
    <row r="401" spans="1:6" x14ac:dyDescent="0.2">
      <c r="A401" t="s">
        <v>1196</v>
      </c>
      <c r="B401" t="s">
        <v>883</v>
      </c>
      <c r="C401" t="s">
        <v>648</v>
      </c>
    </row>
    <row r="402" spans="1:6" x14ac:dyDescent="0.2">
      <c r="A402" t="s">
        <v>1196</v>
      </c>
      <c r="B402" t="s">
        <v>883</v>
      </c>
      <c r="C402" t="s">
        <v>648</v>
      </c>
    </row>
    <row r="403" spans="1:6" x14ac:dyDescent="0.2">
      <c r="A403" t="s">
        <v>1197</v>
      </c>
      <c r="B403" t="s">
        <v>875</v>
      </c>
      <c r="C403" t="s">
        <v>648</v>
      </c>
      <c r="D403">
        <v>0.51154796962864801</v>
      </c>
      <c r="E403">
        <v>0.36513903067502901</v>
      </c>
      <c r="F403">
        <v>0.65776340132739497</v>
      </c>
    </row>
    <row r="404" spans="1:6" x14ac:dyDescent="0.2">
      <c r="A404" t="s">
        <v>1198</v>
      </c>
      <c r="B404" t="s">
        <v>875</v>
      </c>
      <c r="C404" t="s">
        <v>648</v>
      </c>
      <c r="D404">
        <v>0.51154796962864801</v>
      </c>
      <c r="E404">
        <v>0.36513903067502901</v>
      </c>
      <c r="F404">
        <v>0.65776340132739497</v>
      </c>
    </row>
    <row r="405" spans="1:6" x14ac:dyDescent="0.2">
      <c r="A405" t="s">
        <v>1199</v>
      </c>
      <c r="B405" t="s">
        <v>875</v>
      </c>
      <c r="C405" t="s">
        <v>648</v>
      </c>
      <c r="D405">
        <v>0.51154796962864801</v>
      </c>
      <c r="E405">
        <v>0.36513903067502901</v>
      </c>
      <c r="F405">
        <v>0.65776340132739497</v>
      </c>
    </row>
    <row r="406" spans="1:6" x14ac:dyDescent="0.2">
      <c r="A406" t="s">
        <v>1200</v>
      </c>
      <c r="B406" t="s">
        <v>877</v>
      </c>
      <c r="C406" t="s">
        <v>648</v>
      </c>
    </row>
    <row r="407" spans="1:6" x14ac:dyDescent="0.2">
      <c r="A407" t="s">
        <v>1201</v>
      </c>
      <c r="B407" t="s">
        <v>877</v>
      </c>
      <c r="C407" t="s">
        <v>648</v>
      </c>
    </row>
    <row r="408" spans="1:6" x14ac:dyDescent="0.2">
      <c r="A408" t="s">
        <v>1202</v>
      </c>
      <c r="B408" t="s">
        <v>877</v>
      </c>
      <c r="C408" t="s">
        <v>648</v>
      </c>
    </row>
    <row r="409" spans="1:6" x14ac:dyDescent="0.2">
      <c r="A409" t="s">
        <v>1203</v>
      </c>
      <c r="B409" t="s">
        <v>885</v>
      </c>
      <c r="C409" t="s">
        <v>648</v>
      </c>
    </row>
    <row r="410" spans="1:6" x14ac:dyDescent="0.2">
      <c r="A410" t="s">
        <v>1203</v>
      </c>
      <c r="B410" t="s">
        <v>885</v>
      </c>
      <c r="C410" t="s">
        <v>648</v>
      </c>
    </row>
    <row r="411" spans="1:6" x14ac:dyDescent="0.2">
      <c r="A411" t="s">
        <v>1204</v>
      </c>
      <c r="B411" t="s">
        <v>885</v>
      </c>
      <c r="C411" t="s">
        <v>648</v>
      </c>
    </row>
    <row r="412" spans="1:6" x14ac:dyDescent="0.2">
      <c r="A412" t="s">
        <v>1204</v>
      </c>
      <c r="B412" t="s">
        <v>885</v>
      </c>
      <c r="C412" t="s">
        <v>648</v>
      </c>
    </row>
    <row r="413" spans="1:6" x14ac:dyDescent="0.2">
      <c r="A413" t="s">
        <v>1205</v>
      </c>
      <c r="B413" t="s">
        <v>885</v>
      </c>
      <c r="C413" t="s">
        <v>648</v>
      </c>
    </row>
    <row r="414" spans="1:6" x14ac:dyDescent="0.2">
      <c r="A414" t="s">
        <v>1205</v>
      </c>
      <c r="B414" t="s">
        <v>885</v>
      </c>
      <c r="C414" t="s">
        <v>648</v>
      </c>
    </row>
    <row r="415" spans="1:6" x14ac:dyDescent="0.2">
      <c r="A415" t="s">
        <v>1206</v>
      </c>
      <c r="B415" t="s">
        <v>887</v>
      </c>
      <c r="C415" t="s">
        <v>648</v>
      </c>
      <c r="D415">
        <v>0.62507767911441803</v>
      </c>
      <c r="E415">
        <v>0.45449602852545301</v>
      </c>
      <c r="F415">
        <v>0.77777199816193399</v>
      </c>
    </row>
    <row r="416" spans="1:6" x14ac:dyDescent="0.2">
      <c r="A416" t="s">
        <v>1206</v>
      </c>
      <c r="B416" t="s">
        <v>887</v>
      </c>
      <c r="C416" t="s">
        <v>648</v>
      </c>
      <c r="D416">
        <v>0.62507767911441803</v>
      </c>
      <c r="E416">
        <v>0.45449602852545301</v>
      </c>
      <c r="F416">
        <v>0.77777199816193399</v>
      </c>
    </row>
    <row r="417" spans="1:6" x14ac:dyDescent="0.2">
      <c r="A417" t="s">
        <v>1207</v>
      </c>
      <c r="B417" t="s">
        <v>887</v>
      </c>
      <c r="C417" t="s">
        <v>648</v>
      </c>
      <c r="D417">
        <v>0.62507767911441803</v>
      </c>
      <c r="E417">
        <v>0.45449602852545301</v>
      </c>
      <c r="F417">
        <v>0.77777199816193399</v>
      </c>
    </row>
    <row r="418" spans="1:6" x14ac:dyDescent="0.2">
      <c r="A418" t="s">
        <v>1207</v>
      </c>
      <c r="B418" t="s">
        <v>887</v>
      </c>
      <c r="C418" t="s">
        <v>648</v>
      </c>
      <c r="D418">
        <v>0.62507767911441803</v>
      </c>
      <c r="E418">
        <v>0.45449602852545301</v>
      </c>
      <c r="F418">
        <v>0.77777199816193399</v>
      </c>
    </row>
    <row r="419" spans="1:6" x14ac:dyDescent="0.2">
      <c r="A419" t="s">
        <v>1208</v>
      </c>
      <c r="B419" t="s">
        <v>887</v>
      </c>
      <c r="C419" t="s">
        <v>648</v>
      </c>
      <c r="D419">
        <v>0.62507767911441803</v>
      </c>
      <c r="E419">
        <v>0.45449602852545301</v>
      </c>
      <c r="F419">
        <v>0.77777199816193399</v>
      </c>
    </row>
    <row r="420" spans="1:6" x14ac:dyDescent="0.2">
      <c r="A420" t="s">
        <v>1208</v>
      </c>
      <c r="B420" t="s">
        <v>887</v>
      </c>
      <c r="C420" t="s">
        <v>648</v>
      </c>
      <c r="D420">
        <v>0.62507767911441803</v>
      </c>
      <c r="E420">
        <v>0.45449602852545301</v>
      </c>
      <c r="F420">
        <v>0.77777199816193399</v>
      </c>
    </row>
    <row r="421" spans="1:6" x14ac:dyDescent="0.2">
      <c r="A421" t="s">
        <v>1209</v>
      </c>
      <c r="B421" t="s">
        <v>889</v>
      </c>
      <c r="C421" t="s">
        <v>648</v>
      </c>
    </row>
    <row r="422" spans="1:6" x14ac:dyDescent="0.2">
      <c r="A422" t="s">
        <v>1209</v>
      </c>
      <c r="B422" t="s">
        <v>889</v>
      </c>
      <c r="C422" t="s">
        <v>648</v>
      </c>
    </row>
    <row r="423" spans="1:6" x14ac:dyDescent="0.2">
      <c r="A423" t="s">
        <v>1210</v>
      </c>
      <c r="B423" t="s">
        <v>889</v>
      </c>
      <c r="C423" t="s">
        <v>648</v>
      </c>
    </row>
    <row r="424" spans="1:6" x14ac:dyDescent="0.2">
      <c r="A424" t="s">
        <v>1210</v>
      </c>
      <c r="B424" t="s">
        <v>889</v>
      </c>
      <c r="C424" t="s">
        <v>648</v>
      </c>
    </row>
    <row r="425" spans="1:6" x14ac:dyDescent="0.2">
      <c r="A425" t="s">
        <v>1211</v>
      </c>
      <c r="B425" t="s">
        <v>889</v>
      </c>
      <c r="C425" t="s">
        <v>648</v>
      </c>
    </row>
    <row r="426" spans="1:6" x14ac:dyDescent="0.2">
      <c r="A426" t="s">
        <v>1211</v>
      </c>
      <c r="B426" t="s">
        <v>889</v>
      </c>
      <c r="C426" t="s">
        <v>648</v>
      </c>
    </row>
    <row r="427" spans="1:6" x14ac:dyDescent="0.2">
      <c r="A427" t="s">
        <v>1212</v>
      </c>
      <c r="B427" t="s">
        <v>891</v>
      </c>
      <c r="C427" t="s">
        <v>648</v>
      </c>
    </row>
    <row r="428" spans="1:6" x14ac:dyDescent="0.2">
      <c r="A428" t="s">
        <v>1212</v>
      </c>
      <c r="B428" t="s">
        <v>891</v>
      </c>
      <c r="C428" t="s">
        <v>648</v>
      </c>
    </row>
    <row r="429" spans="1:6" x14ac:dyDescent="0.2">
      <c r="A429" t="s">
        <v>1212</v>
      </c>
      <c r="B429" t="s">
        <v>891</v>
      </c>
      <c r="C429" t="s">
        <v>648</v>
      </c>
    </row>
    <row r="430" spans="1:6" x14ac:dyDescent="0.2">
      <c r="A430" t="s">
        <v>1213</v>
      </c>
      <c r="B430" t="s">
        <v>891</v>
      </c>
      <c r="C430" t="s">
        <v>648</v>
      </c>
    </row>
    <row r="431" spans="1:6" x14ac:dyDescent="0.2">
      <c r="A431" t="s">
        <v>1213</v>
      </c>
      <c r="B431" t="s">
        <v>891</v>
      </c>
      <c r="C431" t="s">
        <v>648</v>
      </c>
    </row>
    <row r="432" spans="1:6" x14ac:dyDescent="0.2">
      <c r="A432" t="s">
        <v>1213</v>
      </c>
      <c r="B432" t="s">
        <v>891</v>
      </c>
      <c r="C432" t="s">
        <v>648</v>
      </c>
    </row>
    <row r="433" spans="1:6" x14ac:dyDescent="0.2">
      <c r="A433" t="s">
        <v>1214</v>
      </c>
      <c r="B433" t="s">
        <v>891</v>
      </c>
      <c r="C433" t="s">
        <v>648</v>
      </c>
    </row>
    <row r="434" spans="1:6" x14ac:dyDescent="0.2">
      <c r="A434" t="s">
        <v>1214</v>
      </c>
      <c r="B434" t="s">
        <v>891</v>
      </c>
      <c r="C434" t="s">
        <v>648</v>
      </c>
    </row>
    <row r="435" spans="1:6" x14ac:dyDescent="0.2">
      <c r="A435" t="s">
        <v>1214</v>
      </c>
      <c r="B435" t="s">
        <v>891</v>
      </c>
      <c r="C435" t="s">
        <v>648</v>
      </c>
    </row>
    <row r="436" spans="1:6" x14ac:dyDescent="0.2">
      <c r="A436" t="s">
        <v>1215</v>
      </c>
      <c r="B436" t="s">
        <v>1216</v>
      </c>
      <c r="C436" t="s">
        <v>1217</v>
      </c>
      <c r="D436">
        <v>3.0370671000000001E-3</v>
      </c>
      <c r="E436">
        <v>1.0119875E-3</v>
      </c>
      <c r="F436">
        <v>6.95614499999999E-3</v>
      </c>
    </row>
    <row r="437" spans="1:6" x14ac:dyDescent="0.2">
      <c r="A437" t="s">
        <v>1218</v>
      </c>
      <c r="B437" t="s">
        <v>959</v>
      </c>
      <c r="C437" t="s">
        <v>960</v>
      </c>
      <c r="D437">
        <v>3.0842126399999899E-2</v>
      </c>
      <c r="E437">
        <v>1.8822002500000001E-2</v>
      </c>
      <c r="F437">
        <v>4.8710372499999897E-2</v>
      </c>
    </row>
    <row r="438" spans="1:6" x14ac:dyDescent="0.2">
      <c r="A438" t="s">
        <v>1219</v>
      </c>
      <c r="B438" t="s">
        <v>962</v>
      </c>
      <c r="C438" t="s">
        <v>963</v>
      </c>
      <c r="D438">
        <v>0.18404848779999999</v>
      </c>
      <c r="E438">
        <v>0.1251250575</v>
      </c>
      <c r="F438">
        <v>0.25828618249999902</v>
      </c>
    </row>
    <row r="439" spans="1:6" x14ac:dyDescent="0.2">
      <c r="A439" t="s">
        <v>1220</v>
      </c>
      <c r="B439" t="s">
        <v>965</v>
      </c>
      <c r="C439" t="s">
        <v>966</v>
      </c>
      <c r="D439">
        <v>0.18736458340000001</v>
      </c>
      <c r="E439">
        <v>0.1244286775</v>
      </c>
      <c r="F439">
        <v>0.26021716249999999</v>
      </c>
    </row>
    <row r="440" spans="1:6" x14ac:dyDescent="0.2">
      <c r="A440" t="s">
        <v>1221</v>
      </c>
      <c r="B440" t="s">
        <v>698</v>
      </c>
      <c r="D440">
        <v>0</v>
      </c>
      <c r="E440">
        <v>0</v>
      </c>
      <c r="F440">
        <v>0</v>
      </c>
    </row>
    <row r="441" spans="1:6" x14ac:dyDescent="0.2">
      <c r="A441" t="s">
        <v>1222</v>
      </c>
      <c r="B441" t="s">
        <v>698</v>
      </c>
      <c r="D441">
        <v>0</v>
      </c>
      <c r="E441">
        <v>0</v>
      </c>
      <c r="F441">
        <v>0</v>
      </c>
    </row>
    <row r="442" spans="1:6" x14ac:dyDescent="0.2">
      <c r="A442" t="s">
        <v>1223</v>
      </c>
      <c r="B442" t="s">
        <v>698</v>
      </c>
      <c r="D442">
        <v>0</v>
      </c>
      <c r="E442">
        <v>0</v>
      </c>
      <c r="F442">
        <v>0</v>
      </c>
    </row>
    <row r="443" spans="1:6" x14ac:dyDescent="0.2">
      <c r="A443" t="s">
        <v>1224</v>
      </c>
      <c r="B443" t="s">
        <v>698</v>
      </c>
      <c r="D443">
        <v>0</v>
      </c>
      <c r="E443">
        <v>0</v>
      </c>
      <c r="F443">
        <v>0</v>
      </c>
    </row>
    <row r="444" spans="1:6" x14ac:dyDescent="0.2">
      <c r="A444" t="s">
        <v>1225</v>
      </c>
      <c r="B444" t="s">
        <v>1068</v>
      </c>
      <c r="C444" t="s">
        <v>1069</v>
      </c>
      <c r="D444">
        <v>1.0140717400000001E-2</v>
      </c>
      <c r="E444">
        <v>4.8555075E-3</v>
      </c>
      <c r="F444">
        <v>1.933766E-2</v>
      </c>
    </row>
    <row r="445" spans="1:6" x14ac:dyDescent="0.2">
      <c r="A445" t="s">
        <v>1226</v>
      </c>
      <c r="B445" t="s">
        <v>863</v>
      </c>
      <c r="C445" t="s">
        <v>864</v>
      </c>
      <c r="D445">
        <v>6.08338594999999E-2</v>
      </c>
      <c r="E445">
        <v>3.9587362499999897E-2</v>
      </c>
      <c r="F445">
        <v>8.9085129999999998E-2</v>
      </c>
    </row>
    <row r="446" spans="1:6" x14ac:dyDescent="0.2">
      <c r="A446" t="s">
        <v>1227</v>
      </c>
      <c r="B446" t="s">
        <v>872</v>
      </c>
      <c r="C446" t="s">
        <v>873</v>
      </c>
      <c r="D446">
        <v>0.40161053799999902</v>
      </c>
      <c r="E446">
        <v>0.2682705675</v>
      </c>
      <c r="F446">
        <v>0.54533271750000001</v>
      </c>
    </row>
    <row r="447" spans="1:6" x14ac:dyDescent="0.2">
      <c r="A447" t="s">
        <v>1228</v>
      </c>
      <c r="B447" t="s">
        <v>1073</v>
      </c>
      <c r="C447" t="s">
        <v>1074</v>
      </c>
      <c r="D447">
        <v>3.1164678500000001E-2</v>
      </c>
      <c r="E447">
        <v>1.8060440000000001E-2</v>
      </c>
      <c r="F447">
        <v>4.9540897499999903E-2</v>
      </c>
    </row>
    <row r="448" spans="1:6" x14ac:dyDescent="0.2">
      <c r="A448" t="s">
        <v>1229</v>
      </c>
      <c r="B448" t="s">
        <v>866</v>
      </c>
      <c r="C448" t="s">
        <v>648</v>
      </c>
      <c r="D448">
        <v>0.23648531544898699</v>
      </c>
      <c r="E448">
        <v>0.16477131335158501</v>
      </c>
      <c r="F448">
        <v>0.32307596056295501</v>
      </c>
    </row>
    <row r="449" spans="1:6" x14ac:dyDescent="0.2">
      <c r="A449" t="s">
        <v>1230</v>
      </c>
      <c r="B449" t="s">
        <v>868</v>
      </c>
      <c r="C449" t="s">
        <v>648</v>
      </c>
    </row>
    <row r="450" spans="1:6" x14ac:dyDescent="0.2">
      <c r="A450" t="s">
        <v>1231</v>
      </c>
      <c r="B450" t="s">
        <v>870</v>
      </c>
      <c r="C450" t="s">
        <v>648</v>
      </c>
    </row>
    <row r="451" spans="1:6" x14ac:dyDescent="0.2">
      <c r="A451" t="s">
        <v>1231</v>
      </c>
      <c r="B451" t="s">
        <v>870</v>
      </c>
      <c r="C451" t="s">
        <v>648</v>
      </c>
    </row>
    <row r="452" spans="1:6" x14ac:dyDescent="0.2">
      <c r="A452" t="s">
        <v>1232</v>
      </c>
      <c r="B452" t="s">
        <v>879</v>
      </c>
      <c r="C452" t="s">
        <v>648</v>
      </c>
      <c r="D452">
        <v>0.35103802944739299</v>
      </c>
      <c r="E452">
        <v>0.245212131291454</v>
      </c>
      <c r="F452">
        <v>0.46739038855932402</v>
      </c>
    </row>
    <row r="453" spans="1:6" x14ac:dyDescent="0.2">
      <c r="A453" t="s">
        <v>1232</v>
      </c>
      <c r="B453" t="s">
        <v>879</v>
      </c>
      <c r="C453" t="s">
        <v>648</v>
      </c>
      <c r="D453">
        <v>0.35103802944739299</v>
      </c>
      <c r="E453">
        <v>0.245212131291454</v>
      </c>
      <c r="F453">
        <v>0.46739038855932402</v>
      </c>
    </row>
    <row r="454" spans="1:6" x14ac:dyDescent="0.2">
      <c r="A454" t="s">
        <v>1233</v>
      </c>
      <c r="B454" t="s">
        <v>881</v>
      </c>
      <c r="C454" t="s">
        <v>648</v>
      </c>
    </row>
    <row r="455" spans="1:6" x14ac:dyDescent="0.2">
      <c r="A455" t="s">
        <v>1233</v>
      </c>
      <c r="B455" t="s">
        <v>881</v>
      </c>
      <c r="C455" t="s">
        <v>648</v>
      </c>
    </row>
    <row r="456" spans="1:6" x14ac:dyDescent="0.2">
      <c r="A456" t="s">
        <v>1234</v>
      </c>
      <c r="B456" t="s">
        <v>883</v>
      </c>
      <c r="C456" t="s">
        <v>648</v>
      </c>
    </row>
    <row r="457" spans="1:6" x14ac:dyDescent="0.2">
      <c r="A457" t="s">
        <v>1234</v>
      </c>
      <c r="B457" t="s">
        <v>883</v>
      </c>
      <c r="C457" t="s">
        <v>648</v>
      </c>
    </row>
    <row r="458" spans="1:6" x14ac:dyDescent="0.2">
      <c r="A458" t="s">
        <v>1234</v>
      </c>
      <c r="B458" t="s">
        <v>883</v>
      </c>
      <c r="C458" t="s">
        <v>648</v>
      </c>
    </row>
    <row r="459" spans="1:6" x14ac:dyDescent="0.2">
      <c r="A459" t="s">
        <v>1235</v>
      </c>
      <c r="B459" t="s">
        <v>875</v>
      </c>
      <c r="C459" t="s">
        <v>648</v>
      </c>
      <c r="D459">
        <v>0.51154796962864801</v>
      </c>
      <c r="E459">
        <v>0.36513903067502901</v>
      </c>
      <c r="F459">
        <v>0.65776340132739497</v>
      </c>
    </row>
    <row r="460" spans="1:6" x14ac:dyDescent="0.2">
      <c r="A460" t="s">
        <v>1236</v>
      </c>
      <c r="B460" t="s">
        <v>877</v>
      </c>
      <c r="C460" t="s">
        <v>648</v>
      </c>
    </row>
    <row r="461" spans="1:6" x14ac:dyDescent="0.2">
      <c r="A461" t="s">
        <v>1237</v>
      </c>
      <c r="B461" t="s">
        <v>885</v>
      </c>
      <c r="C461" t="s">
        <v>648</v>
      </c>
    </row>
    <row r="462" spans="1:6" x14ac:dyDescent="0.2">
      <c r="A462" t="s">
        <v>1237</v>
      </c>
      <c r="B462" t="s">
        <v>885</v>
      </c>
      <c r="C462" t="s">
        <v>648</v>
      </c>
    </row>
    <row r="463" spans="1:6" x14ac:dyDescent="0.2">
      <c r="A463" t="s">
        <v>1238</v>
      </c>
      <c r="B463" t="s">
        <v>887</v>
      </c>
      <c r="C463" t="s">
        <v>648</v>
      </c>
      <c r="D463">
        <v>0.62507767911441803</v>
      </c>
      <c r="E463">
        <v>0.45449602852545301</v>
      </c>
      <c r="F463">
        <v>0.77777199816193399</v>
      </c>
    </row>
    <row r="464" spans="1:6" x14ac:dyDescent="0.2">
      <c r="A464" t="s">
        <v>1238</v>
      </c>
      <c r="B464" t="s">
        <v>887</v>
      </c>
      <c r="C464" t="s">
        <v>648</v>
      </c>
      <c r="D464">
        <v>0.62507767911441803</v>
      </c>
      <c r="E464">
        <v>0.45449602852545301</v>
      </c>
      <c r="F464">
        <v>0.77777199816193399</v>
      </c>
    </row>
    <row r="465" spans="1:6" x14ac:dyDescent="0.2">
      <c r="A465" t="s">
        <v>1239</v>
      </c>
      <c r="B465" t="s">
        <v>889</v>
      </c>
      <c r="C465" t="s">
        <v>648</v>
      </c>
    </row>
    <row r="466" spans="1:6" x14ac:dyDescent="0.2">
      <c r="A466" t="s">
        <v>1239</v>
      </c>
      <c r="B466" t="s">
        <v>889</v>
      </c>
      <c r="C466" t="s">
        <v>648</v>
      </c>
    </row>
    <row r="467" spans="1:6" x14ac:dyDescent="0.2">
      <c r="A467" t="s">
        <v>1240</v>
      </c>
      <c r="B467" t="s">
        <v>891</v>
      </c>
      <c r="C467" t="s">
        <v>648</v>
      </c>
    </row>
    <row r="468" spans="1:6" x14ac:dyDescent="0.2">
      <c r="A468" t="s">
        <v>1240</v>
      </c>
      <c r="B468" t="s">
        <v>891</v>
      </c>
      <c r="C468" t="s">
        <v>648</v>
      </c>
    </row>
    <row r="469" spans="1:6" x14ac:dyDescent="0.2">
      <c r="A469" t="s">
        <v>1240</v>
      </c>
      <c r="B469" t="s">
        <v>891</v>
      </c>
      <c r="C469" t="s">
        <v>648</v>
      </c>
    </row>
    <row r="470" spans="1:6" x14ac:dyDescent="0.2">
      <c r="A470" t="s">
        <v>1241</v>
      </c>
      <c r="B470" t="s">
        <v>698</v>
      </c>
      <c r="D470">
        <v>0</v>
      </c>
      <c r="E470">
        <v>0</v>
      </c>
      <c r="F470">
        <v>0</v>
      </c>
    </row>
    <row r="471" spans="1:6" x14ac:dyDescent="0.2">
      <c r="A471" t="s">
        <v>1242</v>
      </c>
      <c r="B471" t="s">
        <v>1068</v>
      </c>
      <c r="C471" t="s">
        <v>1069</v>
      </c>
      <c r="D471">
        <v>1.0140717400000001E-2</v>
      </c>
      <c r="E471">
        <v>4.8555075E-3</v>
      </c>
      <c r="F471">
        <v>1.933766E-2</v>
      </c>
    </row>
    <row r="472" spans="1:6" x14ac:dyDescent="0.2">
      <c r="A472" t="s">
        <v>1243</v>
      </c>
      <c r="B472" t="s">
        <v>863</v>
      </c>
      <c r="C472" t="s">
        <v>864</v>
      </c>
      <c r="D472">
        <v>6.08338594999999E-2</v>
      </c>
      <c r="E472">
        <v>3.9587362499999897E-2</v>
      </c>
      <c r="F472">
        <v>8.9085129999999998E-2</v>
      </c>
    </row>
    <row r="473" spans="1:6" x14ac:dyDescent="0.2">
      <c r="A473" t="s">
        <v>1244</v>
      </c>
      <c r="B473" t="s">
        <v>872</v>
      </c>
      <c r="C473" t="s">
        <v>873</v>
      </c>
      <c r="D473">
        <v>0.40161053799999902</v>
      </c>
      <c r="E473">
        <v>0.2682705675</v>
      </c>
      <c r="F473">
        <v>0.54533271750000001</v>
      </c>
    </row>
    <row r="474" spans="1:6" x14ac:dyDescent="0.2">
      <c r="A474" t="s">
        <v>1245</v>
      </c>
      <c r="B474" t="s">
        <v>1073</v>
      </c>
      <c r="C474" t="s">
        <v>1074</v>
      </c>
      <c r="D474">
        <v>3.1164678500000001E-2</v>
      </c>
      <c r="E474">
        <v>1.8060440000000001E-2</v>
      </c>
      <c r="F474">
        <v>4.9540897499999903E-2</v>
      </c>
    </row>
    <row r="475" spans="1:6" x14ac:dyDescent="0.2">
      <c r="A475" t="s">
        <v>1246</v>
      </c>
      <c r="B475" t="s">
        <v>866</v>
      </c>
      <c r="C475" t="s">
        <v>648</v>
      </c>
      <c r="D475">
        <v>0.23648531544898699</v>
      </c>
      <c r="E475">
        <v>0.16477131335158501</v>
      </c>
      <c r="F475">
        <v>0.32307596056295501</v>
      </c>
    </row>
    <row r="476" spans="1:6" x14ac:dyDescent="0.2">
      <c r="A476" t="s">
        <v>1246</v>
      </c>
      <c r="B476" t="s">
        <v>866</v>
      </c>
      <c r="C476" t="s">
        <v>648</v>
      </c>
      <c r="D476">
        <v>0.23648531544898699</v>
      </c>
      <c r="E476">
        <v>0.16477131335158501</v>
      </c>
      <c r="F476">
        <v>0.32307596056295501</v>
      </c>
    </row>
    <row r="477" spans="1:6" x14ac:dyDescent="0.2">
      <c r="A477" t="s">
        <v>1247</v>
      </c>
      <c r="B477" t="s">
        <v>868</v>
      </c>
      <c r="C477" t="s">
        <v>648</v>
      </c>
    </row>
    <row r="478" spans="1:6" x14ac:dyDescent="0.2">
      <c r="A478" t="s">
        <v>1247</v>
      </c>
      <c r="B478" t="s">
        <v>868</v>
      </c>
      <c r="C478" t="s">
        <v>648</v>
      </c>
    </row>
    <row r="479" spans="1:6" x14ac:dyDescent="0.2">
      <c r="A479" t="s">
        <v>1248</v>
      </c>
      <c r="B479" t="s">
        <v>870</v>
      </c>
      <c r="C479" t="s">
        <v>648</v>
      </c>
    </row>
    <row r="480" spans="1:6" x14ac:dyDescent="0.2">
      <c r="A480" t="s">
        <v>1248</v>
      </c>
      <c r="B480" t="s">
        <v>870</v>
      </c>
      <c r="C480" t="s">
        <v>648</v>
      </c>
    </row>
    <row r="481" spans="1:6" x14ac:dyDescent="0.2">
      <c r="A481" t="s">
        <v>1248</v>
      </c>
      <c r="B481" t="s">
        <v>870</v>
      </c>
      <c r="C481" t="s">
        <v>648</v>
      </c>
    </row>
    <row r="482" spans="1:6" x14ac:dyDescent="0.2">
      <c r="A482" t="s">
        <v>1249</v>
      </c>
      <c r="B482" t="s">
        <v>879</v>
      </c>
      <c r="C482" t="s">
        <v>648</v>
      </c>
      <c r="D482">
        <v>0.35103802944739299</v>
      </c>
      <c r="E482">
        <v>0.245212131291454</v>
      </c>
      <c r="F482">
        <v>0.46739038855932402</v>
      </c>
    </row>
    <row r="483" spans="1:6" x14ac:dyDescent="0.2">
      <c r="A483" t="s">
        <v>1249</v>
      </c>
      <c r="B483" t="s">
        <v>879</v>
      </c>
      <c r="C483" t="s">
        <v>648</v>
      </c>
      <c r="D483">
        <v>0.35103802944739299</v>
      </c>
      <c r="E483">
        <v>0.245212131291454</v>
      </c>
      <c r="F483">
        <v>0.46739038855932402</v>
      </c>
    </row>
    <row r="484" spans="1:6" x14ac:dyDescent="0.2">
      <c r="A484" t="s">
        <v>1250</v>
      </c>
      <c r="B484" t="s">
        <v>881</v>
      </c>
      <c r="C484" t="s">
        <v>648</v>
      </c>
    </row>
    <row r="485" spans="1:6" x14ac:dyDescent="0.2">
      <c r="A485" t="s">
        <v>1250</v>
      </c>
      <c r="B485" t="s">
        <v>881</v>
      </c>
      <c r="C485" t="s">
        <v>648</v>
      </c>
    </row>
    <row r="486" spans="1:6" x14ac:dyDescent="0.2">
      <c r="A486" t="s">
        <v>1251</v>
      </c>
      <c r="B486" t="s">
        <v>883</v>
      </c>
      <c r="C486" t="s">
        <v>648</v>
      </c>
    </row>
    <row r="487" spans="1:6" x14ac:dyDescent="0.2">
      <c r="A487" t="s">
        <v>1251</v>
      </c>
      <c r="B487" t="s">
        <v>883</v>
      </c>
      <c r="C487" t="s">
        <v>648</v>
      </c>
    </row>
    <row r="488" spans="1:6" x14ac:dyDescent="0.2">
      <c r="A488" t="s">
        <v>1251</v>
      </c>
      <c r="B488" t="s">
        <v>883</v>
      </c>
      <c r="C488" t="s">
        <v>648</v>
      </c>
    </row>
    <row r="489" spans="1:6" x14ac:dyDescent="0.2">
      <c r="A489" t="s">
        <v>1252</v>
      </c>
      <c r="B489" t="s">
        <v>875</v>
      </c>
      <c r="C489" t="s">
        <v>648</v>
      </c>
      <c r="D489">
        <v>0.51154796962864801</v>
      </c>
      <c r="E489">
        <v>0.36513903067502901</v>
      </c>
      <c r="F489">
        <v>0.65776340132739497</v>
      </c>
    </row>
    <row r="490" spans="1:6" x14ac:dyDescent="0.2">
      <c r="A490" t="s">
        <v>1252</v>
      </c>
      <c r="B490" t="s">
        <v>875</v>
      </c>
      <c r="C490" t="s">
        <v>648</v>
      </c>
      <c r="D490">
        <v>0.51154796962864801</v>
      </c>
      <c r="E490">
        <v>0.36513903067502901</v>
      </c>
      <c r="F490">
        <v>0.65776340132739497</v>
      </c>
    </row>
    <row r="491" spans="1:6" x14ac:dyDescent="0.2">
      <c r="A491" t="s">
        <v>1253</v>
      </c>
      <c r="B491" t="s">
        <v>877</v>
      </c>
      <c r="C491" t="s">
        <v>648</v>
      </c>
    </row>
    <row r="492" spans="1:6" x14ac:dyDescent="0.2">
      <c r="A492" t="s">
        <v>1253</v>
      </c>
      <c r="B492" t="s">
        <v>877</v>
      </c>
      <c r="C492" t="s">
        <v>648</v>
      </c>
    </row>
    <row r="493" spans="1:6" x14ac:dyDescent="0.2">
      <c r="A493" t="s">
        <v>1254</v>
      </c>
      <c r="B493" t="s">
        <v>885</v>
      </c>
      <c r="C493" t="s">
        <v>648</v>
      </c>
    </row>
    <row r="494" spans="1:6" x14ac:dyDescent="0.2">
      <c r="A494" t="s">
        <v>1254</v>
      </c>
      <c r="B494" t="s">
        <v>885</v>
      </c>
      <c r="C494" t="s">
        <v>648</v>
      </c>
    </row>
    <row r="495" spans="1:6" x14ac:dyDescent="0.2">
      <c r="A495" t="s">
        <v>1254</v>
      </c>
      <c r="B495" t="s">
        <v>885</v>
      </c>
      <c r="C495" t="s">
        <v>648</v>
      </c>
    </row>
    <row r="496" spans="1:6" x14ac:dyDescent="0.2">
      <c r="A496" t="s">
        <v>1255</v>
      </c>
      <c r="B496" t="s">
        <v>887</v>
      </c>
      <c r="C496" t="s">
        <v>648</v>
      </c>
      <c r="D496">
        <v>0.62507767911441803</v>
      </c>
      <c r="E496">
        <v>0.45449602852545301</v>
      </c>
      <c r="F496">
        <v>0.77777199816193399</v>
      </c>
    </row>
    <row r="497" spans="1:6" x14ac:dyDescent="0.2">
      <c r="A497" t="s">
        <v>1255</v>
      </c>
      <c r="B497" t="s">
        <v>887</v>
      </c>
      <c r="C497" t="s">
        <v>648</v>
      </c>
      <c r="D497">
        <v>0.62507767911441803</v>
      </c>
      <c r="E497">
        <v>0.45449602852545301</v>
      </c>
      <c r="F497">
        <v>0.77777199816193399</v>
      </c>
    </row>
    <row r="498" spans="1:6" x14ac:dyDescent="0.2">
      <c r="A498" t="s">
        <v>1256</v>
      </c>
      <c r="B498" t="s">
        <v>889</v>
      </c>
      <c r="C498" t="s">
        <v>648</v>
      </c>
    </row>
    <row r="499" spans="1:6" x14ac:dyDescent="0.2">
      <c r="A499" t="s">
        <v>1256</v>
      </c>
      <c r="B499" t="s">
        <v>889</v>
      </c>
      <c r="C499" t="s">
        <v>648</v>
      </c>
    </row>
    <row r="500" spans="1:6" x14ac:dyDescent="0.2">
      <c r="A500" t="s">
        <v>1257</v>
      </c>
      <c r="B500" t="s">
        <v>891</v>
      </c>
      <c r="C500" t="s">
        <v>648</v>
      </c>
    </row>
    <row r="501" spans="1:6" x14ac:dyDescent="0.2">
      <c r="A501" t="s">
        <v>1257</v>
      </c>
      <c r="B501" t="s">
        <v>891</v>
      </c>
      <c r="C501" t="s">
        <v>648</v>
      </c>
    </row>
    <row r="502" spans="1:6" x14ac:dyDescent="0.2">
      <c r="A502" t="s">
        <v>1257</v>
      </c>
      <c r="B502" t="s">
        <v>891</v>
      </c>
      <c r="C502" t="s">
        <v>648</v>
      </c>
    </row>
    <row r="503" spans="1:6" x14ac:dyDescent="0.2">
      <c r="A503" t="s">
        <v>1258</v>
      </c>
      <c r="B503" t="s">
        <v>698</v>
      </c>
      <c r="D503">
        <v>0</v>
      </c>
      <c r="E503">
        <v>0</v>
      </c>
      <c r="F503">
        <v>0</v>
      </c>
    </row>
    <row r="504" spans="1:6" x14ac:dyDescent="0.2">
      <c r="A504" t="s">
        <v>1259</v>
      </c>
      <c r="B504" t="s">
        <v>745</v>
      </c>
      <c r="C504" t="s">
        <v>746</v>
      </c>
      <c r="D504">
        <v>0.32424655079999898</v>
      </c>
      <c r="E504">
        <v>0.21972131750000001</v>
      </c>
      <c r="F504">
        <v>0.44180473999999997</v>
      </c>
    </row>
    <row r="505" spans="1:6" x14ac:dyDescent="0.2">
      <c r="A505" t="s">
        <v>1260</v>
      </c>
      <c r="B505" t="s">
        <v>863</v>
      </c>
      <c r="C505" t="s">
        <v>864</v>
      </c>
      <c r="D505">
        <v>6.08338594999999E-2</v>
      </c>
      <c r="E505">
        <v>3.9587362499999897E-2</v>
      </c>
      <c r="F505">
        <v>8.9085129999999998E-2</v>
      </c>
    </row>
    <row r="506" spans="1:6" x14ac:dyDescent="0.2">
      <c r="A506" t="s">
        <v>1261</v>
      </c>
      <c r="B506" t="s">
        <v>872</v>
      </c>
      <c r="C506" t="s">
        <v>873</v>
      </c>
      <c r="D506">
        <v>0.40161053799999902</v>
      </c>
      <c r="E506">
        <v>0.2682705675</v>
      </c>
      <c r="F506">
        <v>0.54533271750000001</v>
      </c>
    </row>
    <row r="507" spans="1:6" x14ac:dyDescent="0.2">
      <c r="A507" t="s">
        <v>1262</v>
      </c>
      <c r="B507" t="s">
        <v>866</v>
      </c>
      <c r="C507" t="s">
        <v>648</v>
      </c>
      <c r="D507">
        <v>0.23648531544898699</v>
      </c>
      <c r="E507">
        <v>0.16477131335158501</v>
      </c>
      <c r="F507">
        <v>0.32307596056295501</v>
      </c>
    </row>
    <row r="508" spans="1:6" x14ac:dyDescent="0.2">
      <c r="A508" t="s">
        <v>1263</v>
      </c>
      <c r="B508" t="s">
        <v>868</v>
      </c>
      <c r="C508" t="s">
        <v>648</v>
      </c>
    </row>
    <row r="509" spans="1:6" x14ac:dyDescent="0.2">
      <c r="A509" t="s">
        <v>1264</v>
      </c>
      <c r="B509" t="s">
        <v>870</v>
      </c>
      <c r="C509" t="s">
        <v>648</v>
      </c>
    </row>
    <row r="510" spans="1:6" x14ac:dyDescent="0.2">
      <c r="A510" t="s">
        <v>1264</v>
      </c>
      <c r="B510" t="s">
        <v>870</v>
      </c>
      <c r="C510" t="s">
        <v>648</v>
      </c>
    </row>
    <row r="511" spans="1:6" x14ac:dyDescent="0.2">
      <c r="A511" t="s">
        <v>1265</v>
      </c>
      <c r="B511" t="s">
        <v>879</v>
      </c>
      <c r="C511" t="s">
        <v>648</v>
      </c>
      <c r="D511">
        <v>0.35103802944739299</v>
      </c>
      <c r="E511">
        <v>0.245212131291454</v>
      </c>
      <c r="F511">
        <v>0.46739038855932402</v>
      </c>
    </row>
    <row r="512" spans="1:6" x14ac:dyDescent="0.2">
      <c r="A512" t="s">
        <v>1265</v>
      </c>
      <c r="B512" t="s">
        <v>879</v>
      </c>
      <c r="C512" t="s">
        <v>648</v>
      </c>
      <c r="D512">
        <v>0.35103802944739299</v>
      </c>
      <c r="E512">
        <v>0.245212131291454</v>
      </c>
      <c r="F512">
        <v>0.46739038855932402</v>
      </c>
    </row>
    <row r="513" spans="1:6" x14ac:dyDescent="0.2">
      <c r="A513" t="s">
        <v>1266</v>
      </c>
      <c r="B513" t="s">
        <v>881</v>
      </c>
      <c r="C513" t="s">
        <v>648</v>
      </c>
    </row>
    <row r="514" spans="1:6" x14ac:dyDescent="0.2">
      <c r="A514" t="s">
        <v>1266</v>
      </c>
      <c r="B514" t="s">
        <v>881</v>
      </c>
      <c r="C514" t="s">
        <v>648</v>
      </c>
    </row>
    <row r="515" spans="1:6" x14ac:dyDescent="0.2">
      <c r="A515" t="s">
        <v>1267</v>
      </c>
      <c r="B515" t="s">
        <v>883</v>
      </c>
      <c r="C515" t="s">
        <v>648</v>
      </c>
    </row>
    <row r="516" spans="1:6" x14ac:dyDescent="0.2">
      <c r="A516" t="s">
        <v>1267</v>
      </c>
      <c r="B516" t="s">
        <v>883</v>
      </c>
      <c r="C516" t="s">
        <v>648</v>
      </c>
    </row>
    <row r="517" spans="1:6" x14ac:dyDescent="0.2">
      <c r="A517" t="s">
        <v>1267</v>
      </c>
      <c r="B517" t="s">
        <v>883</v>
      </c>
      <c r="C517" t="s">
        <v>648</v>
      </c>
    </row>
    <row r="518" spans="1:6" x14ac:dyDescent="0.2">
      <c r="A518" t="s">
        <v>1268</v>
      </c>
      <c r="B518" t="s">
        <v>875</v>
      </c>
      <c r="C518" t="s">
        <v>648</v>
      </c>
      <c r="D518">
        <v>0.51154796962864801</v>
      </c>
      <c r="E518">
        <v>0.36513903067502901</v>
      </c>
      <c r="F518">
        <v>0.65776340132739497</v>
      </c>
    </row>
    <row r="519" spans="1:6" x14ac:dyDescent="0.2">
      <c r="A519" t="s">
        <v>1269</v>
      </c>
      <c r="B519" t="s">
        <v>877</v>
      </c>
      <c r="C519" t="s">
        <v>648</v>
      </c>
    </row>
    <row r="520" spans="1:6" x14ac:dyDescent="0.2">
      <c r="A520" t="s">
        <v>1270</v>
      </c>
      <c r="B520" t="s">
        <v>885</v>
      </c>
      <c r="C520" t="s">
        <v>648</v>
      </c>
    </row>
    <row r="521" spans="1:6" x14ac:dyDescent="0.2">
      <c r="A521" t="s">
        <v>1270</v>
      </c>
      <c r="B521" t="s">
        <v>885</v>
      </c>
      <c r="C521" t="s">
        <v>648</v>
      </c>
    </row>
    <row r="522" spans="1:6" x14ac:dyDescent="0.2">
      <c r="A522" t="s">
        <v>1271</v>
      </c>
      <c r="B522" t="s">
        <v>887</v>
      </c>
      <c r="C522" t="s">
        <v>648</v>
      </c>
      <c r="D522">
        <v>0.62507767911441803</v>
      </c>
      <c r="E522">
        <v>0.45449602852545301</v>
      </c>
      <c r="F522">
        <v>0.77777199816193399</v>
      </c>
    </row>
    <row r="523" spans="1:6" x14ac:dyDescent="0.2">
      <c r="A523" t="s">
        <v>1271</v>
      </c>
      <c r="B523" t="s">
        <v>887</v>
      </c>
      <c r="C523" t="s">
        <v>648</v>
      </c>
      <c r="D523">
        <v>0.62507767911441803</v>
      </c>
      <c r="E523">
        <v>0.45449602852545301</v>
      </c>
      <c r="F523">
        <v>0.77777199816193399</v>
      </c>
    </row>
    <row r="524" spans="1:6" x14ac:dyDescent="0.2">
      <c r="A524" t="s">
        <v>1272</v>
      </c>
      <c r="B524" t="s">
        <v>889</v>
      </c>
      <c r="C524" t="s">
        <v>648</v>
      </c>
    </row>
    <row r="525" spans="1:6" x14ac:dyDescent="0.2">
      <c r="A525" t="s">
        <v>1272</v>
      </c>
      <c r="B525" t="s">
        <v>889</v>
      </c>
      <c r="C525" t="s">
        <v>648</v>
      </c>
    </row>
    <row r="526" spans="1:6" x14ac:dyDescent="0.2">
      <c r="A526" t="s">
        <v>1273</v>
      </c>
      <c r="B526" t="s">
        <v>891</v>
      </c>
      <c r="C526" t="s">
        <v>648</v>
      </c>
    </row>
    <row r="527" spans="1:6" x14ac:dyDescent="0.2">
      <c r="A527" t="s">
        <v>1273</v>
      </c>
      <c r="B527" t="s">
        <v>891</v>
      </c>
      <c r="C527" t="s">
        <v>648</v>
      </c>
    </row>
    <row r="528" spans="1:6" x14ac:dyDescent="0.2">
      <c r="A528" t="s">
        <v>1273</v>
      </c>
      <c r="B528" t="s">
        <v>891</v>
      </c>
      <c r="C528" t="s">
        <v>648</v>
      </c>
    </row>
    <row r="529" spans="1:6" x14ac:dyDescent="0.2">
      <c r="A529" t="s">
        <v>1274</v>
      </c>
      <c r="B529" t="s">
        <v>764</v>
      </c>
    </row>
    <row r="530" spans="1:6" x14ac:dyDescent="0.2">
      <c r="A530" t="s">
        <v>1275</v>
      </c>
      <c r="B530" t="s">
        <v>1276</v>
      </c>
      <c r="C530" t="s">
        <v>1277</v>
      </c>
      <c r="D530">
        <v>5.0987424099999998E-2</v>
      </c>
      <c r="E530">
        <v>3.0721927499999999E-2</v>
      </c>
      <c r="F530">
        <v>7.9410747500000003E-2</v>
      </c>
    </row>
    <row r="531" spans="1:6" x14ac:dyDescent="0.2">
      <c r="A531" t="s">
        <v>1278</v>
      </c>
      <c r="B531" t="s">
        <v>985</v>
      </c>
      <c r="C531" t="s">
        <v>986</v>
      </c>
      <c r="D531">
        <v>0.12765389569999999</v>
      </c>
      <c r="E531">
        <v>8.1910120000000003E-2</v>
      </c>
      <c r="F531">
        <v>0.18267661999999901</v>
      </c>
    </row>
    <row r="532" spans="1:6" x14ac:dyDescent="0.2">
      <c r="A532" t="s">
        <v>1279</v>
      </c>
      <c r="B532" t="s">
        <v>698</v>
      </c>
      <c r="D532">
        <v>0</v>
      </c>
      <c r="E532">
        <v>0</v>
      </c>
      <c r="F532">
        <v>0</v>
      </c>
    </row>
    <row r="533" spans="1:6" x14ac:dyDescent="0.2">
      <c r="A533" t="s">
        <v>1280</v>
      </c>
      <c r="B533" t="s">
        <v>1281</v>
      </c>
      <c r="C533" t="s">
        <v>648</v>
      </c>
      <c r="D533">
        <v>0.17194649122928701</v>
      </c>
      <c r="E533">
        <v>0.11473802245259</v>
      </c>
      <c r="F533">
        <v>0.23843374808057999</v>
      </c>
    </row>
    <row r="534" spans="1:6" x14ac:dyDescent="0.2">
      <c r="A534" t="s">
        <v>1282</v>
      </c>
      <c r="B534" t="s">
        <v>706</v>
      </c>
      <c r="C534" t="s">
        <v>707</v>
      </c>
      <c r="D534">
        <v>1.10162523999999E-2</v>
      </c>
      <c r="E534">
        <v>5.2397625E-3</v>
      </c>
      <c r="F534">
        <v>2.06195424999999E-2</v>
      </c>
    </row>
    <row r="535" spans="1:6" x14ac:dyDescent="0.2">
      <c r="A535" t="s">
        <v>1283</v>
      </c>
      <c r="B535" t="s">
        <v>1284</v>
      </c>
      <c r="C535" t="s">
        <v>648</v>
      </c>
      <c r="D535">
        <v>0.35791108266017102</v>
      </c>
      <c r="E535">
        <v>0.25206510125413301</v>
      </c>
      <c r="F535">
        <v>0.47525300517050401</v>
      </c>
    </row>
    <row r="536" spans="1:6" x14ac:dyDescent="0.2">
      <c r="A536" t="s">
        <v>1285</v>
      </c>
      <c r="B536" t="s">
        <v>1286</v>
      </c>
      <c r="C536" t="s">
        <v>648</v>
      </c>
      <c r="D536">
        <v>0.32590274776349998</v>
      </c>
      <c r="E536">
        <v>0.23322890059125201</v>
      </c>
      <c r="F536">
        <v>0.43762367329817298</v>
      </c>
    </row>
    <row r="537" spans="1:6" x14ac:dyDescent="0.2">
      <c r="A537" t="s">
        <v>1287</v>
      </c>
      <c r="B537" t="s">
        <v>698</v>
      </c>
      <c r="D537">
        <v>0</v>
      </c>
      <c r="E537">
        <v>0</v>
      </c>
      <c r="F537">
        <v>0</v>
      </c>
    </row>
    <row r="538" spans="1:6" x14ac:dyDescent="0.2">
      <c r="A538" t="s">
        <v>1288</v>
      </c>
      <c r="B538" t="s">
        <v>959</v>
      </c>
      <c r="C538" t="s">
        <v>960</v>
      </c>
      <c r="D538">
        <v>3.0842126399999899E-2</v>
      </c>
      <c r="E538">
        <v>1.8822002500000001E-2</v>
      </c>
      <c r="F538">
        <v>4.8710372499999897E-2</v>
      </c>
    </row>
    <row r="539" spans="1:6" x14ac:dyDescent="0.2">
      <c r="A539" t="s">
        <v>1289</v>
      </c>
      <c r="B539" t="s">
        <v>962</v>
      </c>
      <c r="C539" t="s">
        <v>963</v>
      </c>
      <c r="D539">
        <v>0.18404848779999999</v>
      </c>
      <c r="E539">
        <v>0.1251250575</v>
      </c>
      <c r="F539">
        <v>0.25828618249999902</v>
      </c>
    </row>
    <row r="540" spans="1:6" x14ac:dyDescent="0.2">
      <c r="A540" t="s">
        <v>1290</v>
      </c>
      <c r="B540" t="s">
        <v>965</v>
      </c>
      <c r="C540" t="s">
        <v>966</v>
      </c>
      <c r="D540">
        <v>0.18736458340000001</v>
      </c>
      <c r="E540">
        <v>0.1244286775</v>
      </c>
      <c r="F540">
        <v>0.26021716249999999</v>
      </c>
    </row>
    <row r="541" spans="1:6" x14ac:dyDescent="0.2">
      <c r="A541" t="s">
        <v>1291</v>
      </c>
      <c r="B541" t="s">
        <v>850</v>
      </c>
      <c r="C541" t="s">
        <v>851</v>
      </c>
      <c r="D541">
        <v>3.69639789999999E-3</v>
      </c>
      <c r="E541">
        <v>1.3124725E-3</v>
      </c>
      <c r="F541">
        <v>8.1387825000000004E-3</v>
      </c>
    </row>
    <row r="542" spans="1:6" x14ac:dyDescent="0.2">
      <c r="A542" t="s">
        <v>1292</v>
      </c>
      <c r="B542" t="s">
        <v>853</v>
      </c>
      <c r="C542" t="s">
        <v>854</v>
      </c>
      <c r="D542">
        <v>5.1541961499999997E-2</v>
      </c>
      <c r="E542">
        <v>3.3847374999999999E-2</v>
      </c>
      <c r="F542">
        <v>7.5721812499999999E-2</v>
      </c>
    </row>
    <row r="543" spans="1:6" x14ac:dyDescent="0.2">
      <c r="A543" t="s">
        <v>1293</v>
      </c>
      <c r="B543" t="s">
        <v>856</v>
      </c>
      <c r="C543" t="s">
        <v>857</v>
      </c>
      <c r="D543">
        <v>0.14876615300000001</v>
      </c>
      <c r="E543">
        <v>0.10073293999999899</v>
      </c>
      <c r="F543">
        <v>0.20911520249999899</v>
      </c>
    </row>
    <row r="544" spans="1:6" x14ac:dyDescent="0.2">
      <c r="A544" t="s">
        <v>1294</v>
      </c>
      <c r="B544" t="s">
        <v>850</v>
      </c>
      <c r="C544" t="s">
        <v>851</v>
      </c>
      <c r="D544">
        <v>3.69639789999999E-3</v>
      </c>
      <c r="E544">
        <v>1.3124725E-3</v>
      </c>
      <c r="F544">
        <v>8.1387825000000004E-3</v>
      </c>
    </row>
    <row r="545" spans="1:6" x14ac:dyDescent="0.2">
      <c r="A545" t="s">
        <v>1295</v>
      </c>
      <c r="B545" t="s">
        <v>853</v>
      </c>
      <c r="C545" t="s">
        <v>854</v>
      </c>
      <c r="D545">
        <v>5.1541961499999997E-2</v>
      </c>
      <c r="E545">
        <v>3.3847374999999999E-2</v>
      </c>
      <c r="F545">
        <v>7.5721812499999999E-2</v>
      </c>
    </row>
    <row r="546" spans="1:6" x14ac:dyDescent="0.2">
      <c r="A546" t="s">
        <v>1296</v>
      </c>
      <c r="B546" t="s">
        <v>856</v>
      </c>
      <c r="C546" t="s">
        <v>857</v>
      </c>
      <c r="D546">
        <v>0.14876615300000001</v>
      </c>
      <c r="E546">
        <v>0.10073293999999899</v>
      </c>
      <c r="F546">
        <v>0.20911520249999899</v>
      </c>
    </row>
    <row r="547" spans="1:6" x14ac:dyDescent="0.2">
      <c r="A547" t="s">
        <v>1297</v>
      </c>
      <c r="B547" t="s">
        <v>764</v>
      </c>
    </row>
    <row r="548" spans="1:6" x14ac:dyDescent="0.2">
      <c r="A548" t="s">
        <v>1298</v>
      </c>
      <c r="B548" t="s">
        <v>1299</v>
      </c>
      <c r="C548" t="s">
        <v>1300</v>
      </c>
      <c r="D548">
        <v>0.28750118009999998</v>
      </c>
      <c r="E548">
        <v>0.19259088999999999</v>
      </c>
      <c r="F548">
        <v>0.39893967000000002</v>
      </c>
    </row>
    <row r="549" spans="1:6" x14ac:dyDescent="0.2">
      <c r="A549" t="s">
        <v>1301</v>
      </c>
      <c r="B549" t="s">
        <v>1302</v>
      </c>
      <c r="C549" t="s">
        <v>1303</v>
      </c>
      <c r="D549">
        <v>0.45136111719999999</v>
      </c>
      <c r="E549">
        <v>0.30716694</v>
      </c>
      <c r="F549">
        <v>0.60029983249999996</v>
      </c>
    </row>
    <row r="550" spans="1:6" x14ac:dyDescent="0.2">
      <c r="A550" t="s">
        <v>1304</v>
      </c>
      <c r="B550" t="s">
        <v>1305</v>
      </c>
      <c r="C550" t="s">
        <v>1306</v>
      </c>
      <c r="D550">
        <v>0.539560491899999</v>
      </c>
      <c r="E550">
        <v>0.37669583249999999</v>
      </c>
      <c r="F550">
        <v>0.68709526999999904</v>
      </c>
    </row>
    <row r="551" spans="1:6" x14ac:dyDescent="0.2">
      <c r="A551" t="s">
        <v>1307</v>
      </c>
      <c r="B551" t="s">
        <v>911</v>
      </c>
      <c r="C551" t="s">
        <v>912</v>
      </c>
      <c r="D551">
        <v>4.9011414699999999E-2</v>
      </c>
      <c r="E551">
        <v>3.1121342499999899E-2</v>
      </c>
      <c r="F551">
        <v>7.2092547499999896E-2</v>
      </c>
    </row>
    <row r="552" spans="1:6" x14ac:dyDescent="0.2">
      <c r="A552" t="s">
        <v>1308</v>
      </c>
      <c r="B552" t="s">
        <v>1299</v>
      </c>
      <c r="C552" t="s">
        <v>1300</v>
      </c>
      <c r="D552">
        <v>0.28750118009999998</v>
      </c>
      <c r="E552">
        <v>0.19259088999999999</v>
      </c>
      <c r="F552">
        <v>0.39893967000000002</v>
      </c>
    </row>
    <row r="553" spans="1:6" x14ac:dyDescent="0.2">
      <c r="A553" t="s">
        <v>1309</v>
      </c>
      <c r="B553" t="s">
        <v>1302</v>
      </c>
      <c r="C553" t="s">
        <v>1303</v>
      </c>
      <c r="D553">
        <v>0.45136111719999999</v>
      </c>
      <c r="E553">
        <v>0.30716694</v>
      </c>
      <c r="F553">
        <v>0.60029983249999996</v>
      </c>
    </row>
    <row r="554" spans="1:6" x14ac:dyDescent="0.2">
      <c r="A554" t="s">
        <v>1310</v>
      </c>
      <c r="B554" t="s">
        <v>1305</v>
      </c>
      <c r="C554" t="s">
        <v>1306</v>
      </c>
      <c r="D554">
        <v>0.539560491899999</v>
      </c>
      <c r="E554">
        <v>0.37669583249999999</v>
      </c>
      <c r="F554">
        <v>0.68709526999999904</v>
      </c>
    </row>
    <row r="555" spans="1:6" x14ac:dyDescent="0.2">
      <c r="A555" t="s">
        <v>1311</v>
      </c>
      <c r="B555" t="s">
        <v>911</v>
      </c>
      <c r="C555" t="s">
        <v>912</v>
      </c>
      <c r="D555">
        <v>4.9011414699999999E-2</v>
      </c>
      <c r="E555">
        <v>3.1121342499999899E-2</v>
      </c>
      <c r="F555">
        <v>7.2092547499999896E-2</v>
      </c>
    </row>
    <row r="556" spans="1:6" x14ac:dyDescent="0.2">
      <c r="A556" t="s">
        <v>1312</v>
      </c>
      <c r="B556" t="s">
        <v>1299</v>
      </c>
      <c r="C556" t="s">
        <v>1300</v>
      </c>
      <c r="D556">
        <v>0.28750118009999998</v>
      </c>
      <c r="E556">
        <v>0.19259088999999999</v>
      </c>
      <c r="F556">
        <v>0.39893967000000002</v>
      </c>
    </row>
    <row r="557" spans="1:6" x14ac:dyDescent="0.2">
      <c r="A557" t="s">
        <v>1313</v>
      </c>
      <c r="B557" t="s">
        <v>1302</v>
      </c>
      <c r="C557" t="s">
        <v>1303</v>
      </c>
      <c r="D557">
        <v>0.45136111719999999</v>
      </c>
      <c r="E557">
        <v>0.30716694</v>
      </c>
      <c r="F557">
        <v>0.60029983249999996</v>
      </c>
    </row>
    <row r="558" spans="1:6" x14ac:dyDescent="0.2">
      <c r="A558" t="s">
        <v>1314</v>
      </c>
      <c r="B558" t="s">
        <v>1305</v>
      </c>
      <c r="C558" t="s">
        <v>1306</v>
      </c>
      <c r="D558">
        <v>0.539560491899999</v>
      </c>
      <c r="E558">
        <v>0.37669583249999999</v>
      </c>
      <c r="F558">
        <v>0.68709526999999904</v>
      </c>
    </row>
    <row r="559" spans="1:6" x14ac:dyDescent="0.2">
      <c r="A559" t="s">
        <v>1315</v>
      </c>
      <c r="B559" t="s">
        <v>911</v>
      </c>
      <c r="C559" t="s">
        <v>912</v>
      </c>
      <c r="D559">
        <v>4.9011414699999999E-2</v>
      </c>
      <c r="E559">
        <v>3.1121342499999899E-2</v>
      </c>
      <c r="F559">
        <v>7.2092547499999896E-2</v>
      </c>
    </row>
    <row r="560" spans="1:6" x14ac:dyDescent="0.2">
      <c r="A560" t="s">
        <v>1316</v>
      </c>
      <c r="B560" t="s">
        <v>1299</v>
      </c>
      <c r="C560" t="s">
        <v>1300</v>
      </c>
      <c r="D560">
        <v>0.28750118009999998</v>
      </c>
      <c r="E560">
        <v>0.19259088999999999</v>
      </c>
      <c r="F560">
        <v>0.39893967000000002</v>
      </c>
    </row>
    <row r="561" spans="1:6" x14ac:dyDescent="0.2">
      <c r="A561" t="s">
        <v>1317</v>
      </c>
      <c r="B561" t="s">
        <v>1302</v>
      </c>
      <c r="C561" t="s">
        <v>1303</v>
      </c>
      <c r="D561">
        <v>0.45136111719999999</v>
      </c>
      <c r="E561">
        <v>0.30716694</v>
      </c>
      <c r="F561">
        <v>0.60029983249999996</v>
      </c>
    </row>
    <row r="562" spans="1:6" x14ac:dyDescent="0.2">
      <c r="A562" t="s">
        <v>1318</v>
      </c>
      <c r="B562" t="s">
        <v>1305</v>
      </c>
      <c r="C562" t="s">
        <v>1306</v>
      </c>
      <c r="D562">
        <v>0.539560491899999</v>
      </c>
      <c r="E562">
        <v>0.37669583249999999</v>
      </c>
      <c r="F562">
        <v>0.68709526999999904</v>
      </c>
    </row>
    <row r="563" spans="1:6" x14ac:dyDescent="0.2">
      <c r="A563" t="s">
        <v>1319</v>
      </c>
      <c r="B563" t="s">
        <v>911</v>
      </c>
      <c r="C563" t="s">
        <v>912</v>
      </c>
      <c r="D563">
        <v>4.9011414699999999E-2</v>
      </c>
      <c r="E563">
        <v>3.1121342499999899E-2</v>
      </c>
      <c r="F563">
        <v>7.2092547499999896E-2</v>
      </c>
    </row>
    <row r="564" spans="1:6" x14ac:dyDescent="0.2">
      <c r="A564" t="s">
        <v>1320</v>
      </c>
      <c r="B564" t="s">
        <v>1299</v>
      </c>
      <c r="C564" t="s">
        <v>1300</v>
      </c>
      <c r="D564">
        <v>0.28750118009999998</v>
      </c>
      <c r="E564">
        <v>0.19259088999999999</v>
      </c>
      <c r="F564">
        <v>0.39893967000000002</v>
      </c>
    </row>
    <row r="565" spans="1:6" x14ac:dyDescent="0.2">
      <c r="A565" t="s">
        <v>1321</v>
      </c>
      <c r="B565" t="s">
        <v>1302</v>
      </c>
      <c r="C565" t="s">
        <v>1303</v>
      </c>
      <c r="D565">
        <v>0.45136111719999999</v>
      </c>
      <c r="E565">
        <v>0.30716694</v>
      </c>
      <c r="F565">
        <v>0.60029983249999996</v>
      </c>
    </row>
    <row r="566" spans="1:6" x14ac:dyDescent="0.2">
      <c r="A566" t="s">
        <v>1322</v>
      </c>
      <c r="B566" t="s">
        <v>1305</v>
      </c>
      <c r="C566" t="s">
        <v>1306</v>
      </c>
      <c r="D566">
        <v>0.539560491899999</v>
      </c>
      <c r="E566">
        <v>0.37669583249999999</v>
      </c>
      <c r="F566">
        <v>0.68709526999999904</v>
      </c>
    </row>
    <row r="567" spans="1:6" x14ac:dyDescent="0.2">
      <c r="A567" t="s">
        <v>1323</v>
      </c>
      <c r="B567" t="s">
        <v>911</v>
      </c>
      <c r="C567" t="s">
        <v>912</v>
      </c>
      <c r="D567">
        <v>4.9011414699999999E-2</v>
      </c>
      <c r="E567">
        <v>3.1121342499999899E-2</v>
      </c>
      <c r="F567">
        <v>7.2092547499999896E-2</v>
      </c>
    </row>
    <row r="568" spans="1:6" x14ac:dyDescent="0.2">
      <c r="A568" t="s">
        <v>1324</v>
      </c>
      <c r="B568" t="s">
        <v>1299</v>
      </c>
      <c r="C568" t="s">
        <v>1300</v>
      </c>
      <c r="D568">
        <v>0.28750118009999998</v>
      </c>
      <c r="E568">
        <v>0.19259088999999999</v>
      </c>
      <c r="F568">
        <v>0.39893967000000002</v>
      </c>
    </row>
    <row r="569" spans="1:6" x14ac:dyDescent="0.2">
      <c r="A569" t="s">
        <v>1325</v>
      </c>
      <c r="B569" t="s">
        <v>1302</v>
      </c>
      <c r="C569" t="s">
        <v>1303</v>
      </c>
      <c r="D569">
        <v>0.45136111719999999</v>
      </c>
      <c r="E569">
        <v>0.30716694</v>
      </c>
      <c r="F569">
        <v>0.60029983249999996</v>
      </c>
    </row>
    <row r="570" spans="1:6" x14ac:dyDescent="0.2">
      <c r="A570" t="s">
        <v>1326</v>
      </c>
      <c r="B570" t="s">
        <v>1327</v>
      </c>
      <c r="C570" t="s">
        <v>1328</v>
      </c>
      <c r="D570">
        <v>9.5103117299999901E-2</v>
      </c>
      <c r="E570">
        <v>6.3240879999999999E-2</v>
      </c>
      <c r="F570">
        <v>0.13132577749999999</v>
      </c>
    </row>
    <row r="571" spans="1:6" x14ac:dyDescent="0.2">
      <c r="A571" t="s">
        <v>1329</v>
      </c>
      <c r="B571" t="s">
        <v>1305</v>
      </c>
      <c r="C571" t="s">
        <v>1306</v>
      </c>
      <c r="D571">
        <v>0.539560491899999</v>
      </c>
      <c r="E571">
        <v>0.37669583249999999</v>
      </c>
      <c r="F571">
        <v>0.68709526999999904</v>
      </c>
    </row>
    <row r="572" spans="1:6" x14ac:dyDescent="0.2">
      <c r="A572" t="s">
        <v>1330</v>
      </c>
      <c r="B572" t="s">
        <v>911</v>
      </c>
      <c r="C572" t="s">
        <v>912</v>
      </c>
      <c r="D572">
        <v>4.9011414699999999E-2</v>
      </c>
      <c r="E572">
        <v>3.1121342499999899E-2</v>
      </c>
      <c r="F572">
        <v>7.2092547499999896E-2</v>
      </c>
    </row>
    <row r="573" spans="1:6" x14ac:dyDescent="0.2">
      <c r="A573" t="s">
        <v>1331</v>
      </c>
      <c r="B573" t="s">
        <v>1332</v>
      </c>
      <c r="C573" t="s">
        <v>648</v>
      </c>
      <c r="D573">
        <v>0.13929730187226699</v>
      </c>
      <c r="E573">
        <v>9.4411918536530304E-2</v>
      </c>
      <c r="F573">
        <v>0.19234549409774901</v>
      </c>
    </row>
    <row r="574" spans="1:6" x14ac:dyDescent="0.2">
      <c r="A574" t="s">
        <v>1333</v>
      </c>
      <c r="B574" t="s">
        <v>1299</v>
      </c>
      <c r="C574" t="s">
        <v>1300</v>
      </c>
      <c r="D574">
        <v>0.28750118009999998</v>
      </c>
      <c r="E574">
        <v>0.19259088999999999</v>
      </c>
      <c r="F574">
        <v>0.39893967000000002</v>
      </c>
    </row>
    <row r="575" spans="1:6" x14ac:dyDescent="0.2">
      <c r="A575" t="s">
        <v>1334</v>
      </c>
      <c r="B575" t="s">
        <v>1302</v>
      </c>
      <c r="C575" t="s">
        <v>1303</v>
      </c>
      <c r="D575">
        <v>0.45136111719999999</v>
      </c>
      <c r="E575">
        <v>0.30716694</v>
      </c>
      <c r="F575">
        <v>0.60029983249999996</v>
      </c>
    </row>
    <row r="576" spans="1:6" x14ac:dyDescent="0.2">
      <c r="A576" t="s">
        <v>1335</v>
      </c>
      <c r="B576" t="s">
        <v>1305</v>
      </c>
      <c r="C576" t="s">
        <v>1306</v>
      </c>
      <c r="D576">
        <v>0.539560491899999</v>
      </c>
      <c r="E576">
        <v>0.37669583249999999</v>
      </c>
      <c r="F576">
        <v>0.68709526999999904</v>
      </c>
    </row>
    <row r="577" spans="1:6" x14ac:dyDescent="0.2">
      <c r="A577" t="s">
        <v>1336</v>
      </c>
      <c r="B577" t="s">
        <v>911</v>
      </c>
      <c r="C577" t="s">
        <v>912</v>
      </c>
      <c r="D577">
        <v>4.9011414699999999E-2</v>
      </c>
      <c r="E577">
        <v>3.1121342499999899E-2</v>
      </c>
      <c r="F577">
        <v>7.2092547499999896E-2</v>
      </c>
    </row>
    <row r="578" spans="1:6" x14ac:dyDescent="0.2">
      <c r="A578" t="s">
        <v>1337</v>
      </c>
      <c r="B578" t="s">
        <v>1299</v>
      </c>
      <c r="C578" t="s">
        <v>1300</v>
      </c>
      <c r="D578">
        <v>0.28750118009999998</v>
      </c>
      <c r="E578">
        <v>0.19259088999999999</v>
      </c>
      <c r="F578">
        <v>0.39893967000000002</v>
      </c>
    </row>
    <row r="579" spans="1:6" x14ac:dyDescent="0.2">
      <c r="A579" t="s">
        <v>1338</v>
      </c>
      <c r="B579" t="s">
        <v>1302</v>
      </c>
      <c r="C579" t="s">
        <v>1303</v>
      </c>
      <c r="D579">
        <v>0.45136111719999999</v>
      </c>
      <c r="E579">
        <v>0.30716694</v>
      </c>
      <c r="F579">
        <v>0.60029983249999996</v>
      </c>
    </row>
    <row r="580" spans="1:6" x14ac:dyDescent="0.2">
      <c r="A580" t="s">
        <v>1339</v>
      </c>
      <c r="B580" t="s">
        <v>1305</v>
      </c>
      <c r="C580" t="s">
        <v>1306</v>
      </c>
      <c r="D580">
        <v>0.539560491899999</v>
      </c>
      <c r="E580">
        <v>0.37669583249999999</v>
      </c>
      <c r="F580">
        <v>0.68709526999999904</v>
      </c>
    </row>
    <row r="581" spans="1:6" x14ac:dyDescent="0.2">
      <c r="A581" t="s">
        <v>1340</v>
      </c>
      <c r="B581" t="s">
        <v>911</v>
      </c>
      <c r="C581" t="s">
        <v>912</v>
      </c>
      <c r="D581">
        <v>4.9011414699999999E-2</v>
      </c>
      <c r="E581">
        <v>3.1121342499999899E-2</v>
      </c>
      <c r="F581">
        <v>7.2092547499999896E-2</v>
      </c>
    </row>
    <row r="582" spans="1:6" x14ac:dyDescent="0.2">
      <c r="A582" t="s">
        <v>1341</v>
      </c>
      <c r="B582" t="s">
        <v>1299</v>
      </c>
      <c r="C582" t="s">
        <v>1300</v>
      </c>
      <c r="D582">
        <v>0.28750118009999998</v>
      </c>
      <c r="E582">
        <v>0.19259088999999999</v>
      </c>
      <c r="F582">
        <v>0.39893967000000002</v>
      </c>
    </row>
    <row r="583" spans="1:6" x14ac:dyDescent="0.2">
      <c r="A583" t="s">
        <v>1342</v>
      </c>
      <c r="B583" t="s">
        <v>1302</v>
      </c>
      <c r="C583" t="s">
        <v>1303</v>
      </c>
      <c r="D583">
        <v>0.45136111719999999</v>
      </c>
      <c r="E583">
        <v>0.30716694</v>
      </c>
      <c r="F583">
        <v>0.60029983249999996</v>
      </c>
    </row>
    <row r="584" spans="1:6" x14ac:dyDescent="0.2">
      <c r="A584" t="s">
        <v>1343</v>
      </c>
      <c r="B584" t="s">
        <v>1305</v>
      </c>
      <c r="C584" t="s">
        <v>1306</v>
      </c>
      <c r="D584">
        <v>0.539560491899999</v>
      </c>
      <c r="E584">
        <v>0.37669583249999999</v>
      </c>
      <c r="F584">
        <v>0.68709526999999904</v>
      </c>
    </row>
    <row r="585" spans="1:6" x14ac:dyDescent="0.2">
      <c r="A585" t="s">
        <v>1344</v>
      </c>
      <c r="B585" t="s">
        <v>911</v>
      </c>
      <c r="C585" t="s">
        <v>912</v>
      </c>
      <c r="D585">
        <v>4.9011414699999999E-2</v>
      </c>
      <c r="E585">
        <v>3.1121342499999899E-2</v>
      </c>
      <c r="F585">
        <v>7.2092547499999896E-2</v>
      </c>
    </row>
    <row r="586" spans="1:6" x14ac:dyDescent="0.2">
      <c r="A586" t="s">
        <v>1345</v>
      </c>
      <c r="B586" t="s">
        <v>1299</v>
      </c>
      <c r="C586" t="s">
        <v>1300</v>
      </c>
      <c r="D586">
        <v>0.28750118009999998</v>
      </c>
      <c r="E586">
        <v>0.19259088999999999</v>
      </c>
      <c r="F586">
        <v>0.39893967000000002</v>
      </c>
    </row>
    <row r="587" spans="1:6" x14ac:dyDescent="0.2">
      <c r="A587" t="s">
        <v>1346</v>
      </c>
      <c r="B587" t="s">
        <v>1302</v>
      </c>
      <c r="C587" t="s">
        <v>1303</v>
      </c>
      <c r="D587">
        <v>0.45136111719999999</v>
      </c>
      <c r="E587">
        <v>0.30716694</v>
      </c>
      <c r="F587">
        <v>0.60029983249999996</v>
      </c>
    </row>
    <row r="588" spans="1:6" x14ac:dyDescent="0.2">
      <c r="A588" t="s">
        <v>1347</v>
      </c>
      <c r="B588" t="s">
        <v>1348</v>
      </c>
      <c r="C588" t="s">
        <v>1349</v>
      </c>
      <c r="D588">
        <v>0.56850238799999897</v>
      </c>
      <c r="E588">
        <v>0.38881356</v>
      </c>
      <c r="F588">
        <v>0.72678767</v>
      </c>
    </row>
    <row r="589" spans="1:6" x14ac:dyDescent="0.2">
      <c r="A589" t="s">
        <v>1350</v>
      </c>
      <c r="B589" t="s">
        <v>911</v>
      </c>
      <c r="C589" t="s">
        <v>912</v>
      </c>
      <c r="D589">
        <v>4.9011414699999999E-2</v>
      </c>
      <c r="E589">
        <v>3.1121342499999899E-2</v>
      </c>
      <c r="F589">
        <v>7.2092547499999896E-2</v>
      </c>
    </row>
    <row r="590" spans="1:6" x14ac:dyDescent="0.2">
      <c r="A590" t="s">
        <v>1351</v>
      </c>
      <c r="B590" t="s">
        <v>1299</v>
      </c>
      <c r="C590" t="s">
        <v>1300</v>
      </c>
      <c r="D590">
        <v>0.28750118009999998</v>
      </c>
      <c r="E590">
        <v>0.19259088999999999</v>
      </c>
      <c r="F590">
        <v>0.39893967000000002</v>
      </c>
    </row>
    <row r="591" spans="1:6" x14ac:dyDescent="0.2">
      <c r="A591" t="s">
        <v>1352</v>
      </c>
      <c r="B591" t="s">
        <v>1302</v>
      </c>
      <c r="C591" t="s">
        <v>1303</v>
      </c>
      <c r="D591">
        <v>0.45136111719999999</v>
      </c>
      <c r="E591">
        <v>0.30716694</v>
      </c>
      <c r="F591">
        <v>0.60029983249999996</v>
      </c>
    </row>
    <row r="592" spans="1:6" x14ac:dyDescent="0.2">
      <c r="A592" t="s">
        <v>1353</v>
      </c>
      <c r="B592" t="s">
        <v>1305</v>
      </c>
      <c r="C592" t="s">
        <v>1306</v>
      </c>
      <c r="D592">
        <v>0.539560491899999</v>
      </c>
      <c r="E592">
        <v>0.37669583249999999</v>
      </c>
      <c r="F592">
        <v>0.68709526999999904</v>
      </c>
    </row>
    <row r="593" spans="1:6" x14ac:dyDescent="0.2">
      <c r="A593" t="s">
        <v>1354</v>
      </c>
      <c r="B593" t="s">
        <v>911</v>
      </c>
      <c r="C593" t="s">
        <v>912</v>
      </c>
      <c r="D593">
        <v>4.9011414699999999E-2</v>
      </c>
      <c r="E593">
        <v>3.1121342499999899E-2</v>
      </c>
      <c r="F593">
        <v>7.2092547499999896E-2</v>
      </c>
    </row>
    <row r="594" spans="1:6" x14ac:dyDescent="0.2">
      <c r="A594" t="s">
        <v>1355</v>
      </c>
      <c r="B594" t="s">
        <v>1299</v>
      </c>
      <c r="C594" t="s">
        <v>1300</v>
      </c>
      <c r="D594">
        <v>0.28750118009999998</v>
      </c>
      <c r="E594">
        <v>0.19259088999999999</v>
      </c>
      <c r="F594">
        <v>0.39893967000000002</v>
      </c>
    </row>
    <row r="595" spans="1:6" x14ac:dyDescent="0.2">
      <c r="A595" t="s">
        <v>1356</v>
      </c>
      <c r="B595" t="s">
        <v>1302</v>
      </c>
      <c r="C595" t="s">
        <v>1303</v>
      </c>
      <c r="D595">
        <v>0.45136111719999999</v>
      </c>
      <c r="E595">
        <v>0.30716694</v>
      </c>
      <c r="F595">
        <v>0.60029983249999996</v>
      </c>
    </row>
    <row r="596" spans="1:6" x14ac:dyDescent="0.2">
      <c r="A596" t="s">
        <v>1357</v>
      </c>
      <c r="B596" t="s">
        <v>1305</v>
      </c>
      <c r="C596" t="s">
        <v>1306</v>
      </c>
      <c r="D596">
        <v>0.539560491899999</v>
      </c>
      <c r="E596">
        <v>0.37669583249999999</v>
      </c>
      <c r="F596">
        <v>0.68709526999999904</v>
      </c>
    </row>
    <row r="597" spans="1:6" x14ac:dyDescent="0.2">
      <c r="A597" t="s">
        <v>1358</v>
      </c>
      <c r="B597" t="s">
        <v>911</v>
      </c>
      <c r="C597" t="s">
        <v>912</v>
      </c>
      <c r="D597">
        <v>4.9011414699999999E-2</v>
      </c>
      <c r="E597">
        <v>3.1121342499999899E-2</v>
      </c>
      <c r="F597">
        <v>7.2092547499999896E-2</v>
      </c>
    </row>
    <row r="598" spans="1:6" x14ac:dyDescent="0.2">
      <c r="A598" t="s">
        <v>1359</v>
      </c>
      <c r="B598" t="s">
        <v>1299</v>
      </c>
      <c r="C598" t="s">
        <v>1300</v>
      </c>
      <c r="D598">
        <v>0.28750118009999998</v>
      </c>
      <c r="E598">
        <v>0.19259088999999999</v>
      </c>
      <c r="F598">
        <v>0.39893967000000002</v>
      </c>
    </row>
    <row r="599" spans="1:6" x14ac:dyDescent="0.2">
      <c r="A599" t="s">
        <v>1360</v>
      </c>
      <c r="B599" t="s">
        <v>1302</v>
      </c>
      <c r="C599" t="s">
        <v>1303</v>
      </c>
      <c r="D599">
        <v>0.45136111719999999</v>
      </c>
      <c r="E599">
        <v>0.30716694</v>
      </c>
      <c r="F599">
        <v>0.60029983249999996</v>
      </c>
    </row>
    <row r="600" spans="1:6" x14ac:dyDescent="0.2">
      <c r="A600" t="s">
        <v>1361</v>
      </c>
      <c r="B600" t="s">
        <v>1305</v>
      </c>
      <c r="C600" t="s">
        <v>1306</v>
      </c>
      <c r="D600">
        <v>0.539560491899999</v>
      </c>
      <c r="E600">
        <v>0.37669583249999999</v>
      </c>
      <c r="F600">
        <v>0.68709526999999904</v>
      </c>
    </row>
    <row r="601" spans="1:6" x14ac:dyDescent="0.2">
      <c r="A601" t="s">
        <v>1362</v>
      </c>
      <c r="B601" t="s">
        <v>911</v>
      </c>
      <c r="C601" t="s">
        <v>912</v>
      </c>
      <c r="D601">
        <v>4.9011414699999999E-2</v>
      </c>
      <c r="E601">
        <v>3.1121342499999899E-2</v>
      </c>
      <c r="F601">
        <v>7.2092547499999896E-2</v>
      </c>
    </row>
    <row r="602" spans="1:6" x14ac:dyDescent="0.2">
      <c r="A602" t="s">
        <v>1363</v>
      </c>
      <c r="B602" t="s">
        <v>1299</v>
      </c>
      <c r="C602" t="s">
        <v>1300</v>
      </c>
      <c r="D602">
        <v>0.28750118009999998</v>
      </c>
      <c r="E602">
        <v>0.19259088999999999</v>
      </c>
      <c r="F602">
        <v>0.39893967000000002</v>
      </c>
    </row>
    <row r="603" spans="1:6" x14ac:dyDescent="0.2">
      <c r="A603" t="s">
        <v>1364</v>
      </c>
      <c r="B603" t="s">
        <v>1302</v>
      </c>
      <c r="C603" t="s">
        <v>1303</v>
      </c>
      <c r="D603">
        <v>0.45136111719999999</v>
      </c>
      <c r="E603">
        <v>0.30716694</v>
      </c>
      <c r="F603">
        <v>0.60029983249999996</v>
      </c>
    </row>
    <row r="604" spans="1:6" x14ac:dyDescent="0.2">
      <c r="A604" t="s">
        <v>1365</v>
      </c>
      <c r="B604" t="s">
        <v>1305</v>
      </c>
      <c r="C604" t="s">
        <v>1306</v>
      </c>
      <c r="D604">
        <v>0.539560491899999</v>
      </c>
      <c r="E604">
        <v>0.37669583249999999</v>
      </c>
      <c r="F604">
        <v>0.68709526999999904</v>
      </c>
    </row>
    <row r="605" spans="1:6" x14ac:dyDescent="0.2">
      <c r="A605" t="s">
        <v>1366</v>
      </c>
      <c r="B605" t="s">
        <v>911</v>
      </c>
      <c r="C605" t="s">
        <v>912</v>
      </c>
      <c r="D605">
        <v>4.9011414699999999E-2</v>
      </c>
      <c r="E605">
        <v>3.1121342499999899E-2</v>
      </c>
      <c r="F605">
        <v>7.2092547499999896E-2</v>
      </c>
    </row>
    <row r="606" spans="1:6" x14ac:dyDescent="0.2">
      <c r="A606" t="s">
        <v>1367</v>
      </c>
      <c r="B606" t="s">
        <v>1299</v>
      </c>
      <c r="C606" t="s">
        <v>1300</v>
      </c>
      <c r="D606">
        <v>0.28750118009999998</v>
      </c>
      <c r="E606">
        <v>0.19259088999999999</v>
      </c>
      <c r="F606">
        <v>0.39893967000000002</v>
      </c>
    </row>
    <row r="607" spans="1:6" x14ac:dyDescent="0.2">
      <c r="A607" t="s">
        <v>1368</v>
      </c>
      <c r="B607" t="s">
        <v>1302</v>
      </c>
      <c r="C607" t="s">
        <v>1303</v>
      </c>
      <c r="D607">
        <v>0.45136111719999999</v>
      </c>
      <c r="E607">
        <v>0.30716694</v>
      </c>
      <c r="F607">
        <v>0.60029983249999996</v>
      </c>
    </row>
    <row r="608" spans="1:6" x14ac:dyDescent="0.2">
      <c r="A608" t="s">
        <v>1369</v>
      </c>
      <c r="B608" t="s">
        <v>1305</v>
      </c>
      <c r="C608" t="s">
        <v>1306</v>
      </c>
      <c r="D608">
        <v>0.539560491899999</v>
      </c>
      <c r="E608">
        <v>0.37669583249999999</v>
      </c>
      <c r="F608">
        <v>0.68709526999999904</v>
      </c>
    </row>
    <row r="609" spans="1:6" x14ac:dyDescent="0.2">
      <c r="A609" t="s">
        <v>1370</v>
      </c>
      <c r="B609" t="s">
        <v>1371</v>
      </c>
      <c r="C609" t="s">
        <v>1372</v>
      </c>
      <c r="D609">
        <v>5.1099214300000001E-2</v>
      </c>
      <c r="E609">
        <v>3.2206930000000002E-2</v>
      </c>
      <c r="F609">
        <v>7.8285442499999996E-2</v>
      </c>
    </row>
    <row r="610" spans="1:6" x14ac:dyDescent="0.2">
      <c r="A610" t="s">
        <v>1373</v>
      </c>
      <c r="B610" t="s">
        <v>911</v>
      </c>
      <c r="C610" t="s">
        <v>912</v>
      </c>
      <c r="D610">
        <v>4.9011414699999999E-2</v>
      </c>
      <c r="E610">
        <v>3.1121342499999899E-2</v>
      </c>
      <c r="F610">
        <v>7.2092547499999896E-2</v>
      </c>
    </row>
    <row r="611" spans="1:6" x14ac:dyDescent="0.2">
      <c r="A611" t="s">
        <v>1374</v>
      </c>
      <c r="B611" t="s">
        <v>1375</v>
      </c>
      <c r="C611" t="s">
        <v>648</v>
      </c>
      <c r="D611">
        <v>9.7501369848810401E-2</v>
      </c>
      <c r="E611">
        <v>6.3341666482086098E-2</v>
      </c>
      <c r="F611">
        <v>0.14484667581692501</v>
      </c>
    </row>
    <row r="612" spans="1:6" x14ac:dyDescent="0.2">
      <c r="A612" t="s">
        <v>1376</v>
      </c>
      <c r="B612" t="s">
        <v>1299</v>
      </c>
      <c r="C612" t="s">
        <v>1300</v>
      </c>
      <c r="D612">
        <v>0.28750118009999998</v>
      </c>
      <c r="E612">
        <v>0.19259088999999999</v>
      </c>
      <c r="F612">
        <v>0.39893967000000002</v>
      </c>
    </row>
    <row r="613" spans="1:6" x14ac:dyDescent="0.2">
      <c r="A613" t="s">
        <v>1377</v>
      </c>
      <c r="B613" t="s">
        <v>1302</v>
      </c>
      <c r="C613" t="s">
        <v>1303</v>
      </c>
      <c r="D613">
        <v>0.45136111719999999</v>
      </c>
      <c r="E613">
        <v>0.30716694</v>
      </c>
      <c r="F613">
        <v>0.60029983249999996</v>
      </c>
    </row>
    <row r="614" spans="1:6" x14ac:dyDescent="0.2">
      <c r="A614" t="s">
        <v>1378</v>
      </c>
      <c r="B614" t="s">
        <v>1305</v>
      </c>
      <c r="C614" t="s">
        <v>1306</v>
      </c>
      <c r="D614">
        <v>0.539560491899999</v>
      </c>
      <c r="E614">
        <v>0.37669583249999999</v>
      </c>
      <c r="F614">
        <v>0.68709526999999904</v>
      </c>
    </row>
    <row r="615" spans="1:6" x14ac:dyDescent="0.2">
      <c r="A615" t="s">
        <v>1379</v>
      </c>
      <c r="B615" t="s">
        <v>911</v>
      </c>
      <c r="C615" t="s">
        <v>912</v>
      </c>
      <c r="D615">
        <v>4.9011414699999999E-2</v>
      </c>
      <c r="E615">
        <v>3.1121342499999899E-2</v>
      </c>
      <c r="F615">
        <v>7.2092547499999896E-2</v>
      </c>
    </row>
    <row r="616" spans="1:6" x14ac:dyDescent="0.2">
      <c r="A616" t="s">
        <v>1380</v>
      </c>
      <c r="B616" t="s">
        <v>1299</v>
      </c>
      <c r="C616" t="s">
        <v>1300</v>
      </c>
      <c r="D616">
        <v>0.28750118009999998</v>
      </c>
      <c r="E616">
        <v>0.19259088999999999</v>
      </c>
      <c r="F616">
        <v>0.39893967000000002</v>
      </c>
    </row>
    <row r="617" spans="1:6" x14ac:dyDescent="0.2">
      <c r="A617" t="s">
        <v>1381</v>
      </c>
      <c r="B617" t="s">
        <v>1302</v>
      </c>
      <c r="C617" t="s">
        <v>1303</v>
      </c>
      <c r="D617">
        <v>0.45136111719999999</v>
      </c>
      <c r="E617">
        <v>0.30716694</v>
      </c>
      <c r="F617">
        <v>0.60029983249999996</v>
      </c>
    </row>
    <row r="618" spans="1:6" x14ac:dyDescent="0.2">
      <c r="A618" t="s">
        <v>1382</v>
      </c>
      <c r="B618" t="s">
        <v>1305</v>
      </c>
      <c r="C618" t="s">
        <v>1306</v>
      </c>
      <c r="D618">
        <v>0.539560491899999</v>
      </c>
      <c r="E618">
        <v>0.37669583249999999</v>
      </c>
      <c r="F618">
        <v>0.68709526999999904</v>
      </c>
    </row>
    <row r="619" spans="1:6" x14ac:dyDescent="0.2">
      <c r="A619" t="s">
        <v>1383</v>
      </c>
      <c r="B619" t="s">
        <v>911</v>
      </c>
      <c r="C619" t="s">
        <v>912</v>
      </c>
      <c r="D619">
        <v>4.9011414699999999E-2</v>
      </c>
      <c r="E619">
        <v>3.1121342499999899E-2</v>
      </c>
      <c r="F619">
        <v>7.2092547499999896E-2</v>
      </c>
    </row>
    <row r="620" spans="1:6" x14ac:dyDescent="0.2">
      <c r="A620" t="s">
        <v>1384</v>
      </c>
      <c r="B620" t="s">
        <v>706</v>
      </c>
      <c r="C620" t="s">
        <v>707</v>
      </c>
      <c r="D620">
        <v>1.10162523999999E-2</v>
      </c>
      <c r="E620">
        <v>5.2397625E-3</v>
      </c>
      <c r="F620">
        <v>2.06195424999999E-2</v>
      </c>
    </row>
    <row r="621" spans="1:6" x14ac:dyDescent="0.2">
      <c r="A621" t="s">
        <v>1385</v>
      </c>
      <c r="B621" t="s">
        <v>916</v>
      </c>
      <c r="C621" t="s">
        <v>917</v>
      </c>
      <c r="D621">
        <v>6.6991753799999998E-2</v>
      </c>
      <c r="E621">
        <v>4.4417720000000001E-2</v>
      </c>
      <c r="F621">
        <v>9.5900522499999905E-2</v>
      </c>
    </row>
    <row r="622" spans="1:6" x14ac:dyDescent="0.2">
      <c r="A622" t="s">
        <v>1386</v>
      </c>
      <c r="B622" t="s">
        <v>1387</v>
      </c>
      <c r="C622" t="s">
        <v>1388</v>
      </c>
      <c r="D622">
        <v>0.57631682819999996</v>
      </c>
      <c r="E622">
        <v>0.40142909249999997</v>
      </c>
      <c r="F622">
        <v>0.73075530999999905</v>
      </c>
    </row>
    <row r="623" spans="1:6" x14ac:dyDescent="0.2">
      <c r="A623" t="s">
        <v>1389</v>
      </c>
      <c r="B623" t="s">
        <v>706</v>
      </c>
      <c r="C623" t="s">
        <v>707</v>
      </c>
      <c r="D623">
        <v>1.10162523999999E-2</v>
      </c>
      <c r="E623">
        <v>5.2397625E-3</v>
      </c>
      <c r="F623">
        <v>2.06195424999999E-2</v>
      </c>
    </row>
    <row r="624" spans="1:6" x14ac:dyDescent="0.2">
      <c r="A624" t="s">
        <v>1390</v>
      </c>
      <c r="B624" t="s">
        <v>698</v>
      </c>
      <c r="D624">
        <v>0</v>
      </c>
      <c r="E624">
        <v>0</v>
      </c>
      <c r="F624">
        <v>0</v>
      </c>
    </row>
    <row r="625" spans="1:6" x14ac:dyDescent="0.2">
      <c r="A625" t="s">
        <v>1391</v>
      </c>
      <c r="B625" t="s">
        <v>1299</v>
      </c>
      <c r="C625" t="s">
        <v>1300</v>
      </c>
      <c r="D625">
        <v>0.28750118009999998</v>
      </c>
      <c r="E625">
        <v>0.19259088999999999</v>
      </c>
      <c r="F625">
        <v>0.39893967000000002</v>
      </c>
    </row>
    <row r="626" spans="1:6" x14ac:dyDescent="0.2">
      <c r="A626" t="s">
        <v>1392</v>
      </c>
      <c r="B626" t="s">
        <v>1302</v>
      </c>
      <c r="C626" t="s">
        <v>1303</v>
      </c>
      <c r="D626">
        <v>0.45136111719999999</v>
      </c>
      <c r="E626">
        <v>0.30716694</v>
      </c>
      <c r="F626">
        <v>0.60029983249999996</v>
      </c>
    </row>
    <row r="627" spans="1:6" x14ac:dyDescent="0.2">
      <c r="A627" t="s">
        <v>1393</v>
      </c>
      <c r="B627" t="s">
        <v>1305</v>
      </c>
      <c r="C627" t="s">
        <v>1306</v>
      </c>
      <c r="D627">
        <v>0.539560491899999</v>
      </c>
      <c r="E627">
        <v>0.37669583249999999</v>
      </c>
      <c r="F627">
        <v>0.68709526999999904</v>
      </c>
    </row>
    <row r="628" spans="1:6" x14ac:dyDescent="0.2">
      <c r="A628" t="s">
        <v>1394</v>
      </c>
      <c r="B628" t="s">
        <v>911</v>
      </c>
      <c r="C628" t="s">
        <v>912</v>
      </c>
      <c r="D628">
        <v>4.9011414699999999E-2</v>
      </c>
      <c r="E628">
        <v>3.1121342499999899E-2</v>
      </c>
      <c r="F628">
        <v>7.2092547499999896E-2</v>
      </c>
    </row>
    <row r="629" spans="1:6" x14ac:dyDescent="0.2">
      <c r="A629" t="s">
        <v>1395</v>
      </c>
      <c r="B629" t="s">
        <v>1299</v>
      </c>
      <c r="C629" t="s">
        <v>1300</v>
      </c>
      <c r="D629">
        <v>0.28750118009999998</v>
      </c>
      <c r="E629">
        <v>0.19259088999999999</v>
      </c>
      <c r="F629">
        <v>0.39893967000000002</v>
      </c>
    </row>
    <row r="630" spans="1:6" x14ac:dyDescent="0.2">
      <c r="A630" t="s">
        <v>1396</v>
      </c>
      <c r="B630" t="s">
        <v>1302</v>
      </c>
      <c r="C630" t="s">
        <v>1303</v>
      </c>
      <c r="D630">
        <v>0.45136111719999999</v>
      </c>
      <c r="E630">
        <v>0.30716694</v>
      </c>
      <c r="F630">
        <v>0.60029983249999996</v>
      </c>
    </row>
    <row r="631" spans="1:6" x14ac:dyDescent="0.2">
      <c r="A631" t="s">
        <v>1397</v>
      </c>
      <c r="B631" t="s">
        <v>1305</v>
      </c>
      <c r="C631" t="s">
        <v>1306</v>
      </c>
      <c r="D631">
        <v>0.539560491899999</v>
      </c>
      <c r="E631">
        <v>0.37669583249999999</v>
      </c>
      <c r="F631">
        <v>0.68709526999999904</v>
      </c>
    </row>
    <row r="632" spans="1:6" x14ac:dyDescent="0.2">
      <c r="A632" t="s">
        <v>1398</v>
      </c>
      <c r="B632" t="s">
        <v>911</v>
      </c>
      <c r="C632" t="s">
        <v>912</v>
      </c>
      <c r="D632">
        <v>4.9011414699999999E-2</v>
      </c>
      <c r="E632">
        <v>3.1121342499999899E-2</v>
      </c>
      <c r="F632">
        <v>7.2092547499999896E-2</v>
      </c>
    </row>
    <row r="633" spans="1:6" x14ac:dyDescent="0.2">
      <c r="A633" t="s">
        <v>1399</v>
      </c>
      <c r="B633" t="s">
        <v>1299</v>
      </c>
      <c r="C633" t="s">
        <v>1300</v>
      </c>
      <c r="D633">
        <v>0.28750118009999998</v>
      </c>
      <c r="E633">
        <v>0.19259088999999999</v>
      </c>
      <c r="F633">
        <v>0.39893967000000002</v>
      </c>
    </row>
    <row r="634" spans="1:6" x14ac:dyDescent="0.2">
      <c r="A634" t="s">
        <v>1400</v>
      </c>
      <c r="B634" t="s">
        <v>1302</v>
      </c>
      <c r="C634" t="s">
        <v>1303</v>
      </c>
      <c r="D634">
        <v>0.45136111719999999</v>
      </c>
      <c r="E634">
        <v>0.30716694</v>
      </c>
      <c r="F634">
        <v>0.60029983249999996</v>
      </c>
    </row>
    <row r="635" spans="1:6" x14ac:dyDescent="0.2">
      <c r="A635" t="s">
        <v>1401</v>
      </c>
      <c r="B635" t="s">
        <v>1402</v>
      </c>
      <c r="C635" t="s">
        <v>1403</v>
      </c>
      <c r="D635">
        <v>3.5575111800000003E-2</v>
      </c>
      <c r="E635">
        <v>2.0313504999999999E-2</v>
      </c>
      <c r="F635">
        <v>5.6776484999999897E-2</v>
      </c>
    </row>
    <row r="636" spans="1:6" x14ac:dyDescent="0.2">
      <c r="A636" t="s">
        <v>1404</v>
      </c>
      <c r="B636" t="s">
        <v>1305</v>
      </c>
      <c r="C636" t="s">
        <v>1306</v>
      </c>
      <c r="D636">
        <v>0.539560491899999</v>
      </c>
      <c r="E636">
        <v>0.37669583249999999</v>
      </c>
      <c r="F636">
        <v>0.68709526999999904</v>
      </c>
    </row>
    <row r="637" spans="1:6" x14ac:dyDescent="0.2">
      <c r="A637" t="s">
        <v>1405</v>
      </c>
      <c r="B637" t="s">
        <v>911</v>
      </c>
      <c r="C637" t="s">
        <v>912</v>
      </c>
      <c r="D637">
        <v>4.9011414699999999E-2</v>
      </c>
      <c r="E637">
        <v>3.1121342499999899E-2</v>
      </c>
      <c r="F637">
        <v>7.2092547499999896E-2</v>
      </c>
    </row>
    <row r="638" spans="1:6" x14ac:dyDescent="0.2">
      <c r="A638" t="s">
        <v>1406</v>
      </c>
      <c r="B638" t="s">
        <v>1407</v>
      </c>
      <c r="C638" t="s">
        <v>648</v>
      </c>
      <c r="D638">
        <v>8.2760722598848799E-2</v>
      </c>
      <c r="E638">
        <v>5.1866643838752897E-2</v>
      </c>
      <c r="F638">
        <v>0.12394512669789</v>
      </c>
    </row>
    <row r="639" spans="1:6" x14ac:dyDescent="0.2">
      <c r="A639" t="s">
        <v>1408</v>
      </c>
      <c r="B639" t="s">
        <v>1299</v>
      </c>
      <c r="C639" t="s">
        <v>1300</v>
      </c>
      <c r="D639">
        <v>0.28750118009999998</v>
      </c>
      <c r="E639">
        <v>0.19259088999999999</v>
      </c>
      <c r="F639">
        <v>0.39893967000000002</v>
      </c>
    </row>
    <row r="640" spans="1:6" x14ac:dyDescent="0.2">
      <c r="A640" t="s">
        <v>1409</v>
      </c>
      <c r="B640" t="s">
        <v>1302</v>
      </c>
      <c r="C640" t="s">
        <v>1303</v>
      </c>
      <c r="D640">
        <v>0.45136111719999999</v>
      </c>
      <c r="E640">
        <v>0.30716694</v>
      </c>
      <c r="F640">
        <v>0.60029983249999996</v>
      </c>
    </row>
    <row r="641" spans="1:6" x14ac:dyDescent="0.2">
      <c r="A641" t="s">
        <v>1410</v>
      </c>
      <c r="B641" t="s">
        <v>1305</v>
      </c>
      <c r="C641" t="s">
        <v>1306</v>
      </c>
      <c r="D641">
        <v>0.539560491899999</v>
      </c>
      <c r="E641">
        <v>0.37669583249999999</v>
      </c>
      <c r="F641">
        <v>0.68709526999999904</v>
      </c>
    </row>
    <row r="642" spans="1:6" x14ac:dyDescent="0.2">
      <c r="A642" t="s">
        <v>1411</v>
      </c>
      <c r="B642" t="s">
        <v>911</v>
      </c>
      <c r="C642" t="s">
        <v>912</v>
      </c>
      <c r="D642">
        <v>4.9011414699999999E-2</v>
      </c>
      <c r="E642">
        <v>3.1121342499999899E-2</v>
      </c>
      <c r="F642">
        <v>7.2092547499999896E-2</v>
      </c>
    </row>
    <row r="643" spans="1:6" x14ac:dyDescent="0.2">
      <c r="A643" t="s">
        <v>1412</v>
      </c>
      <c r="B643" t="s">
        <v>1299</v>
      </c>
      <c r="C643" t="s">
        <v>1300</v>
      </c>
      <c r="D643">
        <v>0.28750118009999998</v>
      </c>
      <c r="E643">
        <v>0.19259088999999999</v>
      </c>
      <c r="F643">
        <v>0.39893967000000002</v>
      </c>
    </row>
    <row r="644" spans="1:6" x14ac:dyDescent="0.2">
      <c r="A644" t="s">
        <v>1413</v>
      </c>
      <c r="B644" t="s">
        <v>1302</v>
      </c>
      <c r="C644" t="s">
        <v>1303</v>
      </c>
      <c r="D644">
        <v>0.45136111719999999</v>
      </c>
      <c r="E644">
        <v>0.30716694</v>
      </c>
      <c r="F644">
        <v>0.60029983249999996</v>
      </c>
    </row>
    <row r="645" spans="1:6" x14ac:dyDescent="0.2">
      <c r="A645" t="s">
        <v>1414</v>
      </c>
      <c r="B645" t="s">
        <v>1305</v>
      </c>
      <c r="C645" t="s">
        <v>1306</v>
      </c>
      <c r="D645">
        <v>0.539560491899999</v>
      </c>
      <c r="E645">
        <v>0.37669583249999999</v>
      </c>
      <c r="F645">
        <v>0.68709526999999904</v>
      </c>
    </row>
    <row r="646" spans="1:6" x14ac:dyDescent="0.2">
      <c r="A646" t="s">
        <v>1415</v>
      </c>
      <c r="B646" t="s">
        <v>911</v>
      </c>
      <c r="C646" t="s">
        <v>912</v>
      </c>
      <c r="D646">
        <v>4.9011414699999999E-2</v>
      </c>
      <c r="E646">
        <v>3.1121342499999899E-2</v>
      </c>
      <c r="F646">
        <v>7.2092547499999896E-2</v>
      </c>
    </row>
    <row r="647" spans="1:6" x14ac:dyDescent="0.2">
      <c r="A647" t="s">
        <v>1416</v>
      </c>
      <c r="B647" t="s">
        <v>1299</v>
      </c>
      <c r="C647" t="s">
        <v>1300</v>
      </c>
      <c r="D647">
        <v>0.28750118009999998</v>
      </c>
      <c r="E647">
        <v>0.19259088999999999</v>
      </c>
      <c r="F647">
        <v>0.39893967000000002</v>
      </c>
    </row>
    <row r="648" spans="1:6" x14ac:dyDescent="0.2">
      <c r="A648" t="s">
        <v>1417</v>
      </c>
      <c r="B648" t="s">
        <v>1302</v>
      </c>
      <c r="C648" t="s">
        <v>1303</v>
      </c>
      <c r="D648">
        <v>0.45136111719999999</v>
      </c>
      <c r="E648">
        <v>0.30716694</v>
      </c>
      <c r="F648">
        <v>0.60029983249999996</v>
      </c>
    </row>
    <row r="649" spans="1:6" x14ac:dyDescent="0.2">
      <c r="A649" t="s">
        <v>1418</v>
      </c>
      <c r="B649" t="s">
        <v>1305</v>
      </c>
      <c r="C649" t="s">
        <v>1306</v>
      </c>
      <c r="D649">
        <v>0.539560491899999</v>
      </c>
      <c r="E649">
        <v>0.37669583249999999</v>
      </c>
      <c r="F649">
        <v>0.68709526999999904</v>
      </c>
    </row>
    <row r="650" spans="1:6" x14ac:dyDescent="0.2">
      <c r="A650" t="s">
        <v>1419</v>
      </c>
      <c r="B650" t="s">
        <v>911</v>
      </c>
      <c r="C650" t="s">
        <v>912</v>
      </c>
      <c r="D650">
        <v>4.9011414699999999E-2</v>
      </c>
      <c r="E650">
        <v>3.1121342499999899E-2</v>
      </c>
      <c r="F650">
        <v>7.2092547499999896E-2</v>
      </c>
    </row>
    <row r="651" spans="1:6" x14ac:dyDescent="0.2">
      <c r="A651" t="s">
        <v>1420</v>
      </c>
      <c r="B651" t="s">
        <v>1299</v>
      </c>
      <c r="C651" t="s">
        <v>1300</v>
      </c>
      <c r="D651">
        <v>0.28750118009999998</v>
      </c>
      <c r="E651">
        <v>0.19259088999999999</v>
      </c>
      <c r="F651">
        <v>0.39893967000000002</v>
      </c>
    </row>
    <row r="652" spans="1:6" x14ac:dyDescent="0.2">
      <c r="A652" t="s">
        <v>1421</v>
      </c>
      <c r="B652" t="s">
        <v>1302</v>
      </c>
      <c r="C652" t="s">
        <v>1303</v>
      </c>
      <c r="D652">
        <v>0.45136111719999999</v>
      </c>
      <c r="E652">
        <v>0.30716694</v>
      </c>
      <c r="F652">
        <v>0.60029983249999996</v>
      </c>
    </row>
    <row r="653" spans="1:6" x14ac:dyDescent="0.2">
      <c r="A653" t="s">
        <v>1422</v>
      </c>
      <c r="B653" t="s">
        <v>1305</v>
      </c>
      <c r="C653" t="s">
        <v>1306</v>
      </c>
      <c r="D653">
        <v>0.539560491899999</v>
      </c>
      <c r="E653">
        <v>0.37669583249999999</v>
      </c>
      <c r="F653">
        <v>0.68709526999999904</v>
      </c>
    </row>
    <row r="654" spans="1:6" x14ac:dyDescent="0.2">
      <c r="A654" t="s">
        <v>1423</v>
      </c>
      <c r="B654" t="s">
        <v>911</v>
      </c>
      <c r="C654" t="s">
        <v>912</v>
      </c>
      <c r="D654">
        <v>4.9011414699999999E-2</v>
      </c>
      <c r="E654">
        <v>3.1121342499999899E-2</v>
      </c>
      <c r="F654">
        <v>7.2092547499999896E-2</v>
      </c>
    </row>
    <row r="655" spans="1:6" x14ac:dyDescent="0.2">
      <c r="A655" t="s">
        <v>1424</v>
      </c>
      <c r="B655" t="s">
        <v>1425</v>
      </c>
      <c r="C655" t="s">
        <v>648</v>
      </c>
      <c r="D655">
        <v>6.5453189731461497E-2</v>
      </c>
      <c r="E655">
        <v>4.0391078454069897E-2</v>
      </c>
      <c r="F655">
        <v>9.9544406514228106E-2</v>
      </c>
    </row>
    <row r="656" spans="1:6" x14ac:dyDescent="0.2">
      <c r="A656" t="s">
        <v>1426</v>
      </c>
      <c r="B656" t="s">
        <v>1427</v>
      </c>
      <c r="C656" t="s">
        <v>648</v>
      </c>
      <c r="D656">
        <v>0.18113356032772801</v>
      </c>
      <c r="E656">
        <v>0.123591028699686</v>
      </c>
      <c r="F656">
        <v>0.248083542775097</v>
      </c>
    </row>
    <row r="657" spans="1:6" x14ac:dyDescent="0.2">
      <c r="A657" t="s">
        <v>1428</v>
      </c>
      <c r="B657" t="s">
        <v>1429</v>
      </c>
      <c r="C657" t="s">
        <v>1430</v>
      </c>
      <c r="D657">
        <v>0.13913545869999999</v>
      </c>
      <c r="E657">
        <v>9.4181122500000006E-2</v>
      </c>
      <c r="F657">
        <v>0.19754553749999901</v>
      </c>
    </row>
    <row r="658" spans="1:6" x14ac:dyDescent="0.2">
      <c r="A658" t="s">
        <v>1431</v>
      </c>
      <c r="B658" t="s">
        <v>1432</v>
      </c>
      <c r="C658" t="s">
        <v>1433</v>
      </c>
      <c r="D658">
        <v>1.7338896900000001E-2</v>
      </c>
      <c r="E658">
        <v>8.8922649999999999E-3</v>
      </c>
      <c r="F658">
        <v>3.0323860000000001E-2</v>
      </c>
    </row>
    <row r="659" spans="1:6" x14ac:dyDescent="0.2">
      <c r="A659" t="s">
        <v>1434</v>
      </c>
      <c r="B659" t="s">
        <v>1299</v>
      </c>
      <c r="C659" t="s">
        <v>1300</v>
      </c>
      <c r="D659">
        <v>0.28750118009999998</v>
      </c>
      <c r="E659">
        <v>0.19259088999999999</v>
      </c>
      <c r="F659">
        <v>0.39893967000000002</v>
      </c>
    </row>
    <row r="660" spans="1:6" x14ac:dyDescent="0.2">
      <c r="A660" t="s">
        <v>1435</v>
      </c>
      <c r="B660" t="s">
        <v>1302</v>
      </c>
      <c r="C660" t="s">
        <v>1303</v>
      </c>
      <c r="D660">
        <v>0.45136111719999999</v>
      </c>
      <c r="E660">
        <v>0.30716694</v>
      </c>
      <c r="F660">
        <v>0.60029983249999996</v>
      </c>
    </row>
    <row r="661" spans="1:6" x14ac:dyDescent="0.2">
      <c r="A661" t="s">
        <v>1436</v>
      </c>
      <c r="B661" t="s">
        <v>1305</v>
      </c>
      <c r="C661" t="s">
        <v>1306</v>
      </c>
      <c r="D661">
        <v>0.539560491899999</v>
      </c>
      <c r="E661">
        <v>0.37669583249999999</v>
      </c>
      <c r="F661">
        <v>0.68709526999999904</v>
      </c>
    </row>
    <row r="662" spans="1:6" x14ac:dyDescent="0.2">
      <c r="A662" t="s">
        <v>1437</v>
      </c>
      <c r="B662" t="s">
        <v>911</v>
      </c>
      <c r="C662" t="s">
        <v>912</v>
      </c>
      <c r="D662">
        <v>4.9011414699999999E-2</v>
      </c>
      <c r="E662">
        <v>3.1121342499999899E-2</v>
      </c>
      <c r="F662">
        <v>7.2092547499999896E-2</v>
      </c>
    </row>
    <row r="663" spans="1:6" x14ac:dyDescent="0.2">
      <c r="A663" t="s">
        <v>1438</v>
      </c>
      <c r="B663" t="s">
        <v>1299</v>
      </c>
      <c r="C663" t="s">
        <v>1300</v>
      </c>
      <c r="D663">
        <v>0.28750118009999998</v>
      </c>
      <c r="E663">
        <v>0.19259088999999999</v>
      </c>
      <c r="F663">
        <v>0.39893967000000002</v>
      </c>
    </row>
    <row r="664" spans="1:6" x14ac:dyDescent="0.2">
      <c r="A664" t="s">
        <v>1439</v>
      </c>
      <c r="B664" t="s">
        <v>1302</v>
      </c>
      <c r="C664" t="s">
        <v>1303</v>
      </c>
      <c r="D664">
        <v>0.45136111719999999</v>
      </c>
      <c r="E664">
        <v>0.30716694</v>
      </c>
      <c r="F664">
        <v>0.60029983249999996</v>
      </c>
    </row>
    <row r="665" spans="1:6" x14ac:dyDescent="0.2">
      <c r="A665" t="s">
        <v>1440</v>
      </c>
      <c r="B665" t="s">
        <v>1305</v>
      </c>
      <c r="C665" t="s">
        <v>1306</v>
      </c>
      <c r="D665">
        <v>0.539560491899999</v>
      </c>
      <c r="E665">
        <v>0.37669583249999999</v>
      </c>
      <c r="F665">
        <v>0.68709526999999904</v>
      </c>
    </row>
    <row r="666" spans="1:6" x14ac:dyDescent="0.2">
      <c r="A666" t="s">
        <v>1441</v>
      </c>
      <c r="B666" t="s">
        <v>911</v>
      </c>
      <c r="C666" t="s">
        <v>912</v>
      </c>
      <c r="D666">
        <v>4.9011414699999999E-2</v>
      </c>
      <c r="E666">
        <v>3.1121342499999899E-2</v>
      </c>
      <c r="F666">
        <v>7.2092547499999896E-2</v>
      </c>
    </row>
    <row r="667" spans="1:6" x14ac:dyDescent="0.2">
      <c r="A667" t="s">
        <v>1442</v>
      </c>
      <c r="B667" t="s">
        <v>1299</v>
      </c>
      <c r="C667" t="s">
        <v>1300</v>
      </c>
      <c r="D667">
        <v>0.28750118009999998</v>
      </c>
      <c r="E667">
        <v>0.19259088999999999</v>
      </c>
      <c r="F667">
        <v>0.39893967000000002</v>
      </c>
    </row>
    <row r="668" spans="1:6" x14ac:dyDescent="0.2">
      <c r="A668" t="s">
        <v>1443</v>
      </c>
      <c r="B668" t="s">
        <v>1302</v>
      </c>
      <c r="C668" t="s">
        <v>1303</v>
      </c>
      <c r="D668">
        <v>0.45136111719999999</v>
      </c>
      <c r="E668">
        <v>0.30716694</v>
      </c>
      <c r="F668">
        <v>0.60029983249999996</v>
      </c>
    </row>
    <row r="669" spans="1:6" x14ac:dyDescent="0.2">
      <c r="A669" t="s">
        <v>1444</v>
      </c>
      <c r="B669" t="s">
        <v>1305</v>
      </c>
      <c r="C669" t="s">
        <v>1306</v>
      </c>
      <c r="D669">
        <v>0.539560491899999</v>
      </c>
      <c r="E669">
        <v>0.37669583249999999</v>
      </c>
      <c r="F669">
        <v>0.68709526999999904</v>
      </c>
    </row>
    <row r="670" spans="1:6" x14ac:dyDescent="0.2">
      <c r="A670" t="s">
        <v>1445</v>
      </c>
      <c r="B670" t="s">
        <v>1429</v>
      </c>
      <c r="C670" t="s">
        <v>1430</v>
      </c>
      <c r="D670">
        <v>0.13913545869999999</v>
      </c>
      <c r="E670">
        <v>9.4181122500000006E-2</v>
      </c>
      <c r="F670">
        <v>0.19754553749999901</v>
      </c>
    </row>
    <row r="671" spans="1:6" x14ac:dyDescent="0.2">
      <c r="A671" t="s">
        <v>1446</v>
      </c>
      <c r="B671" t="s">
        <v>911</v>
      </c>
      <c r="C671" t="s">
        <v>912</v>
      </c>
      <c r="D671">
        <v>4.9011414699999999E-2</v>
      </c>
      <c r="E671">
        <v>3.1121342499999899E-2</v>
      </c>
      <c r="F671">
        <v>7.2092547499999896E-2</v>
      </c>
    </row>
    <row r="672" spans="1:6" x14ac:dyDescent="0.2">
      <c r="A672" t="s">
        <v>1447</v>
      </c>
      <c r="B672" t="s">
        <v>1427</v>
      </c>
      <c r="C672" t="s">
        <v>648</v>
      </c>
      <c r="D672">
        <v>0.18113356032772801</v>
      </c>
      <c r="E672">
        <v>0.123591028699686</v>
      </c>
      <c r="F672">
        <v>0.248083542775097</v>
      </c>
    </row>
    <row r="673" spans="1:6" x14ac:dyDescent="0.2">
      <c r="A673" t="s">
        <v>1448</v>
      </c>
      <c r="B673" t="s">
        <v>1299</v>
      </c>
      <c r="C673" t="s">
        <v>1300</v>
      </c>
      <c r="D673">
        <v>0.28750118009999998</v>
      </c>
      <c r="E673">
        <v>0.19259088999999999</v>
      </c>
      <c r="F673">
        <v>0.39893967000000002</v>
      </c>
    </row>
    <row r="674" spans="1:6" x14ac:dyDescent="0.2">
      <c r="A674" t="s">
        <v>1449</v>
      </c>
      <c r="B674" t="s">
        <v>1302</v>
      </c>
      <c r="C674" t="s">
        <v>1303</v>
      </c>
      <c r="D674">
        <v>0.45136111719999999</v>
      </c>
      <c r="E674">
        <v>0.30716694</v>
      </c>
      <c r="F674">
        <v>0.60029983249999996</v>
      </c>
    </row>
    <row r="675" spans="1:6" x14ac:dyDescent="0.2">
      <c r="A675" t="s">
        <v>1450</v>
      </c>
      <c r="B675" t="s">
        <v>1305</v>
      </c>
      <c r="C675" t="s">
        <v>1306</v>
      </c>
      <c r="D675">
        <v>0.539560491899999</v>
      </c>
      <c r="E675">
        <v>0.37669583249999999</v>
      </c>
      <c r="F675">
        <v>0.68709526999999904</v>
      </c>
    </row>
    <row r="676" spans="1:6" x14ac:dyDescent="0.2">
      <c r="A676" t="s">
        <v>1451</v>
      </c>
      <c r="B676" t="s">
        <v>911</v>
      </c>
      <c r="C676" t="s">
        <v>912</v>
      </c>
      <c r="D676">
        <v>4.9011414699999999E-2</v>
      </c>
      <c r="E676">
        <v>3.1121342499999899E-2</v>
      </c>
      <c r="F676">
        <v>7.2092547499999896E-2</v>
      </c>
    </row>
    <row r="677" spans="1:6" x14ac:dyDescent="0.2">
      <c r="A677" t="s">
        <v>1452</v>
      </c>
      <c r="B677" t="s">
        <v>1299</v>
      </c>
      <c r="C677" t="s">
        <v>1300</v>
      </c>
      <c r="D677">
        <v>0.28750118009999998</v>
      </c>
      <c r="E677">
        <v>0.19259088999999999</v>
      </c>
      <c r="F677">
        <v>0.39893967000000002</v>
      </c>
    </row>
    <row r="678" spans="1:6" x14ac:dyDescent="0.2">
      <c r="A678" t="s">
        <v>1453</v>
      </c>
      <c r="B678" t="s">
        <v>1302</v>
      </c>
      <c r="C678" t="s">
        <v>1303</v>
      </c>
      <c r="D678">
        <v>0.45136111719999999</v>
      </c>
      <c r="E678">
        <v>0.30716694</v>
      </c>
      <c r="F678">
        <v>0.60029983249999996</v>
      </c>
    </row>
    <row r="679" spans="1:6" x14ac:dyDescent="0.2">
      <c r="A679" t="s">
        <v>1454</v>
      </c>
      <c r="B679" t="s">
        <v>1305</v>
      </c>
      <c r="C679" t="s">
        <v>1306</v>
      </c>
      <c r="D679">
        <v>0.539560491899999</v>
      </c>
      <c r="E679">
        <v>0.37669583249999999</v>
      </c>
      <c r="F679">
        <v>0.68709526999999904</v>
      </c>
    </row>
    <row r="680" spans="1:6" x14ac:dyDescent="0.2">
      <c r="A680" t="s">
        <v>1455</v>
      </c>
      <c r="B680" t="s">
        <v>911</v>
      </c>
      <c r="C680" t="s">
        <v>912</v>
      </c>
      <c r="D680">
        <v>4.9011414699999999E-2</v>
      </c>
      <c r="E680">
        <v>3.1121342499999899E-2</v>
      </c>
      <c r="F680">
        <v>7.2092547499999896E-2</v>
      </c>
    </row>
    <row r="681" spans="1:6" x14ac:dyDescent="0.2">
      <c r="A681" t="s">
        <v>1456</v>
      </c>
      <c r="B681" t="s">
        <v>1299</v>
      </c>
      <c r="C681" t="s">
        <v>1300</v>
      </c>
      <c r="D681">
        <v>0.28750118009999998</v>
      </c>
      <c r="E681">
        <v>0.19259088999999999</v>
      </c>
      <c r="F681">
        <v>0.39893967000000002</v>
      </c>
    </row>
    <row r="682" spans="1:6" x14ac:dyDescent="0.2">
      <c r="A682" t="s">
        <v>1457</v>
      </c>
      <c r="B682" t="s">
        <v>1302</v>
      </c>
      <c r="C682" t="s">
        <v>1303</v>
      </c>
      <c r="D682">
        <v>0.45136111719999999</v>
      </c>
      <c r="E682">
        <v>0.30716694</v>
      </c>
      <c r="F682">
        <v>0.60029983249999996</v>
      </c>
    </row>
    <row r="683" spans="1:6" x14ac:dyDescent="0.2">
      <c r="A683" t="s">
        <v>1458</v>
      </c>
      <c r="B683" t="s">
        <v>1305</v>
      </c>
      <c r="C683" t="s">
        <v>1306</v>
      </c>
      <c r="D683">
        <v>0.539560491899999</v>
      </c>
      <c r="E683">
        <v>0.37669583249999999</v>
      </c>
      <c r="F683">
        <v>0.68709526999999904</v>
      </c>
    </row>
    <row r="684" spans="1:6" x14ac:dyDescent="0.2">
      <c r="A684" t="s">
        <v>1459</v>
      </c>
      <c r="B684" t="s">
        <v>911</v>
      </c>
      <c r="C684" t="s">
        <v>912</v>
      </c>
      <c r="D684">
        <v>4.9011414699999999E-2</v>
      </c>
      <c r="E684">
        <v>3.1121342499999899E-2</v>
      </c>
      <c r="F684">
        <v>7.2092547499999896E-2</v>
      </c>
    </row>
    <row r="685" spans="1:6" x14ac:dyDescent="0.2">
      <c r="A685" t="s">
        <v>1460</v>
      </c>
      <c r="B685" t="s">
        <v>1299</v>
      </c>
      <c r="C685" t="s">
        <v>1300</v>
      </c>
      <c r="D685">
        <v>0.28750118009999998</v>
      </c>
      <c r="E685">
        <v>0.19259088999999999</v>
      </c>
      <c r="F685">
        <v>0.39893967000000002</v>
      </c>
    </row>
    <row r="686" spans="1:6" x14ac:dyDescent="0.2">
      <c r="A686" t="s">
        <v>1461</v>
      </c>
      <c r="B686" t="s">
        <v>1302</v>
      </c>
      <c r="C686" t="s">
        <v>1303</v>
      </c>
      <c r="D686">
        <v>0.45136111719999999</v>
      </c>
      <c r="E686">
        <v>0.30716694</v>
      </c>
      <c r="F686">
        <v>0.60029983249999996</v>
      </c>
    </row>
    <row r="687" spans="1:6" x14ac:dyDescent="0.2">
      <c r="A687" t="s">
        <v>1462</v>
      </c>
      <c r="B687" t="s">
        <v>1305</v>
      </c>
      <c r="C687" t="s">
        <v>1306</v>
      </c>
      <c r="D687">
        <v>0.539560491899999</v>
      </c>
      <c r="E687">
        <v>0.37669583249999999</v>
      </c>
      <c r="F687">
        <v>0.68709526999999904</v>
      </c>
    </row>
    <row r="688" spans="1:6" x14ac:dyDescent="0.2">
      <c r="A688" t="s">
        <v>1463</v>
      </c>
      <c r="B688" t="s">
        <v>911</v>
      </c>
      <c r="C688" t="s">
        <v>912</v>
      </c>
      <c r="D688">
        <v>4.9011414699999999E-2</v>
      </c>
      <c r="E688">
        <v>3.1121342499999899E-2</v>
      </c>
      <c r="F688">
        <v>7.2092547499999896E-2</v>
      </c>
    </row>
    <row r="689" spans="1:6" x14ac:dyDescent="0.2">
      <c r="A689" t="s">
        <v>1464</v>
      </c>
      <c r="B689" t="s">
        <v>1299</v>
      </c>
      <c r="C689" t="s">
        <v>1300</v>
      </c>
      <c r="D689">
        <v>0.28750118009999998</v>
      </c>
      <c r="E689">
        <v>0.19259088999999999</v>
      </c>
      <c r="F689">
        <v>0.39893967000000002</v>
      </c>
    </row>
    <row r="690" spans="1:6" x14ac:dyDescent="0.2">
      <c r="A690" t="s">
        <v>1465</v>
      </c>
      <c r="B690" t="s">
        <v>1302</v>
      </c>
      <c r="C690" t="s">
        <v>1303</v>
      </c>
      <c r="D690">
        <v>0.45136111719999999</v>
      </c>
      <c r="E690">
        <v>0.30716694</v>
      </c>
      <c r="F690">
        <v>0.60029983249999996</v>
      </c>
    </row>
    <row r="691" spans="1:6" x14ac:dyDescent="0.2">
      <c r="A691" t="s">
        <v>1466</v>
      </c>
      <c r="B691" t="s">
        <v>1305</v>
      </c>
      <c r="C691" t="s">
        <v>1306</v>
      </c>
      <c r="D691">
        <v>0.539560491899999</v>
      </c>
      <c r="E691">
        <v>0.37669583249999999</v>
      </c>
      <c r="F691">
        <v>0.68709526999999904</v>
      </c>
    </row>
    <row r="692" spans="1:6" x14ac:dyDescent="0.2">
      <c r="A692" t="s">
        <v>1467</v>
      </c>
      <c r="B692" t="s">
        <v>911</v>
      </c>
      <c r="C692" t="s">
        <v>912</v>
      </c>
      <c r="D692">
        <v>4.9011414699999999E-2</v>
      </c>
      <c r="E692">
        <v>3.1121342499999899E-2</v>
      </c>
      <c r="F692">
        <v>7.2092547499999896E-2</v>
      </c>
    </row>
    <row r="693" spans="1:6" x14ac:dyDescent="0.2">
      <c r="A693" t="s">
        <v>1468</v>
      </c>
      <c r="B693" t="s">
        <v>1299</v>
      </c>
      <c r="C693" t="s">
        <v>1300</v>
      </c>
      <c r="D693">
        <v>0.28750118009999998</v>
      </c>
      <c r="E693">
        <v>0.19259088999999999</v>
      </c>
      <c r="F693">
        <v>0.39893967000000002</v>
      </c>
    </row>
    <row r="694" spans="1:6" x14ac:dyDescent="0.2">
      <c r="A694" t="s">
        <v>1469</v>
      </c>
      <c r="B694" t="s">
        <v>1302</v>
      </c>
      <c r="C694" t="s">
        <v>1303</v>
      </c>
      <c r="D694">
        <v>0.45136111719999999</v>
      </c>
      <c r="E694">
        <v>0.30716694</v>
      </c>
      <c r="F694">
        <v>0.60029983249999996</v>
      </c>
    </row>
    <row r="695" spans="1:6" x14ac:dyDescent="0.2">
      <c r="A695" t="s">
        <v>1470</v>
      </c>
      <c r="B695" t="s">
        <v>1305</v>
      </c>
      <c r="C695" t="s">
        <v>1306</v>
      </c>
      <c r="D695">
        <v>0.539560491899999</v>
      </c>
      <c r="E695">
        <v>0.37669583249999999</v>
      </c>
      <c r="F695">
        <v>0.68709526999999904</v>
      </c>
    </row>
    <row r="696" spans="1:6" x14ac:dyDescent="0.2">
      <c r="A696" t="s">
        <v>1471</v>
      </c>
      <c r="B696" t="s">
        <v>911</v>
      </c>
      <c r="C696" t="s">
        <v>912</v>
      </c>
      <c r="D696">
        <v>4.9011414699999999E-2</v>
      </c>
      <c r="E696">
        <v>3.1121342499999899E-2</v>
      </c>
      <c r="F696">
        <v>7.2092547499999896E-2</v>
      </c>
    </row>
    <row r="697" spans="1:6" x14ac:dyDescent="0.2">
      <c r="A697" t="s">
        <v>1472</v>
      </c>
      <c r="B697" t="s">
        <v>1299</v>
      </c>
      <c r="C697" t="s">
        <v>1300</v>
      </c>
      <c r="D697">
        <v>0.28750118009999998</v>
      </c>
      <c r="E697">
        <v>0.19259088999999999</v>
      </c>
      <c r="F697">
        <v>0.39893967000000002</v>
      </c>
    </row>
    <row r="698" spans="1:6" x14ac:dyDescent="0.2">
      <c r="A698" t="s">
        <v>1473</v>
      </c>
      <c r="B698" t="s">
        <v>1302</v>
      </c>
      <c r="C698" t="s">
        <v>1303</v>
      </c>
      <c r="D698">
        <v>0.45136111719999999</v>
      </c>
      <c r="E698">
        <v>0.30716694</v>
      </c>
      <c r="F698">
        <v>0.60029983249999996</v>
      </c>
    </row>
    <row r="699" spans="1:6" x14ac:dyDescent="0.2">
      <c r="A699" t="s">
        <v>1474</v>
      </c>
      <c r="B699" t="s">
        <v>1305</v>
      </c>
      <c r="C699" t="s">
        <v>1306</v>
      </c>
      <c r="D699">
        <v>0.539560491899999</v>
      </c>
      <c r="E699">
        <v>0.37669583249999999</v>
      </c>
      <c r="F699">
        <v>0.68709526999999904</v>
      </c>
    </row>
    <row r="700" spans="1:6" x14ac:dyDescent="0.2">
      <c r="A700" t="s">
        <v>1475</v>
      </c>
      <c r="B700" t="s">
        <v>911</v>
      </c>
      <c r="C700" t="s">
        <v>912</v>
      </c>
      <c r="D700">
        <v>4.9011414699999999E-2</v>
      </c>
      <c r="E700">
        <v>3.1121342499999899E-2</v>
      </c>
      <c r="F700">
        <v>7.2092547499999896E-2</v>
      </c>
    </row>
    <row r="701" spans="1:6" x14ac:dyDescent="0.2">
      <c r="A701" t="s">
        <v>1476</v>
      </c>
      <c r="B701" t="s">
        <v>1299</v>
      </c>
      <c r="C701" t="s">
        <v>1300</v>
      </c>
      <c r="D701">
        <v>0.28750118009999998</v>
      </c>
      <c r="E701">
        <v>0.19259088999999999</v>
      </c>
      <c r="F701">
        <v>0.39893967000000002</v>
      </c>
    </row>
    <row r="702" spans="1:6" x14ac:dyDescent="0.2">
      <c r="A702" t="s">
        <v>1477</v>
      </c>
      <c r="B702" t="s">
        <v>1302</v>
      </c>
      <c r="C702" t="s">
        <v>1303</v>
      </c>
      <c r="D702">
        <v>0.45136111719999999</v>
      </c>
      <c r="E702">
        <v>0.30716694</v>
      </c>
      <c r="F702">
        <v>0.60029983249999996</v>
      </c>
    </row>
    <row r="703" spans="1:6" x14ac:dyDescent="0.2">
      <c r="A703" t="s">
        <v>1478</v>
      </c>
      <c r="B703" t="s">
        <v>1305</v>
      </c>
      <c r="C703" t="s">
        <v>1306</v>
      </c>
      <c r="D703">
        <v>0.539560491899999</v>
      </c>
      <c r="E703">
        <v>0.37669583249999999</v>
      </c>
      <c r="F703">
        <v>0.68709526999999904</v>
      </c>
    </row>
    <row r="704" spans="1:6" x14ac:dyDescent="0.2">
      <c r="A704" t="s">
        <v>1479</v>
      </c>
      <c r="B704" t="s">
        <v>911</v>
      </c>
      <c r="C704" t="s">
        <v>912</v>
      </c>
      <c r="D704">
        <v>4.9011414699999999E-2</v>
      </c>
      <c r="E704">
        <v>3.1121342499999899E-2</v>
      </c>
      <c r="F704">
        <v>7.2092547499999896E-2</v>
      </c>
    </row>
    <row r="705" spans="1:6" x14ac:dyDescent="0.2">
      <c r="A705" t="s">
        <v>1480</v>
      </c>
      <c r="B705" t="s">
        <v>1299</v>
      </c>
      <c r="C705" t="s">
        <v>1300</v>
      </c>
      <c r="D705">
        <v>0.28750118009999998</v>
      </c>
      <c r="E705">
        <v>0.19259088999999999</v>
      </c>
      <c r="F705">
        <v>0.39893967000000002</v>
      </c>
    </row>
    <row r="706" spans="1:6" x14ac:dyDescent="0.2">
      <c r="A706" t="s">
        <v>1481</v>
      </c>
      <c r="B706" t="s">
        <v>1302</v>
      </c>
      <c r="C706" t="s">
        <v>1303</v>
      </c>
      <c r="D706">
        <v>0.45136111719999999</v>
      </c>
      <c r="E706">
        <v>0.30716694</v>
      </c>
      <c r="F706">
        <v>0.60029983249999996</v>
      </c>
    </row>
    <row r="707" spans="1:6" x14ac:dyDescent="0.2">
      <c r="A707" t="s">
        <v>1482</v>
      </c>
      <c r="B707" t="s">
        <v>1305</v>
      </c>
      <c r="C707" t="s">
        <v>1306</v>
      </c>
      <c r="D707">
        <v>0.539560491899999</v>
      </c>
      <c r="E707">
        <v>0.37669583249999999</v>
      </c>
      <c r="F707">
        <v>0.68709526999999904</v>
      </c>
    </row>
    <row r="708" spans="1:6" x14ac:dyDescent="0.2">
      <c r="A708" t="s">
        <v>1483</v>
      </c>
      <c r="B708" t="s">
        <v>911</v>
      </c>
      <c r="C708" t="s">
        <v>912</v>
      </c>
      <c r="D708">
        <v>4.9011414699999999E-2</v>
      </c>
      <c r="E708">
        <v>3.1121342499999899E-2</v>
      </c>
      <c r="F708">
        <v>7.2092547499999896E-2</v>
      </c>
    </row>
    <row r="709" spans="1:6" x14ac:dyDescent="0.2">
      <c r="A709" t="s">
        <v>1484</v>
      </c>
      <c r="B709" t="s">
        <v>1299</v>
      </c>
      <c r="C709" t="s">
        <v>1300</v>
      </c>
      <c r="D709">
        <v>0.28750118009999998</v>
      </c>
      <c r="E709">
        <v>0.19259088999999999</v>
      </c>
      <c r="F709">
        <v>0.39893967000000002</v>
      </c>
    </row>
    <row r="710" spans="1:6" x14ac:dyDescent="0.2">
      <c r="A710" t="s">
        <v>1485</v>
      </c>
      <c r="B710" t="s">
        <v>1302</v>
      </c>
      <c r="C710" t="s">
        <v>1303</v>
      </c>
      <c r="D710">
        <v>0.45136111719999999</v>
      </c>
      <c r="E710">
        <v>0.30716694</v>
      </c>
      <c r="F710">
        <v>0.60029983249999996</v>
      </c>
    </row>
    <row r="711" spans="1:6" x14ac:dyDescent="0.2">
      <c r="A711" t="s">
        <v>1486</v>
      </c>
      <c r="B711" t="s">
        <v>1305</v>
      </c>
      <c r="C711" t="s">
        <v>1306</v>
      </c>
      <c r="D711">
        <v>0.539560491899999</v>
      </c>
      <c r="E711">
        <v>0.37669583249999999</v>
      </c>
      <c r="F711">
        <v>0.68709526999999904</v>
      </c>
    </row>
    <row r="712" spans="1:6" x14ac:dyDescent="0.2">
      <c r="A712" t="s">
        <v>1487</v>
      </c>
      <c r="B712" t="s">
        <v>911</v>
      </c>
      <c r="C712" t="s">
        <v>912</v>
      </c>
      <c r="D712">
        <v>4.9011414699999999E-2</v>
      </c>
      <c r="E712">
        <v>3.1121342499999899E-2</v>
      </c>
      <c r="F712">
        <v>7.2092547499999896E-2</v>
      </c>
    </row>
    <row r="713" spans="1:6" x14ac:dyDescent="0.2">
      <c r="A713" t="s">
        <v>1488</v>
      </c>
      <c r="B713" t="s">
        <v>1299</v>
      </c>
      <c r="C713" t="s">
        <v>1300</v>
      </c>
      <c r="D713">
        <v>0.28750118009999998</v>
      </c>
      <c r="E713">
        <v>0.19259088999999999</v>
      </c>
      <c r="F713">
        <v>0.39893967000000002</v>
      </c>
    </row>
    <row r="714" spans="1:6" x14ac:dyDescent="0.2">
      <c r="A714" t="s">
        <v>1489</v>
      </c>
      <c r="B714" t="s">
        <v>1302</v>
      </c>
      <c r="C714" t="s">
        <v>1303</v>
      </c>
      <c r="D714">
        <v>0.45136111719999999</v>
      </c>
      <c r="E714">
        <v>0.30716694</v>
      </c>
      <c r="F714">
        <v>0.60029983249999996</v>
      </c>
    </row>
    <row r="715" spans="1:6" x14ac:dyDescent="0.2">
      <c r="A715" t="s">
        <v>1490</v>
      </c>
      <c r="B715" t="s">
        <v>1305</v>
      </c>
      <c r="C715" t="s">
        <v>1306</v>
      </c>
      <c r="D715">
        <v>0.539560491899999</v>
      </c>
      <c r="E715">
        <v>0.37669583249999999</v>
      </c>
      <c r="F715">
        <v>0.68709526999999904</v>
      </c>
    </row>
    <row r="716" spans="1:6" x14ac:dyDescent="0.2">
      <c r="A716" t="s">
        <v>1491</v>
      </c>
      <c r="B716" t="s">
        <v>911</v>
      </c>
      <c r="C716" t="s">
        <v>912</v>
      </c>
      <c r="D716">
        <v>4.9011414699999999E-2</v>
      </c>
      <c r="E716">
        <v>3.1121342499999899E-2</v>
      </c>
      <c r="F716">
        <v>7.2092547499999896E-2</v>
      </c>
    </row>
    <row r="717" spans="1:6" x14ac:dyDescent="0.2">
      <c r="A717" t="s">
        <v>1492</v>
      </c>
      <c r="B717" t="s">
        <v>1299</v>
      </c>
      <c r="C717" t="s">
        <v>1300</v>
      </c>
      <c r="D717">
        <v>0.28750118009999998</v>
      </c>
      <c r="E717">
        <v>0.19259088999999999</v>
      </c>
      <c r="F717">
        <v>0.39893967000000002</v>
      </c>
    </row>
    <row r="718" spans="1:6" x14ac:dyDescent="0.2">
      <c r="A718" t="s">
        <v>1493</v>
      </c>
      <c r="B718" t="s">
        <v>1302</v>
      </c>
      <c r="C718" t="s">
        <v>1303</v>
      </c>
      <c r="D718">
        <v>0.45136111719999999</v>
      </c>
      <c r="E718">
        <v>0.30716694</v>
      </c>
      <c r="F718">
        <v>0.60029983249999996</v>
      </c>
    </row>
    <row r="719" spans="1:6" x14ac:dyDescent="0.2">
      <c r="A719" t="s">
        <v>1494</v>
      </c>
      <c r="B719" t="s">
        <v>1305</v>
      </c>
      <c r="C719" t="s">
        <v>1306</v>
      </c>
      <c r="D719">
        <v>0.539560491899999</v>
      </c>
      <c r="E719">
        <v>0.37669583249999999</v>
      </c>
      <c r="F719">
        <v>0.68709526999999904</v>
      </c>
    </row>
    <row r="720" spans="1:6" x14ac:dyDescent="0.2">
      <c r="A720" t="s">
        <v>1495</v>
      </c>
      <c r="B720" t="s">
        <v>911</v>
      </c>
      <c r="C720" t="s">
        <v>912</v>
      </c>
      <c r="D720">
        <v>4.9011414699999999E-2</v>
      </c>
      <c r="E720">
        <v>3.1121342499999899E-2</v>
      </c>
      <c r="F720">
        <v>7.2092547499999896E-2</v>
      </c>
    </row>
    <row r="721" spans="1:6" x14ac:dyDescent="0.2">
      <c r="A721" t="s">
        <v>1496</v>
      </c>
      <c r="B721" t="s">
        <v>1299</v>
      </c>
      <c r="C721" t="s">
        <v>1300</v>
      </c>
      <c r="D721">
        <v>0.28750118009999998</v>
      </c>
      <c r="E721">
        <v>0.19259088999999999</v>
      </c>
      <c r="F721">
        <v>0.39893967000000002</v>
      </c>
    </row>
    <row r="722" spans="1:6" x14ac:dyDescent="0.2">
      <c r="A722" t="s">
        <v>1497</v>
      </c>
      <c r="B722" t="s">
        <v>1302</v>
      </c>
      <c r="C722" t="s">
        <v>1303</v>
      </c>
      <c r="D722">
        <v>0.45136111719999999</v>
      </c>
      <c r="E722">
        <v>0.30716694</v>
      </c>
      <c r="F722">
        <v>0.60029983249999996</v>
      </c>
    </row>
    <row r="723" spans="1:6" x14ac:dyDescent="0.2">
      <c r="A723" t="s">
        <v>1498</v>
      </c>
      <c r="B723" t="s">
        <v>1305</v>
      </c>
      <c r="C723" t="s">
        <v>1306</v>
      </c>
      <c r="D723">
        <v>0.539560491899999</v>
      </c>
      <c r="E723">
        <v>0.37669583249999999</v>
      </c>
      <c r="F723">
        <v>0.68709526999999904</v>
      </c>
    </row>
    <row r="724" spans="1:6" x14ac:dyDescent="0.2">
      <c r="A724" t="s">
        <v>1499</v>
      </c>
      <c r="B724" t="s">
        <v>911</v>
      </c>
      <c r="C724" t="s">
        <v>912</v>
      </c>
      <c r="D724">
        <v>4.9011414699999999E-2</v>
      </c>
      <c r="E724">
        <v>3.1121342499999899E-2</v>
      </c>
      <c r="F724">
        <v>7.2092547499999896E-2</v>
      </c>
    </row>
    <row r="725" spans="1:6" x14ac:dyDescent="0.2">
      <c r="A725" t="s">
        <v>1500</v>
      </c>
      <c r="B725" t="s">
        <v>1299</v>
      </c>
      <c r="C725" t="s">
        <v>1300</v>
      </c>
      <c r="D725">
        <v>0.28750118009999998</v>
      </c>
      <c r="E725">
        <v>0.19259088999999999</v>
      </c>
      <c r="F725">
        <v>0.39893967000000002</v>
      </c>
    </row>
    <row r="726" spans="1:6" x14ac:dyDescent="0.2">
      <c r="A726" t="s">
        <v>1501</v>
      </c>
      <c r="B726" t="s">
        <v>1302</v>
      </c>
      <c r="C726" t="s">
        <v>1303</v>
      </c>
      <c r="D726">
        <v>0.45136111719999999</v>
      </c>
      <c r="E726">
        <v>0.30716694</v>
      </c>
      <c r="F726">
        <v>0.60029983249999996</v>
      </c>
    </row>
    <row r="727" spans="1:6" x14ac:dyDescent="0.2">
      <c r="A727" t="s">
        <v>1502</v>
      </c>
      <c r="B727" t="s">
        <v>1305</v>
      </c>
      <c r="C727" t="s">
        <v>1306</v>
      </c>
      <c r="D727">
        <v>0.539560491899999</v>
      </c>
      <c r="E727">
        <v>0.37669583249999999</v>
      </c>
      <c r="F727">
        <v>0.68709526999999904</v>
      </c>
    </row>
    <row r="728" spans="1:6" x14ac:dyDescent="0.2">
      <c r="A728" t="s">
        <v>1503</v>
      </c>
      <c r="B728" t="s">
        <v>911</v>
      </c>
      <c r="C728" t="s">
        <v>912</v>
      </c>
      <c r="D728">
        <v>4.9011414699999999E-2</v>
      </c>
      <c r="E728">
        <v>3.1121342499999899E-2</v>
      </c>
      <c r="F728">
        <v>7.2092547499999896E-2</v>
      </c>
    </row>
    <row r="729" spans="1:6" x14ac:dyDescent="0.2">
      <c r="A729" t="s">
        <v>1504</v>
      </c>
      <c r="B729" t="s">
        <v>1299</v>
      </c>
      <c r="C729" t="s">
        <v>1300</v>
      </c>
      <c r="D729">
        <v>0.28750118009999998</v>
      </c>
      <c r="E729">
        <v>0.19259088999999999</v>
      </c>
      <c r="F729">
        <v>0.39893967000000002</v>
      </c>
    </row>
    <row r="730" spans="1:6" x14ac:dyDescent="0.2">
      <c r="A730" t="s">
        <v>1505</v>
      </c>
      <c r="B730" t="s">
        <v>1302</v>
      </c>
      <c r="C730" t="s">
        <v>1303</v>
      </c>
      <c r="D730">
        <v>0.45136111719999999</v>
      </c>
      <c r="E730">
        <v>0.30716694</v>
      </c>
      <c r="F730">
        <v>0.60029983249999996</v>
      </c>
    </row>
    <row r="731" spans="1:6" x14ac:dyDescent="0.2">
      <c r="A731" t="s">
        <v>1506</v>
      </c>
      <c r="B731" t="s">
        <v>1305</v>
      </c>
      <c r="C731" t="s">
        <v>1306</v>
      </c>
      <c r="D731">
        <v>0.539560491899999</v>
      </c>
      <c r="E731">
        <v>0.37669583249999999</v>
      </c>
      <c r="F731">
        <v>0.68709526999999904</v>
      </c>
    </row>
    <row r="732" spans="1:6" x14ac:dyDescent="0.2">
      <c r="A732" t="s">
        <v>1507</v>
      </c>
      <c r="B732" t="s">
        <v>911</v>
      </c>
      <c r="C732" t="s">
        <v>912</v>
      </c>
      <c r="D732">
        <v>4.9011414699999999E-2</v>
      </c>
      <c r="E732">
        <v>3.1121342499999899E-2</v>
      </c>
      <c r="F732">
        <v>7.2092547499999896E-2</v>
      </c>
    </row>
    <row r="733" spans="1:6" x14ac:dyDescent="0.2">
      <c r="A733" t="s">
        <v>1508</v>
      </c>
      <c r="B733" t="s">
        <v>1299</v>
      </c>
      <c r="C733" t="s">
        <v>1300</v>
      </c>
      <c r="D733">
        <v>0.28750118009999998</v>
      </c>
      <c r="E733">
        <v>0.19259088999999999</v>
      </c>
      <c r="F733">
        <v>0.39893967000000002</v>
      </c>
    </row>
    <row r="734" spans="1:6" x14ac:dyDescent="0.2">
      <c r="A734" t="s">
        <v>1509</v>
      </c>
      <c r="B734" t="s">
        <v>1302</v>
      </c>
      <c r="C734" t="s">
        <v>1303</v>
      </c>
      <c r="D734">
        <v>0.45136111719999999</v>
      </c>
      <c r="E734">
        <v>0.30716694</v>
      </c>
      <c r="F734">
        <v>0.60029983249999996</v>
      </c>
    </row>
    <row r="735" spans="1:6" x14ac:dyDescent="0.2">
      <c r="A735" t="s">
        <v>1510</v>
      </c>
      <c r="B735" t="s">
        <v>1305</v>
      </c>
      <c r="C735" t="s">
        <v>1306</v>
      </c>
      <c r="D735">
        <v>0.539560491899999</v>
      </c>
      <c r="E735">
        <v>0.37669583249999999</v>
      </c>
      <c r="F735">
        <v>0.68709526999999904</v>
      </c>
    </row>
    <row r="736" spans="1:6" x14ac:dyDescent="0.2">
      <c r="A736" t="s">
        <v>1511</v>
      </c>
      <c r="B736" t="s">
        <v>911</v>
      </c>
      <c r="C736" t="s">
        <v>912</v>
      </c>
      <c r="D736">
        <v>4.9011414699999999E-2</v>
      </c>
      <c r="E736">
        <v>3.1121342499999899E-2</v>
      </c>
      <c r="F736">
        <v>7.2092547499999896E-2</v>
      </c>
    </row>
    <row r="737" spans="1:6" x14ac:dyDescent="0.2">
      <c r="A737" t="s">
        <v>1512</v>
      </c>
      <c r="B737" t="s">
        <v>911</v>
      </c>
      <c r="C737" t="s">
        <v>912</v>
      </c>
      <c r="D737">
        <v>4.9011414699999999E-2</v>
      </c>
      <c r="E737">
        <v>3.1121342499999899E-2</v>
      </c>
      <c r="F737">
        <v>7.2092547499999896E-2</v>
      </c>
    </row>
    <row r="738" spans="1:6" x14ac:dyDescent="0.2">
      <c r="A738" t="s">
        <v>1513</v>
      </c>
      <c r="B738" t="s">
        <v>698</v>
      </c>
      <c r="D738">
        <v>0</v>
      </c>
      <c r="E738">
        <v>0</v>
      </c>
      <c r="F738">
        <v>0</v>
      </c>
    </row>
    <row r="739" spans="1:6" x14ac:dyDescent="0.2">
      <c r="A739" t="s">
        <v>1514</v>
      </c>
      <c r="B739" t="s">
        <v>698</v>
      </c>
      <c r="D739">
        <v>0</v>
      </c>
      <c r="E739">
        <v>0</v>
      </c>
      <c r="F739">
        <v>0</v>
      </c>
    </row>
    <row r="740" spans="1:6" x14ac:dyDescent="0.2">
      <c r="A740" t="s">
        <v>1515</v>
      </c>
      <c r="B740" t="s">
        <v>698</v>
      </c>
      <c r="D740">
        <v>0</v>
      </c>
      <c r="E740">
        <v>0</v>
      </c>
      <c r="F740">
        <v>0</v>
      </c>
    </row>
    <row r="741" spans="1:6" x14ac:dyDescent="0.2">
      <c r="A741" t="s">
        <v>1516</v>
      </c>
      <c r="B741" t="s">
        <v>911</v>
      </c>
      <c r="C741" t="s">
        <v>912</v>
      </c>
      <c r="D741">
        <v>4.9011414699999999E-2</v>
      </c>
      <c r="E741">
        <v>3.1121342499999899E-2</v>
      </c>
      <c r="F741">
        <v>7.2092547499999896E-2</v>
      </c>
    </row>
    <row r="742" spans="1:6" x14ac:dyDescent="0.2">
      <c r="A742" t="s">
        <v>1517</v>
      </c>
      <c r="B742" t="s">
        <v>898</v>
      </c>
      <c r="C742" t="s">
        <v>899</v>
      </c>
      <c r="D742">
        <v>4.14518940999999E-2</v>
      </c>
      <c r="E742">
        <v>2.6103222499999999E-2</v>
      </c>
      <c r="F742">
        <v>6.2339544999999899E-2</v>
      </c>
    </row>
    <row r="743" spans="1:6" x14ac:dyDescent="0.2">
      <c r="A743" t="s">
        <v>1518</v>
      </c>
      <c r="B743" t="s">
        <v>901</v>
      </c>
      <c r="C743" t="s">
        <v>902</v>
      </c>
      <c r="D743">
        <v>7.1653432699999894E-2</v>
      </c>
      <c r="E743">
        <v>4.6600777500000003E-2</v>
      </c>
      <c r="F743">
        <v>0.10308943</v>
      </c>
    </row>
    <row r="744" spans="1:6" x14ac:dyDescent="0.2">
      <c r="A744" t="s">
        <v>1519</v>
      </c>
      <c r="B744" t="s">
        <v>904</v>
      </c>
      <c r="C744" t="s">
        <v>905</v>
      </c>
      <c r="D744">
        <v>0.17906669619999999</v>
      </c>
      <c r="E744">
        <v>0.1215548</v>
      </c>
      <c r="F744">
        <v>0.25072915749999902</v>
      </c>
    </row>
    <row r="745" spans="1:6" x14ac:dyDescent="0.2">
      <c r="A745" t="s">
        <v>1520</v>
      </c>
      <c r="B745" t="s">
        <v>911</v>
      </c>
      <c r="C745" t="s">
        <v>912</v>
      </c>
      <c r="D745">
        <v>4.9011414699999999E-2</v>
      </c>
      <c r="E745">
        <v>3.1121342499999899E-2</v>
      </c>
      <c r="F745">
        <v>7.2092547499999896E-2</v>
      </c>
    </row>
    <row r="746" spans="1:6" x14ac:dyDescent="0.2">
      <c r="A746" t="s">
        <v>1521</v>
      </c>
      <c r="B746" t="s">
        <v>698</v>
      </c>
      <c r="D746">
        <v>0</v>
      </c>
      <c r="E746">
        <v>0</v>
      </c>
      <c r="F746">
        <v>0</v>
      </c>
    </row>
    <row r="747" spans="1:6" x14ac:dyDescent="0.2">
      <c r="A747" t="s">
        <v>1522</v>
      </c>
      <c r="B747" t="s">
        <v>1523</v>
      </c>
      <c r="C747" t="s">
        <v>1524</v>
      </c>
      <c r="D747">
        <v>3.3191743099999997E-2</v>
      </c>
      <c r="E747">
        <v>2.0411369999999901E-2</v>
      </c>
      <c r="F747">
        <v>5.1785499999999998E-2</v>
      </c>
    </row>
    <row r="748" spans="1:6" x14ac:dyDescent="0.2">
      <c r="A748" t="s">
        <v>1525</v>
      </c>
      <c r="B748" t="s">
        <v>1526</v>
      </c>
      <c r="C748" t="s">
        <v>1527</v>
      </c>
      <c r="D748">
        <v>7.9503995500000105E-2</v>
      </c>
      <c r="E748">
        <v>5.1910617499999999E-2</v>
      </c>
      <c r="F748">
        <v>0.112882594999999</v>
      </c>
    </row>
    <row r="749" spans="1:6" x14ac:dyDescent="0.2">
      <c r="A749" t="s">
        <v>1528</v>
      </c>
      <c r="B749" t="s">
        <v>1529</v>
      </c>
      <c r="C749" t="s">
        <v>1530</v>
      </c>
      <c r="D749">
        <v>0.16688266169999999</v>
      </c>
      <c r="E749">
        <v>0.1099840325</v>
      </c>
      <c r="F749">
        <v>0.23953090999999899</v>
      </c>
    </row>
    <row r="750" spans="1:6" x14ac:dyDescent="0.2">
      <c r="A750" t="s">
        <v>1531</v>
      </c>
      <c r="B750" t="s">
        <v>698</v>
      </c>
      <c r="D750">
        <v>0</v>
      </c>
      <c r="E750">
        <v>0</v>
      </c>
      <c r="F750">
        <v>0</v>
      </c>
    </row>
    <row r="751" spans="1:6" x14ac:dyDescent="0.2">
      <c r="A751" t="s">
        <v>1532</v>
      </c>
      <c r="B751" t="s">
        <v>898</v>
      </c>
      <c r="C751" t="s">
        <v>899</v>
      </c>
      <c r="D751">
        <v>4.14518940999999E-2</v>
      </c>
      <c r="E751">
        <v>2.6103222499999999E-2</v>
      </c>
      <c r="F751">
        <v>6.2339544999999899E-2</v>
      </c>
    </row>
    <row r="752" spans="1:6" x14ac:dyDescent="0.2">
      <c r="A752" t="s">
        <v>1533</v>
      </c>
      <c r="B752" t="s">
        <v>901</v>
      </c>
      <c r="C752" t="s">
        <v>902</v>
      </c>
      <c r="D752">
        <v>7.1653432699999894E-2</v>
      </c>
      <c r="E752">
        <v>4.6600777500000003E-2</v>
      </c>
      <c r="F752">
        <v>0.10308943</v>
      </c>
    </row>
    <row r="753" spans="1:6" x14ac:dyDescent="0.2">
      <c r="A753" t="s">
        <v>1534</v>
      </c>
      <c r="B753" t="s">
        <v>904</v>
      </c>
      <c r="C753" t="s">
        <v>905</v>
      </c>
      <c r="D753">
        <v>0.17906669619999999</v>
      </c>
      <c r="E753">
        <v>0.1215548</v>
      </c>
      <c r="F753">
        <v>0.25072915749999902</v>
      </c>
    </row>
    <row r="754" spans="1:6" x14ac:dyDescent="0.2">
      <c r="A754" t="s">
        <v>1535</v>
      </c>
      <c r="B754" t="s">
        <v>911</v>
      </c>
      <c r="C754" t="s">
        <v>912</v>
      </c>
      <c r="D754">
        <v>4.9011414699999999E-2</v>
      </c>
      <c r="E754">
        <v>3.1121342499999899E-2</v>
      </c>
      <c r="F754">
        <v>7.2092547499999896E-2</v>
      </c>
    </row>
    <row r="755" spans="1:6" x14ac:dyDescent="0.2">
      <c r="A755" t="s">
        <v>1536</v>
      </c>
      <c r="B755" t="s">
        <v>1537</v>
      </c>
      <c r="C755" t="s">
        <v>1538</v>
      </c>
      <c r="D755">
        <v>0.4322702155</v>
      </c>
      <c r="E755">
        <v>0.28814891999999998</v>
      </c>
      <c r="F755">
        <v>0.57909744499999904</v>
      </c>
    </row>
    <row r="756" spans="1:6" x14ac:dyDescent="0.2">
      <c r="A756" t="s">
        <v>1539</v>
      </c>
      <c r="B756" t="s">
        <v>1540</v>
      </c>
      <c r="C756" t="s">
        <v>1541</v>
      </c>
      <c r="D756">
        <v>7.4100214599999895E-2</v>
      </c>
      <c r="E756">
        <v>4.8690887500000002E-2</v>
      </c>
      <c r="F756">
        <v>0.10531088</v>
      </c>
    </row>
    <row r="757" spans="1:6" x14ac:dyDescent="0.2">
      <c r="A757" t="s">
        <v>1542</v>
      </c>
      <c r="B757" t="s">
        <v>1543</v>
      </c>
      <c r="C757" t="s">
        <v>1544</v>
      </c>
      <c r="D757">
        <v>1.9010281399999999E-2</v>
      </c>
      <c r="E757">
        <v>1.0070084999999999E-2</v>
      </c>
      <c r="F757">
        <v>3.2253339999999998E-2</v>
      </c>
    </row>
    <row r="758" spans="1:6" x14ac:dyDescent="0.2">
      <c r="A758" t="s">
        <v>1545</v>
      </c>
      <c r="B758" t="s">
        <v>1546</v>
      </c>
      <c r="C758" t="s">
        <v>1547</v>
      </c>
      <c r="D758">
        <v>7.0059834899999895E-2</v>
      </c>
      <c r="E758">
        <v>4.6415625000000002E-2</v>
      </c>
      <c r="F758">
        <v>9.9395024999999998E-2</v>
      </c>
    </row>
    <row r="759" spans="1:6" x14ac:dyDescent="0.2">
      <c r="A759" t="s">
        <v>1548</v>
      </c>
      <c r="B759" t="s">
        <v>1549</v>
      </c>
      <c r="C759" t="s">
        <v>648</v>
      </c>
      <c r="D759">
        <v>0.11550699671223399</v>
      </c>
      <c r="E759">
        <v>7.6176283662702099E-2</v>
      </c>
      <c r="F759">
        <v>0.16382252235911099</v>
      </c>
    </row>
    <row r="760" spans="1:6" x14ac:dyDescent="0.2">
      <c r="A760" t="s">
        <v>1550</v>
      </c>
      <c r="B760" t="s">
        <v>1551</v>
      </c>
      <c r="C760" t="s">
        <v>648</v>
      </c>
      <c r="D760">
        <v>0.10849538907589</v>
      </c>
      <c r="E760">
        <v>7.3519290042004998E-2</v>
      </c>
      <c r="F760">
        <v>0.15402047107273001</v>
      </c>
    </row>
    <row r="761" spans="1:6" x14ac:dyDescent="0.2">
      <c r="A761" t="s">
        <v>1552</v>
      </c>
      <c r="B761" t="s">
        <v>1553</v>
      </c>
      <c r="C761" t="s">
        <v>648</v>
      </c>
      <c r="D761">
        <v>0.13651289717948001</v>
      </c>
      <c r="E761">
        <v>9.1287636148285098E-2</v>
      </c>
      <c r="F761">
        <v>0.19065364996242601</v>
      </c>
    </row>
    <row r="762" spans="1:6" x14ac:dyDescent="0.2">
      <c r="A762" t="s">
        <v>1554</v>
      </c>
      <c r="B762" t="s">
        <v>1555</v>
      </c>
      <c r="C762" t="s">
        <v>648</v>
      </c>
      <c r="D762">
        <v>0.236222262269112</v>
      </c>
      <c r="E762">
        <v>0.165268246791726</v>
      </c>
      <c r="F762">
        <v>0.31938408271870899</v>
      </c>
    </row>
    <row r="763" spans="1:6" x14ac:dyDescent="0.2">
      <c r="A763" t="s">
        <v>1556</v>
      </c>
      <c r="B763" t="s">
        <v>1557</v>
      </c>
      <c r="C763" t="s">
        <v>1558</v>
      </c>
      <c r="D763">
        <v>0.31634430260000002</v>
      </c>
      <c r="E763">
        <v>0.205675055</v>
      </c>
      <c r="F763">
        <v>0.4373492725</v>
      </c>
    </row>
    <row r="764" spans="1:6" x14ac:dyDescent="0.2">
      <c r="A764" t="s">
        <v>1559</v>
      </c>
      <c r="B764" t="s">
        <v>1560</v>
      </c>
      <c r="C764" t="s">
        <v>648</v>
      </c>
      <c r="D764">
        <v>0.34959209832848598</v>
      </c>
      <c r="E764">
        <v>0.240566177916543</v>
      </c>
      <c r="F764">
        <v>0.47013132633835902</v>
      </c>
    </row>
    <row r="765" spans="1:6" x14ac:dyDescent="0.2">
      <c r="A765" t="s">
        <v>1561</v>
      </c>
      <c r="B765" t="s">
        <v>1562</v>
      </c>
      <c r="C765" t="s">
        <v>648</v>
      </c>
      <c r="D765">
        <v>0.34449130984930698</v>
      </c>
      <c r="E765">
        <v>0.23749653804307799</v>
      </c>
      <c r="F765">
        <v>0.46443068990940301</v>
      </c>
    </row>
    <row r="766" spans="1:6" x14ac:dyDescent="0.2">
      <c r="A766" t="s">
        <v>1563</v>
      </c>
      <c r="B766" t="s">
        <v>1564</v>
      </c>
      <c r="C766" t="s">
        <v>648</v>
      </c>
      <c r="D766">
        <v>0.36481637276607598</v>
      </c>
      <c r="E766">
        <v>0.25318012588344602</v>
      </c>
      <c r="F766">
        <v>0.48666830599338701</v>
      </c>
    </row>
    <row r="767" spans="1:6" x14ac:dyDescent="0.2">
      <c r="A767" t="s">
        <v>1565</v>
      </c>
      <c r="B767" t="s">
        <v>1566</v>
      </c>
      <c r="C767" t="s">
        <v>648</v>
      </c>
      <c r="D767">
        <v>0.43701702717526802</v>
      </c>
      <c r="E767">
        <v>0.30824900681738598</v>
      </c>
      <c r="F767">
        <v>0.57526310552081905</v>
      </c>
    </row>
    <row r="768" spans="1:6" x14ac:dyDescent="0.2">
      <c r="A768" t="s">
        <v>1567</v>
      </c>
      <c r="B768" t="s">
        <v>1568</v>
      </c>
      <c r="C768" t="s">
        <v>1569</v>
      </c>
      <c r="D768">
        <v>0.55200139250000002</v>
      </c>
      <c r="E768">
        <v>0.37678311249999902</v>
      </c>
      <c r="F768">
        <v>0.70691958999999904</v>
      </c>
    </row>
    <row r="769" spans="1:6" x14ac:dyDescent="0.2">
      <c r="A769" t="s">
        <v>1570</v>
      </c>
      <c r="B769" t="s">
        <v>1571</v>
      </c>
      <c r="C769" t="s">
        <v>648</v>
      </c>
      <c r="D769">
        <v>0.57375326559862805</v>
      </c>
      <c r="E769">
        <v>0.40780612002858802</v>
      </c>
      <c r="F769">
        <v>0.721438061881714</v>
      </c>
    </row>
    <row r="770" spans="1:6" x14ac:dyDescent="0.2">
      <c r="A770" t="s">
        <v>1572</v>
      </c>
      <c r="B770" t="s">
        <v>1573</v>
      </c>
      <c r="C770" t="s">
        <v>648</v>
      </c>
      <c r="D770">
        <v>0.57045221168801397</v>
      </c>
      <c r="E770">
        <v>0.40349875206823499</v>
      </c>
      <c r="F770">
        <v>0.72040329063216701</v>
      </c>
    </row>
    <row r="771" spans="1:6" x14ac:dyDescent="0.2">
      <c r="A771" t="s">
        <v>1574</v>
      </c>
      <c r="B771" t="s">
        <v>1575</v>
      </c>
      <c r="C771" t="s">
        <v>648</v>
      </c>
      <c r="D771">
        <v>0.58355582358288305</v>
      </c>
      <c r="E771">
        <v>0.417199500716877</v>
      </c>
      <c r="F771">
        <v>0.73236616822837197</v>
      </c>
    </row>
    <row r="772" spans="1:6" x14ac:dyDescent="0.2">
      <c r="A772" t="s">
        <v>1576</v>
      </c>
      <c r="B772" t="s">
        <v>1577</v>
      </c>
      <c r="C772" t="s">
        <v>648</v>
      </c>
      <c r="D772">
        <v>0.62989166068075297</v>
      </c>
      <c r="E772">
        <v>0.45832308006611999</v>
      </c>
      <c r="F772">
        <v>0.77673933035490395</v>
      </c>
    </row>
    <row r="773" spans="1:6" x14ac:dyDescent="0.2">
      <c r="A773" t="s">
        <v>1578</v>
      </c>
      <c r="B773" t="s">
        <v>1579</v>
      </c>
      <c r="C773" t="s">
        <v>1580</v>
      </c>
      <c r="D773">
        <v>0.58754583439999997</v>
      </c>
      <c r="E773">
        <v>0.4109979775</v>
      </c>
      <c r="F773">
        <v>0.74443417249999999</v>
      </c>
    </row>
    <row r="774" spans="1:6" x14ac:dyDescent="0.2">
      <c r="A774" t="s">
        <v>1581</v>
      </c>
      <c r="B774" t="s">
        <v>1582</v>
      </c>
      <c r="C774" t="s">
        <v>648</v>
      </c>
      <c r="D774">
        <v>0.60757001409394795</v>
      </c>
      <c r="E774">
        <v>0.43828786630579902</v>
      </c>
      <c r="F774">
        <v>0.75934048659864295</v>
      </c>
    </row>
    <row r="775" spans="1:6" x14ac:dyDescent="0.2">
      <c r="A775" t="s">
        <v>1583</v>
      </c>
      <c r="B775" t="s">
        <v>1584</v>
      </c>
      <c r="C775" t="s">
        <v>648</v>
      </c>
      <c r="D775">
        <v>0.604535787675755</v>
      </c>
      <c r="E775">
        <v>0.43625818319187298</v>
      </c>
      <c r="F775">
        <v>0.75809155397980998</v>
      </c>
    </row>
    <row r="776" spans="1:6" x14ac:dyDescent="0.2">
      <c r="A776" t="s">
        <v>1585</v>
      </c>
      <c r="B776" t="s">
        <v>1586</v>
      </c>
      <c r="C776" t="s">
        <v>648</v>
      </c>
      <c r="D776">
        <v>0.616569518087146</v>
      </c>
      <c r="E776">
        <v>0.447985945937315</v>
      </c>
      <c r="F776">
        <v>0.76819352683282904</v>
      </c>
    </row>
    <row r="777" spans="1:6" x14ac:dyDescent="0.2">
      <c r="A777" t="s">
        <v>1587</v>
      </c>
      <c r="B777" t="s">
        <v>1588</v>
      </c>
      <c r="C777" t="s">
        <v>648</v>
      </c>
      <c r="D777">
        <v>0.65906096991707197</v>
      </c>
      <c r="E777">
        <v>0.48854045382489703</v>
      </c>
      <c r="F777">
        <v>0.80805342256143697</v>
      </c>
    </row>
    <row r="778" spans="1:6" x14ac:dyDescent="0.2">
      <c r="A778" t="s">
        <v>1589</v>
      </c>
      <c r="B778" t="s">
        <v>698</v>
      </c>
      <c r="D778">
        <v>0</v>
      </c>
      <c r="E778">
        <v>0</v>
      </c>
      <c r="F778">
        <v>0</v>
      </c>
    </row>
    <row r="779" spans="1:6" x14ac:dyDescent="0.2">
      <c r="A779" t="s">
        <v>1590</v>
      </c>
      <c r="B779" t="s">
        <v>1543</v>
      </c>
      <c r="C779" t="s">
        <v>1544</v>
      </c>
      <c r="D779">
        <v>1.9010281399999999E-2</v>
      </c>
      <c r="E779">
        <v>1.0070084999999999E-2</v>
      </c>
      <c r="F779">
        <v>3.2253339999999998E-2</v>
      </c>
    </row>
    <row r="780" spans="1:6" x14ac:dyDescent="0.2">
      <c r="A780" t="s">
        <v>1591</v>
      </c>
      <c r="B780" t="s">
        <v>1543</v>
      </c>
      <c r="C780" t="s">
        <v>1544</v>
      </c>
      <c r="D780">
        <v>1.9010281399999999E-2</v>
      </c>
      <c r="E780">
        <v>1.0070084999999999E-2</v>
      </c>
      <c r="F780">
        <v>3.2253339999999998E-2</v>
      </c>
    </row>
    <row r="781" spans="1:6" x14ac:dyDescent="0.2">
      <c r="A781" t="s">
        <v>1592</v>
      </c>
      <c r="B781" t="s">
        <v>1546</v>
      </c>
      <c r="C781" t="s">
        <v>1547</v>
      </c>
      <c r="D781">
        <v>7.0059834899999895E-2</v>
      </c>
      <c r="E781">
        <v>4.6415625000000002E-2</v>
      </c>
      <c r="F781">
        <v>9.9395024999999998E-2</v>
      </c>
    </row>
    <row r="782" spans="1:6" x14ac:dyDescent="0.2">
      <c r="A782" t="s">
        <v>1593</v>
      </c>
      <c r="B782" t="s">
        <v>1549</v>
      </c>
      <c r="C782" t="s">
        <v>648</v>
      </c>
      <c r="D782">
        <v>0.11550699671223399</v>
      </c>
      <c r="E782">
        <v>7.6176283662702099E-2</v>
      </c>
      <c r="F782">
        <v>0.16382252235911099</v>
      </c>
    </row>
    <row r="783" spans="1:6" x14ac:dyDescent="0.2">
      <c r="A783" t="s">
        <v>1594</v>
      </c>
      <c r="B783" t="s">
        <v>1551</v>
      </c>
      <c r="C783" t="s">
        <v>648</v>
      </c>
      <c r="D783">
        <v>0.10849538907589</v>
      </c>
      <c r="E783">
        <v>7.3519290042004998E-2</v>
      </c>
      <c r="F783">
        <v>0.15402047107273001</v>
      </c>
    </row>
    <row r="784" spans="1:6" x14ac:dyDescent="0.2">
      <c r="A784" t="s">
        <v>1595</v>
      </c>
      <c r="B784" t="s">
        <v>1553</v>
      </c>
      <c r="C784" t="s">
        <v>648</v>
      </c>
      <c r="D784">
        <v>0.13651289717948001</v>
      </c>
      <c r="E784">
        <v>9.1287636148285098E-2</v>
      </c>
      <c r="F784">
        <v>0.19065364996242601</v>
      </c>
    </row>
    <row r="785" spans="1:6" x14ac:dyDescent="0.2">
      <c r="A785" t="s">
        <v>1596</v>
      </c>
      <c r="B785" t="s">
        <v>1555</v>
      </c>
      <c r="C785" t="s">
        <v>648</v>
      </c>
      <c r="D785">
        <v>0.236222262269112</v>
      </c>
      <c r="E785">
        <v>0.165268246791726</v>
      </c>
      <c r="F785">
        <v>0.31938408271870899</v>
      </c>
    </row>
    <row r="786" spans="1:6" x14ac:dyDescent="0.2">
      <c r="A786" t="s">
        <v>1597</v>
      </c>
      <c r="B786" t="s">
        <v>1557</v>
      </c>
      <c r="C786" t="s">
        <v>1558</v>
      </c>
      <c r="D786">
        <v>0.31634430260000002</v>
      </c>
      <c r="E786">
        <v>0.205675055</v>
      </c>
      <c r="F786">
        <v>0.4373492725</v>
      </c>
    </row>
    <row r="787" spans="1:6" x14ac:dyDescent="0.2">
      <c r="A787" t="s">
        <v>1598</v>
      </c>
      <c r="B787" t="s">
        <v>1560</v>
      </c>
      <c r="C787" t="s">
        <v>648</v>
      </c>
      <c r="D787">
        <v>0.34959209832848598</v>
      </c>
      <c r="E787">
        <v>0.240566177916543</v>
      </c>
      <c r="F787">
        <v>0.47013132633835902</v>
      </c>
    </row>
    <row r="788" spans="1:6" x14ac:dyDescent="0.2">
      <c r="A788" t="s">
        <v>1599</v>
      </c>
      <c r="B788" t="s">
        <v>1562</v>
      </c>
      <c r="C788" t="s">
        <v>648</v>
      </c>
      <c r="D788">
        <v>0.34449130984930698</v>
      </c>
      <c r="E788">
        <v>0.23749653804307799</v>
      </c>
      <c r="F788">
        <v>0.46443068990940301</v>
      </c>
    </row>
    <row r="789" spans="1:6" x14ac:dyDescent="0.2">
      <c r="A789" t="s">
        <v>1600</v>
      </c>
      <c r="B789" t="s">
        <v>1564</v>
      </c>
      <c r="C789" t="s">
        <v>648</v>
      </c>
      <c r="D789">
        <v>0.36481637276607598</v>
      </c>
      <c r="E789">
        <v>0.25318012588344602</v>
      </c>
      <c r="F789">
        <v>0.48666830599338701</v>
      </c>
    </row>
    <row r="790" spans="1:6" x14ac:dyDescent="0.2">
      <c r="A790" t="s">
        <v>1601</v>
      </c>
      <c r="B790" t="s">
        <v>1566</v>
      </c>
      <c r="C790" t="s">
        <v>648</v>
      </c>
      <c r="D790">
        <v>0.43701702717526802</v>
      </c>
      <c r="E790">
        <v>0.30824900681738598</v>
      </c>
      <c r="F790">
        <v>0.57526310552081905</v>
      </c>
    </row>
    <row r="791" spans="1:6" x14ac:dyDescent="0.2">
      <c r="A791" t="s">
        <v>1602</v>
      </c>
      <c r="B791" t="s">
        <v>1568</v>
      </c>
      <c r="C791" t="s">
        <v>1569</v>
      </c>
      <c r="D791">
        <v>0.55200139250000002</v>
      </c>
      <c r="E791">
        <v>0.37678311249999902</v>
      </c>
      <c r="F791">
        <v>0.70691958999999904</v>
      </c>
    </row>
    <row r="792" spans="1:6" x14ac:dyDescent="0.2">
      <c r="A792" t="s">
        <v>1603</v>
      </c>
      <c r="B792" t="s">
        <v>1571</v>
      </c>
      <c r="C792" t="s">
        <v>648</v>
      </c>
      <c r="D792">
        <v>0.57375326559862805</v>
      </c>
      <c r="E792">
        <v>0.40780612002858802</v>
      </c>
      <c r="F792">
        <v>0.721438061881714</v>
      </c>
    </row>
    <row r="793" spans="1:6" x14ac:dyDescent="0.2">
      <c r="A793" t="s">
        <v>1604</v>
      </c>
      <c r="B793" t="s">
        <v>1573</v>
      </c>
      <c r="C793" t="s">
        <v>648</v>
      </c>
      <c r="D793">
        <v>0.57045221168801397</v>
      </c>
      <c r="E793">
        <v>0.40349875206823499</v>
      </c>
      <c r="F793">
        <v>0.72040329063216701</v>
      </c>
    </row>
    <row r="794" spans="1:6" x14ac:dyDescent="0.2">
      <c r="A794" t="s">
        <v>1605</v>
      </c>
      <c r="B794" t="s">
        <v>1575</v>
      </c>
      <c r="C794" t="s">
        <v>648</v>
      </c>
      <c r="D794">
        <v>0.58355582358288305</v>
      </c>
      <c r="E794">
        <v>0.417199500716877</v>
      </c>
      <c r="F794">
        <v>0.73236616822837197</v>
      </c>
    </row>
    <row r="795" spans="1:6" x14ac:dyDescent="0.2">
      <c r="A795" t="s">
        <v>1606</v>
      </c>
      <c r="B795" t="s">
        <v>1577</v>
      </c>
      <c r="C795" t="s">
        <v>648</v>
      </c>
      <c r="D795">
        <v>0.62989166068075297</v>
      </c>
      <c r="E795">
        <v>0.45832308006611999</v>
      </c>
      <c r="F795">
        <v>0.77673933035490395</v>
      </c>
    </row>
    <row r="796" spans="1:6" x14ac:dyDescent="0.2">
      <c r="A796" t="s">
        <v>1607</v>
      </c>
      <c r="B796" t="s">
        <v>1579</v>
      </c>
      <c r="C796" t="s">
        <v>1580</v>
      </c>
      <c r="D796">
        <v>0.58754583439999997</v>
      </c>
      <c r="E796">
        <v>0.4109979775</v>
      </c>
      <c r="F796">
        <v>0.74443417249999999</v>
      </c>
    </row>
    <row r="797" spans="1:6" x14ac:dyDescent="0.2">
      <c r="A797" t="s">
        <v>1608</v>
      </c>
      <c r="B797" t="s">
        <v>1582</v>
      </c>
      <c r="C797" t="s">
        <v>648</v>
      </c>
      <c r="D797">
        <v>0.60757001409394795</v>
      </c>
      <c r="E797">
        <v>0.43828786630579902</v>
      </c>
      <c r="F797">
        <v>0.75934048659864295</v>
      </c>
    </row>
    <row r="798" spans="1:6" x14ac:dyDescent="0.2">
      <c r="A798" t="s">
        <v>1609</v>
      </c>
      <c r="B798" t="s">
        <v>1584</v>
      </c>
      <c r="C798" t="s">
        <v>648</v>
      </c>
      <c r="D798">
        <v>0.604535787675755</v>
      </c>
      <c r="E798">
        <v>0.43625818319187298</v>
      </c>
      <c r="F798">
        <v>0.75809155397980998</v>
      </c>
    </row>
    <row r="799" spans="1:6" x14ac:dyDescent="0.2">
      <c r="A799" t="s">
        <v>1610</v>
      </c>
      <c r="B799" t="s">
        <v>1586</v>
      </c>
      <c r="C799" t="s">
        <v>648</v>
      </c>
      <c r="D799">
        <v>0.616569518087146</v>
      </c>
      <c r="E799">
        <v>0.447985945937315</v>
      </c>
      <c r="F799">
        <v>0.76819352683282904</v>
      </c>
    </row>
    <row r="800" spans="1:6" x14ac:dyDescent="0.2">
      <c r="A800" t="s">
        <v>1611</v>
      </c>
      <c r="B800" t="s">
        <v>1588</v>
      </c>
      <c r="C800" t="s">
        <v>648</v>
      </c>
      <c r="D800">
        <v>0.65906096991707197</v>
      </c>
      <c r="E800">
        <v>0.48854045382489703</v>
      </c>
      <c r="F800">
        <v>0.80805342256143697</v>
      </c>
    </row>
    <row r="801" spans="1:6" x14ac:dyDescent="0.2">
      <c r="A801" t="s">
        <v>1612</v>
      </c>
      <c r="B801" t="s">
        <v>698</v>
      </c>
      <c r="D801">
        <v>0</v>
      </c>
      <c r="E801">
        <v>0</v>
      </c>
      <c r="F801">
        <v>0</v>
      </c>
    </row>
    <row r="802" spans="1:6" x14ac:dyDescent="0.2">
      <c r="A802" t="s">
        <v>1613</v>
      </c>
      <c r="B802" t="s">
        <v>1543</v>
      </c>
      <c r="C802" t="s">
        <v>1544</v>
      </c>
      <c r="D802">
        <v>1.9010281399999999E-2</v>
      </c>
      <c r="E802">
        <v>1.0070084999999999E-2</v>
      </c>
      <c r="F802">
        <v>3.2253339999999998E-2</v>
      </c>
    </row>
    <row r="803" spans="1:6" x14ac:dyDescent="0.2">
      <c r="A803" t="s">
        <v>1614</v>
      </c>
      <c r="B803" t="s">
        <v>1543</v>
      </c>
      <c r="C803" t="s">
        <v>1544</v>
      </c>
      <c r="D803">
        <v>1.9010281399999999E-2</v>
      </c>
      <c r="E803">
        <v>1.0070084999999999E-2</v>
      </c>
      <c r="F803">
        <v>3.2253339999999998E-2</v>
      </c>
    </row>
    <row r="804" spans="1:6" x14ac:dyDescent="0.2">
      <c r="A804" t="s">
        <v>1615</v>
      </c>
      <c r="B804" t="s">
        <v>1546</v>
      </c>
      <c r="C804" t="s">
        <v>1547</v>
      </c>
      <c r="D804">
        <v>7.0059834899999895E-2</v>
      </c>
      <c r="E804">
        <v>4.6415625000000002E-2</v>
      </c>
      <c r="F804">
        <v>9.9395024999999998E-2</v>
      </c>
    </row>
    <row r="805" spans="1:6" x14ac:dyDescent="0.2">
      <c r="A805" t="s">
        <v>1616</v>
      </c>
      <c r="B805" t="s">
        <v>1549</v>
      </c>
      <c r="C805" t="s">
        <v>648</v>
      </c>
      <c r="D805">
        <v>0.11550699671223399</v>
      </c>
      <c r="E805">
        <v>7.6176283662702099E-2</v>
      </c>
      <c r="F805">
        <v>0.16382252235911099</v>
      </c>
    </row>
    <row r="806" spans="1:6" x14ac:dyDescent="0.2">
      <c r="A806" t="s">
        <v>1617</v>
      </c>
      <c r="B806" t="s">
        <v>1551</v>
      </c>
      <c r="C806" t="s">
        <v>648</v>
      </c>
      <c r="D806">
        <v>0.10849538907589</v>
      </c>
      <c r="E806">
        <v>7.3519290042004998E-2</v>
      </c>
      <c r="F806">
        <v>0.15402047107273001</v>
      </c>
    </row>
    <row r="807" spans="1:6" x14ac:dyDescent="0.2">
      <c r="A807" t="s">
        <v>1618</v>
      </c>
      <c r="B807" t="s">
        <v>1553</v>
      </c>
      <c r="C807" t="s">
        <v>648</v>
      </c>
      <c r="D807">
        <v>0.13651289717948001</v>
      </c>
      <c r="E807">
        <v>9.1287636148285098E-2</v>
      </c>
      <c r="F807">
        <v>0.19065364996242601</v>
      </c>
    </row>
    <row r="808" spans="1:6" x14ac:dyDescent="0.2">
      <c r="A808" t="s">
        <v>1619</v>
      </c>
      <c r="B808" t="s">
        <v>1555</v>
      </c>
      <c r="C808" t="s">
        <v>648</v>
      </c>
      <c r="D808">
        <v>0.236222262269112</v>
      </c>
      <c r="E808">
        <v>0.165268246791726</v>
      </c>
      <c r="F808">
        <v>0.31938408271870899</v>
      </c>
    </row>
    <row r="809" spans="1:6" x14ac:dyDescent="0.2">
      <c r="A809" t="s">
        <v>1620</v>
      </c>
      <c r="B809" t="s">
        <v>1557</v>
      </c>
      <c r="C809" t="s">
        <v>1558</v>
      </c>
      <c r="D809">
        <v>0.31634430260000002</v>
      </c>
      <c r="E809">
        <v>0.205675055</v>
      </c>
      <c r="F809">
        <v>0.4373492725</v>
      </c>
    </row>
    <row r="810" spans="1:6" x14ac:dyDescent="0.2">
      <c r="A810" t="s">
        <v>1621</v>
      </c>
      <c r="B810" t="s">
        <v>1560</v>
      </c>
      <c r="C810" t="s">
        <v>648</v>
      </c>
      <c r="D810">
        <v>0.34959209832848598</v>
      </c>
      <c r="E810">
        <v>0.240566177916543</v>
      </c>
      <c r="F810">
        <v>0.47013132633835902</v>
      </c>
    </row>
    <row r="811" spans="1:6" x14ac:dyDescent="0.2">
      <c r="A811" t="s">
        <v>1622</v>
      </c>
      <c r="B811" t="s">
        <v>1562</v>
      </c>
      <c r="C811" t="s">
        <v>648</v>
      </c>
      <c r="D811">
        <v>0.34449130984930698</v>
      </c>
      <c r="E811">
        <v>0.23749653804307799</v>
      </c>
      <c r="F811">
        <v>0.46443068990940301</v>
      </c>
    </row>
    <row r="812" spans="1:6" x14ac:dyDescent="0.2">
      <c r="A812" t="s">
        <v>1623</v>
      </c>
      <c r="B812" t="s">
        <v>1564</v>
      </c>
      <c r="C812" t="s">
        <v>648</v>
      </c>
      <c r="D812">
        <v>0.36481637276607598</v>
      </c>
      <c r="E812">
        <v>0.25318012588344602</v>
      </c>
      <c r="F812">
        <v>0.48666830599338701</v>
      </c>
    </row>
    <row r="813" spans="1:6" x14ac:dyDescent="0.2">
      <c r="A813" t="s">
        <v>1624</v>
      </c>
      <c r="B813" t="s">
        <v>1566</v>
      </c>
      <c r="C813" t="s">
        <v>648</v>
      </c>
      <c r="D813">
        <v>0.43701702717526802</v>
      </c>
      <c r="E813">
        <v>0.30824900681738598</v>
      </c>
      <c r="F813">
        <v>0.57526310552081905</v>
      </c>
    </row>
    <row r="814" spans="1:6" x14ac:dyDescent="0.2">
      <c r="A814" t="s">
        <v>1625</v>
      </c>
      <c r="B814" t="s">
        <v>1568</v>
      </c>
      <c r="C814" t="s">
        <v>1569</v>
      </c>
      <c r="D814">
        <v>0.55200139250000002</v>
      </c>
      <c r="E814">
        <v>0.37678311249999902</v>
      </c>
      <c r="F814">
        <v>0.70691958999999904</v>
      </c>
    </row>
    <row r="815" spans="1:6" x14ac:dyDescent="0.2">
      <c r="A815" t="s">
        <v>1626</v>
      </c>
      <c r="B815" t="s">
        <v>1571</v>
      </c>
      <c r="C815" t="s">
        <v>648</v>
      </c>
      <c r="D815">
        <v>0.57375326559862805</v>
      </c>
      <c r="E815">
        <v>0.40780612002858802</v>
      </c>
      <c r="F815">
        <v>0.721438061881714</v>
      </c>
    </row>
    <row r="816" spans="1:6" x14ac:dyDescent="0.2">
      <c r="A816" t="s">
        <v>1627</v>
      </c>
      <c r="B816" t="s">
        <v>1573</v>
      </c>
      <c r="C816" t="s">
        <v>648</v>
      </c>
      <c r="D816">
        <v>0.57045221168801397</v>
      </c>
      <c r="E816">
        <v>0.40349875206823499</v>
      </c>
      <c r="F816">
        <v>0.72040329063216701</v>
      </c>
    </row>
    <row r="817" spans="1:6" x14ac:dyDescent="0.2">
      <c r="A817" t="s">
        <v>1628</v>
      </c>
      <c r="B817" t="s">
        <v>1575</v>
      </c>
      <c r="C817" t="s">
        <v>648</v>
      </c>
      <c r="D817">
        <v>0.58355582358288305</v>
      </c>
      <c r="E817">
        <v>0.417199500716877</v>
      </c>
      <c r="F817">
        <v>0.73236616822837197</v>
      </c>
    </row>
    <row r="818" spans="1:6" x14ac:dyDescent="0.2">
      <c r="A818" t="s">
        <v>1629</v>
      </c>
      <c r="B818" t="s">
        <v>1577</v>
      </c>
      <c r="C818" t="s">
        <v>648</v>
      </c>
      <c r="D818">
        <v>0.62989166068075297</v>
      </c>
      <c r="E818">
        <v>0.45832308006611999</v>
      </c>
      <c r="F818">
        <v>0.77673933035490395</v>
      </c>
    </row>
    <row r="819" spans="1:6" x14ac:dyDescent="0.2">
      <c r="A819" t="s">
        <v>1630</v>
      </c>
      <c r="B819" t="s">
        <v>1579</v>
      </c>
      <c r="C819" t="s">
        <v>1580</v>
      </c>
      <c r="D819">
        <v>0.58754583439999997</v>
      </c>
      <c r="E819">
        <v>0.4109979775</v>
      </c>
      <c r="F819">
        <v>0.74443417249999999</v>
      </c>
    </row>
    <row r="820" spans="1:6" x14ac:dyDescent="0.2">
      <c r="A820" t="s">
        <v>1631</v>
      </c>
      <c r="B820" t="s">
        <v>1582</v>
      </c>
      <c r="C820" t="s">
        <v>648</v>
      </c>
      <c r="D820">
        <v>0.60757001409394795</v>
      </c>
      <c r="E820">
        <v>0.43828786630579902</v>
      </c>
      <c r="F820">
        <v>0.75934048659864295</v>
      </c>
    </row>
    <row r="821" spans="1:6" x14ac:dyDescent="0.2">
      <c r="A821" t="s">
        <v>1632</v>
      </c>
      <c r="B821" t="s">
        <v>1584</v>
      </c>
      <c r="C821" t="s">
        <v>648</v>
      </c>
      <c r="D821">
        <v>0.604535787675755</v>
      </c>
      <c r="E821">
        <v>0.43625818319187298</v>
      </c>
      <c r="F821">
        <v>0.75809155397980998</v>
      </c>
    </row>
    <row r="822" spans="1:6" x14ac:dyDescent="0.2">
      <c r="A822" t="s">
        <v>1633</v>
      </c>
      <c r="B822" t="s">
        <v>1586</v>
      </c>
      <c r="C822" t="s">
        <v>648</v>
      </c>
      <c r="D822">
        <v>0.616569518087146</v>
      </c>
      <c r="E822">
        <v>0.447985945937315</v>
      </c>
      <c r="F822">
        <v>0.76819352683282904</v>
      </c>
    </row>
    <row r="823" spans="1:6" x14ac:dyDescent="0.2">
      <c r="A823" t="s">
        <v>1634</v>
      </c>
      <c r="B823" t="s">
        <v>1588</v>
      </c>
      <c r="C823" t="s">
        <v>648</v>
      </c>
      <c r="D823">
        <v>0.65906096991707197</v>
      </c>
      <c r="E823">
        <v>0.48854045382489703</v>
      </c>
      <c r="F823">
        <v>0.80805342256143697</v>
      </c>
    </row>
    <row r="824" spans="1:6" x14ac:dyDescent="0.2">
      <c r="A824" t="s">
        <v>1635</v>
      </c>
      <c r="B824" t="s">
        <v>698</v>
      </c>
      <c r="D824">
        <v>0</v>
      </c>
      <c r="E824">
        <v>0</v>
      </c>
      <c r="F824">
        <v>0</v>
      </c>
    </row>
    <row r="825" spans="1:6" x14ac:dyDescent="0.2">
      <c r="A825" t="s">
        <v>1636</v>
      </c>
      <c r="B825" t="s">
        <v>1543</v>
      </c>
      <c r="C825" t="s">
        <v>1544</v>
      </c>
      <c r="D825">
        <v>1.9010281399999999E-2</v>
      </c>
      <c r="E825">
        <v>1.0070084999999999E-2</v>
      </c>
      <c r="F825">
        <v>3.2253339999999998E-2</v>
      </c>
    </row>
    <row r="826" spans="1:6" x14ac:dyDescent="0.2">
      <c r="A826" t="s">
        <v>1637</v>
      </c>
      <c r="B826" t="s">
        <v>898</v>
      </c>
      <c r="C826" t="s">
        <v>899</v>
      </c>
      <c r="D826">
        <v>4.14518940999999E-2</v>
      </c>
      <c r="E826">
        <v>2.6103222499999999E-2</v>
      </c>
      <c r="F826">
        <v>6.2339544999999899E-2</v>
      </c>
    </row>
    <row r="827" spans="1:6" x14ac:dyDescent="0.2">
      <c r="A827" t="s">
        <v>1638</v>
      </c>
      <c r="B827" t="s">
        <v>901</v>
      </c>
      <c r="C827" t="s">
        <v>902</v>
      </c>
      <c r="D827">
        <v>7.1653432699999894E-2</v>
      </c>
      <c r="E827">
        <v>4.6600777500000003E-2</v>
      </c>
      <c r="F827">
        <v>0.10308943</v>
      </c>
    </row>
    <row r="828" spans="1:6" x14ac:dyDescent="0.2">
      <c r="A828" t="s">
        <v>1639</v>
      </c>
      <c r="B828" t="s">
        <v>904</v>
      </c>
      <c r="C828" t="s">
        <v>905</v>
      </c>
      <c r="D828">
        <v>0.17906669619999999</v>
      </c>
      <c r="E828">
        <v>0.1215548</v>
      </c>
      <c r="F828">
        <v>0.25072915749999902</v>
      </c>
    </row>
    <row r="829" spans="1:6" x14ac:dyDescent="0.2">
      <c r="A829" t="s">
        <v>1640</v>
      </c>
      <c r="B829" t="s">
        <v>911</v>
      </c>
      <c r="C829" t="s">
        <v>912</v>
      </c>
      <c r="D829">
        <v>4.9011414699999999E-2</v>
      </c>
      <c r="E829">
        <v>3.1121342499999899E-2</v>
      </c>
      <c r="F829">
        <v>7.2092547499999896E-2</v>
      </c>
    </row>
    <row r="830" spans="1:6" x14ac:dyDescent="0.2">
      <c r="A830" t="s">
        <v>1641</v>
      </c>
      <c r="B830" t="s">
        <v>898</v>
      </c>
      <c r="C830" t="s">
        <v>899</v>
      </c>
      <c r="D830">
        <v>4.14518940999999E-2</v>
      </c>
      <c r="E830">
        <v>2.6103222499999999E-2</v>
      </c>
      <c r="F830">
        <v>6.2339544999999899E-2</v>
      </c>
    </row>
    <row r="831" spans="1:6" x14ac:dyDescent="0.2">
      <c r="A831" t="s">
        <v>1642</v>
      </c>
      <c r="B831" t="s">
        <v>901</v>
      </c>
      <c r="C831" t="s">
        <v>902</v>
      </c>
      <c r="D831">
        <v>7.1653432699999894E-2</v>
      </c>
      <c r="E831">
        <v>4.6600777500000003E-2</v>
      </c>
      <c r="F831">
        <v>0.10308943</v>
      </c>
    </row>
    <row r="832" spans="1:6" x14ac:dyDescent="0.2">
      <c r="A832" t="s">
        <v>1643</v>
      </c>
      <c r="B832" t="s">
        <v>904</v>
      </c>
      <c r="C832" t="s">
        <v>905</v>
      </c>
      <c r="D832">
        <v>0.17906669619999999</v>
      </c>
      <c r="E832">
        <v>0.1215548</v>
      </c>
      <c r="F832">
        <v>0.25072915749999902</v>
      </c>
    </row>
    <row r="833" spans="1:6" x14ac:dyDescent="0.2">
      <c r="A833" t="s">
        <v>1644</v>
      </c>
      <c r="B833" t="s">
        <v>911</v>
      </c>
      <c r="C833" t="s">
        <v>912</v>
      </c>
      <c r="D833">
        <v>4.9011414699999999E-2</v>
      </c>
      <c r="E833">
        <v>3.1121342499999899E-2</v>
      </c>
      <c r="F833">
        <v>7.2092547499999896E-2</v>
      </c>
    </row>
    <row r="834" spans="1:6" x14ac:dyDescent="0.2">
      <c r="A834" t="s">
        <v>1645</v>
      </c>
      <c r="B834" t="s">
        <v>911</v>
      </c>
      <c r="C834" t="s">
        <v>912</v>
      </c>
      <c r="D834">
        <v>4.9011414699999999E-2</v>
      </c>
      <c r="E834">
        <v>3.1121342499999899E-2</v>
      </c>
      <c r="F834">
        <v>7.2092547499999896E-2</v>
      </c>
    </row>
    <row r="835" spans="1:6" x14ac:dyDescent="0.2">
      <c r="A835" t="s">
        <v>1646</v>
      </c>
      <c r="B835" t="s">
        <v>698</v>
      </c>
      <c r="D835">
        <v>0</v>
      </c>
      <c r="E835">
        <v>0</v>
      </c>
      <c r="F835">
        <v>0</v>
      </c>
    </row>
    <row r="836" spans="1:6" x14ac:dyDescent="0.2">
      <c r="A836" t="s">
        <v>1647</v>
      </c>
      <c r="B836" t="s">
        <v>898</v>
      </c>
      <c r="C836" t="s">
        <v>899</v>
      </c>
      <c r="D836">
        <v>4.14518940999999E-2</v>
      </c>
      <c r="E836">
        <v>2.6103222499999999E-2</v>
      </c>
      <c r="F836">
        <v>6.2339544999999899E-2</v>
      </c>
    </row>
    <row r="837" spans="1:6" x14ac:dyDescent="0.2">
      <c r="A837" t="s">
        <v>1648</v>
      </c>
      <c r="B837" t="s">
        <v>901</v>
      </c>
      <c r="C837" t="s">
        <v>902</v>
      </c>
      <c r="D837">
        <v>7.1653432699999894E-2</v>
      </c>
      <c r="E837">
        <v>4.6600777500000003E-2</v>
      </c>
      <c r="F837">
        <v>0.10308943</v>
      </c>
    </row>
    <row r="838" spans="1:6" x14ac:dyDescent="0.2">
      <c r="A838" t="s">
        <v>1649</v>
      </c>
      <c r="B838" t="s">
        <v>904</v>
      </c>
      <c r="C838" t="s">
        <v>905</v>
      </c>
      <c r="D838">
        <v>0.17906669619999999</v>
      </c>
      <c r="E838">
        <v>0.1215548</v>
      </c>
      <c r="F838">
        <v>0.25072915749999902</v>
      </c>
    </row>
    <row r="839" spans="1:6" x14ac:dyDescent="0.2">
      <c r="A839" t="s">
        <v>1650</v>
      </c>
      <c r="B839" t="s">
        <v>911</v>
      </c>
      <c r="C839" t="s">
        <v>912</v>
      </c>
      <c r="D839">
        <v>4.9011414699999999E-2</v>
      </c>
      <c r="E839">
        <v>3.1121342499999899E-2</v>
      </c>
      <c r="F839">
        <v>7.2092547499999896E-2</v>
      </c>
    </row>
    <row r="840" spans="1:6" x14ac:dyDescent="0.2">
      <c r="A840" t="s">
        <v>1651</v>
      </c>
      <c r="B840" t="s">
        <v>911</v>
      </c>
      <c r="C840" t="s">
        <v>912</v>
      </c>
      <c r="D840">
        <v>4.9011414699999999E-2</v>
      </c>
      <c r="E840">
        <v>3.1121342499999899E-2</v>
      </c>
      <c r="F840">
        <v>7.2092547499999896E-2</v>
      </c>
    </row>
    <row r="841" spans="1:6" x14ac:dyDescent="0.2">
      <c r="A841" t="s">
        <v>1652</v>
      </c>
      <c r="B841" t="s">
        <v>698</v>
      </c>
      <c r="D841">
        <v>0</v>
      </c>
      <c r="E841">
        <v>0</v>
      </c>
      <c r="F841">
        <v>0</v>
      </c>
    </row>
    <row r="842" spans="1:6" x14ac:dyDescent="0.2">
      <c r="A842" t="s">
        <v>1653</v>
      </c>
      <c r="B842" t="s">
        <v>898</v>
      </c>
      <c r="C842" t="s">
        <v>899</v>
      </c>
      <c r="D842">
        <v>4.14518940999999E-2</v>
      </c>
      <c r="E842">
        <v>2.6103222499999999E-2</v>
      </c>
      <c r="F842">
        <v>6.2339544999999899E-2</v>
      </c>
    </row>
    <row r="843" spans="1:6" x14ac:dyDescent="0.2">
      <c r="A843" t="s">
        <v>1654</v>
      </c>
      <c r="B843" t="s">
        <v>901</v>
      </c>
      <c r="C843" t="s">
        <v>902</v>
      </c>
      <c r="D843">
        <v>7.1653432699999894E-2</v>
      </c>
      <c r="E843">
        <v>4.6600777500000003E-2</v>
      </c>
      <c r="F843">
        <v>0.10308943</v>
      </c>
    </row>
    <row r="844" spans="1:6" x14ac:dyDescent="0.2">
      <c r="A844" t="s">
        <v>1655</v>
      </c>
      <c r="B844" t="s">
        <v>904</v>
      </c>
      <c r="C844" t="s">
        <v>905</v>
      </c>
      <c r="D844">
        <v>0.17906669619999999</v>
      </c>
      <c r="E844">
        <v>0.1215548</v>
      </c>
      <c r="F844">
        <v>0.25072915749999902</v>
      </c>
    </row>
    <row r="845" spans="1:6" x14ac:dyDescent="0.2">
      <c r="A845" t="s">
        <v>1656</v>
      </c>
      <c r="B845" t="s">
        <v>911</v>
      </c>
      <c r="C845" t="s">
        <v>912</v>
      </c>
      <c r="D845">
        <v>4.9011414699999999E-2</v>
      </c>
      <c r="E845">
        <v>3.1121342499999899E-2</v>
      </c>
      <c r="F845">
        <v>7.2092547499999896E-2</v>
      </c>
    </row>
    <row r="846" spans="1:6" x14ac:dyDescent="0.2">
      <c r="A846" t="s">
        <v>1657</v>
      </c>
      <c r="B846" t="s">
        <v>700</v>
      </c>
      <c r="C846" t="s">
        <v>701</v>
      </c>
      <c r="D846">
        <v>5.0594945799999902E-2</v>
      </c>
      <c r="E846">
        <v>3.2378222499999998E-2</v>
      </c>
      <c r="F846">
        <v>7.4050449999999907E-2</v>
      </c>
    </row>
    <row r="847" spans="1:6" x14ac:dyDescent="0.2">
      <c r="A847" t="s">
        <v>1658</v>
      </c>
      <c r="B847" t="s">
        <v>898</v>
      </c>
      <c r="C847" t="s">
        <v>899</v>
      </c>
      <c r="D847">
        <v>4.14518940999999E-2</v>
      </c>
      <c r="E847">
        <v>2.6103222499999999E-2</v>
      </c>
      <c r="F847">
        <v>6.2339544999999899E-2</v>
      </c>
    </row>
    <row r="848" spans="1:6" x14ac:dyDescent="0.2">
      <c r="A848" t="s">
        <v>1659</v>
      </c>
      <c r="B848" t="s">
        <v>901</v>
      </c>
      <c r="C848" t="s">
        <v>902</v>
      </c>
      <c r="D848">
        <v>7.1653432699999894E-2</v>
      </c>
      <c r="E848">
        <v>4.6600777500000003E-2</v>
      </c>
      <c r="F848">
        <v>0.10308943</v>
      </c>
    </row>
    <row r="849" spans="1:6" x14ac:dyDescent="0.2">
      <c r="A849" t="s">
        <v>1660</v>
      </c>
      <c r="B849" t="s">
        <v>904</v>
      </c>
      <c r="C849" t="s">
        <v>905</v>
      </c>
      <c r="D849">
        <v>0.17906669619999999</v>
      </c>
      <c r="E849">
        <v>0.1215548</v>
      </c>
      <c r="F849">
        <v>0.25072915749999902</v>
      </c>
    </row>
    <row r="850" spans="1:6" x14ac:dyDescent="0.2">
      <c r="A850" t="s">
        <v>1661</v>
      </c>
      <c r="B850" t="s">
        <v>911</v>
      </c>
      <c r="C850" t="s">
        <v>912</v>
      </c>
      <c r="D850">
        <v>4.9011414699999999E-2</v>
      </c>
      <c r="E850">
        <v>3.1121342499999899E-2</v>
      </c>
      <c r="F850">
        <v>7.2092547499999896E-2</v>
      </c>
    </row>
    <row r="851" spans="1:6" x14ac:dyDescent="0.2">
      <c r="A851" t="s">
        <v>1662</v>
      </c>
      <c r="B851" t="s">
        <v>898</v>
      </c>
      <c r="C851" t="s">
        <v>899</v>
      </c>
      <c r="D851">
        <v>4.14518940999999E-2</v>
      </c>
      <c r="E851">
        <v>2.6103222499999999E-2</v>
      </c>
      <c r="F851">
        <v>6.2339544999999899E-2</v>
      </c>
    </row>
    <row r="852" spans="1:6" x14ac:dyDescent="0.2">
      <c r="A852" t="s">
        <v>1663</v>
      </c>
      <c r="B852" t="s">
        <v>901</v>
      </c>
      <c r="C852" t="s">
        <v>902</v>
      </c>
      <c r="D852">
        <v>7.1653432699999894E-2</v>
      </c>
      <c r="E852">
        <v>4.6600777500000003E-2</v>
      </c>
      <c r="F852">
        <v>0.10308943</v>
      </c>
    </row>
    <row r="853" spans="1:6" x14ac:dyDescent="0.2">
      <c r="A853" t="s">
        <v>1664</v>
      </c>
      <c r="B853" t="s">
        <v>904</v>
      </c>
      <c r="C853" t="s">
        <v>905</v>
      </c>
      <c r="D853">
        <v>0.17906669619999999</v>
      </c>
      <c r="E853">
        <v>0.1215548</v>
      </c>
      <c r="F853">
        <v>0.25072915749999902</v>
      </c>
    </row>
    <row r="854" spans="1:6" x14ac:dyDescent="0.2">
      <c r="A854" t="s">
        <v>1665</v>
      </c>
      <c r="B854" t="s">
        <v>911</v>
      </c>
      <c r="C854" t="s">
        <v>912</v>
      </c>
      <c r="D854">
        <v>4.9011414699999999E-2</v>
      </c>
      <c r="E854">
        <v>3.1121342499999899E-2</v>
      </c>
      <c r="F854">
        <v>7.2092547499999896E-2</v>
      </c>
    </row>
    <row r="855" spans="1:6" x14ac:dyDescent="0.2">
      <c r="A855" t="s">
        <v>1666</v>
      </c>
      <c r="B855" t="s">
        <v>898</v>
      </c>
      <c r="C855" t="s">
        <v>899</v>
      </c>
      <c r="D855">
        <v>4.14518940999999E-2</v>
      </c>
      <c r="E855">
        <v>2.6103222499999999E-2</v>
      </c>
      <c r="F855">
        <v>6.2339544999999899E-2</v>
      </c>
    </row>
    <row r="856" spans="1:6" x14ac:dyDescent="0.2">
      <c r="A856" t="s">
        <v>1667</v>
      </c>
      <c r="B856" t="s">
        <v>901</v>
      </c>
      <c r="C856" t="s">
        <v>902</v>
      </c>
      <c r="D856">
        <v>7.1653432699999894E-2</v>
      </c>
      <c r="E856">
        <v>4.6600777500000003E-2</v>
      </c>
      <c r="F856">
        <v>0.10308943</v>
      </c>
    </row>
    <row r="857" spans="1:6" x14ac:dyDescent="0.2">
      <c r="A857" t="s">
        <v>1668</v>
      </c>
      <c r="B857" t="s">
        <v>904</v>
      </c>
      <c r="C857" t="s">
        <v>905</v>
      </c>
      <c r="D857">
        <v>0.17906669619999999</v>
      </c>
      <c r="E857">
        <v>0.1215548</v>
      </c>
      <c r="F857">
        <v>0.25072915749999902</v>
      </c>
    </row>
    <row r="858" spans="1:6" x14ac:dyDescent="0.2">
      <c r="A858" t="s">
        <v>1669</v>
      </c>
      <c r="B858" t="s">
        <v>911</v>
      </c>
      <c r="C858" t="s">
        <v>912</v>
      </c>
      <c r="D858">
        <v>4.9011414699999999E-2</v>
      </c>
      <c r="E858">
        <v>3.1121342499999899E-2</v>
      </c>
      <c r="F858">
        <v>7.2092547499999896E-2</v>
      </c>
    </row>
    <row r="859" spans="1:6" x14ac:dyDescent="0.2">
      <c r="A859" t="s">
        <v>1670</v>
      </c>
      <c r="B859" t="s">
        <v>668</v>
      </c>
      <c r="C859" t="s">
        <v>669</v>
      </c>
      <c r="D859">
        <v>1.24408307999999E-2</v>
      </c>
      <c r="E859">
        <v>6.1947475000000002E-3</v>
      </c>
      <c r="F859">
        <v>2.2708942499999999E-2</v>
      </c>
    </row>
    <row r="860" spans="1:6" x14ac:dyDescent="0.2">
      <c r="A860" t="s">
        <v>1671</v>
      </c>
      <c r="B860" t="s">
        <v>898</v>
      </c>
      <c r="C860" t="s">
        <v>899</v>
      </c>
      <c r="D860">
        <v>4.14518940999999E-2</v>
      </c>
      <c r="E860">
        <v>2.6103222499999999E-2</v>
      </c>
      <c r="F860">
        <v>6.2339544999999899E-2</v>
      </c>
    </row>
    <row r="861" spans="1:6" x14ac:dyDescent="0.2">
      <c r="A861" t="s">
        <v>1672</v>
      </c>
      <c r="B861" t="s">
        <v>901</v>
      </c>
      <c r="C861" t="s">
        <v>902</v>
      </c>
      <c r="D861">
        <v>7.1653432699999894E-2</v>
      </c>
      <c r="E861">
        <v>4.6600777500000003E-2</v>
      </c>
      <c r="F861">
        <v>0.10308943</v>
      </c>
    </row>
    <row r="862" spans="1:6" x14ac:dyDescent="0.2">
      <c r="A862" t="s">
        <v>1673</v>
      </c>
      <c r="B862" t="s">
        <v>904</v>
      </c>
      <c r="C862" t="s">
        <v>905</v>
      </c>
      <c r="D862">
        <v>0.17906669619999999</v>
      </c>
      <c r="E862">
        <v>0.1215548</v>
      </c>
      <c r="F862">
        <v>0.25072915749999902</v>
      </c>
    </row>
    <row r="863" spans="1:6" x14ac:dyDescent="0.2">
      <c r="A863" t="s">
        <v>1674</v>
      </c>
      <c r="B863" t="s">
        <v>911</v>
      </c>
      <c r="C863" t="s">
        <v>912</v>
      </c>
      <c r="D863">
        <v>4.9011414699999999E-2</v>
      </c>
      <c r="E863">
        <v>3.1121342499999899E-2</v>
      </c>
      <c r="F863">
        <v>7.2092547499999896E-2</v>
      </c>
    </row>
    <row r="864" spans="1:6" x14ac:dyDescent="0.2">
      <c r="A864" t="s">
        <v>1675</v>
      </c>
      <c r="B864" t="s">
        <v>911</v>
      </c>
      <c r="C864" t="s">
        <v>912</v>
      </c>
      <c r="D864">
        <v>4.9011414699999999E-2</v>
      </c>
      <c r="E864">
        <v>3.1121342499999899E-2</v>
      </c>
      <c r="F864">
        <v>7.2092547499999896E-2</v>
      </c>
    </row>
    <row r="865" spans="1:6" x14ac:dyDescent="0.2">
      <c r="A865" t="s">
        <v>1676</v>
      </c>
      <c r="B865" t="s">
        <v>898</v>
      </c>
      <c r="C865" t="s">
        <v>899</v>
      </c>
      <c r="D865">
        <v>4.14518940999999E-2</v>
      </c>
      <c r="E865">
        <v>2.6103222499999999E-2</v>
      </c>
      <c r="F865">
        <v>6.2339544999999899E-2</v>
      </c>
    </row>
    <row r="866" spans="1:6" x14ac:dyDescent="0.2">
      <c r="A866" t="s">
        <v>1677</v>
      </c>
      <c r="B866" t="s">
        <v>901</v>
      </c>
      <c r="C866" t="s">
        <v>902</v>
      </c>
      <c r="D866">
        <v>7.1653432699999894E-2</v>
      </c>
      <c r="E866">
        <v>4.6600777500000003E-2</v>
      </c>
      <c r="F866">
        <v>0.10308943</v>
      </c>
    </row>
    <row r="867" spans="1:6" x14ac:dyDescent="0.2">
      <c r="A867" t="s">
        <v>1678</v>
      </c>
      <c r="B867" t="s">
        <v>904</v>
      </c>
      <c r="C867" t="s">
        <v>905</v>
      </c>
      <c r="D867">
        <v>0.17906669619999999</v>
      </c>
      <c r="E867">
        <v>0.1215548</v>
      </c>
      <c r="F867">
        <v>0.25072915749999902</v>
      </c>
    </row>
    <row r="868" spans="1:6" x14ac:dyDescent="0.2">
      <c r="A868" t="s">
        <v>1679</v>
      </c>
      <c r="B868" t="s">
        <v>895</v>
      </c>
      <c r="C868" t="s">
        <v>896</v>
      </c>
      <c r="D868">
        <v>0.224156355</v>
      </c>
      <c r="E868">
        <v>0.15097352250000001</v>
      </c>
      <c r="F868">
        <v>0.31209085249999902</v>
      </c>
    </row>
    <row r="869" spans="1:6" x14ac:dyDescent="0.2">
      <c r="A869" t="s">
        <v>1680</v>
      </c>
      <c r="B869" t="s">
        <v>698</v>
      </c>
      <c r="D869">
        <v>0</v>
      </c>
      <c r="E869">
        <v>0</v>
      </c>
      <c r="F869">
        <v>0</v>
      </c>
    </row>
    <row r="870" spans="1:6" x14ac:dyDescent="0.2">
      <c r="A870" t="s">
        <v>1681</v>
      </c>
      <c r="B870" t="s">
        <v>1682</v>
      </c>
      <c r="C870" t="s">
        <v>1683</v>
      </c>
      <c r="D870">
        <v>1.41852508E-2</v>
      </c>
      <c r="E870">
        <v>6.78562E-3</v>
      </c>
      <c r="F870">
        <v>2.5297475E-2</v>
      </c>
    </row>
    <row r="871" spans="1:6" x14ac:dyDescent="0.2">
      <c r="A871" t="s">
        <v>1684</v>
      </c>
      <c r="B871" t="s">
        <v>698</v>
      </c>
      <c r="D871">
        <v>0</v>
      </c>
      <c r="E871">
        <v>0</v>
      </c>
      <c r="F871">
        <v>0</v>
      </c>
    </row>
    <row r="872" spans="1:6" x14ac:dyDescent="0.2">
      <c r="A872" t="s">
        <v>1685</v>
      </c>
      <c r="B872" t="s">
        <v>700</v>
      </c>
      <c r="C872" t="s">
        <v>701</v>
      </c>
      <c r="D872">
        <v>5.0594945799999902E-2</v>
      </c>
      <c r="E872">
        <v>3.2378222499999998E-2</v>
      </c>
      <c r="F872">
        <v>7.4050449999999907E-2</v>
      </c>
    </row>
    <row r="873" spans="1:6" x14ac:dyDescent="0.2">
      <c r="A873" t="s">
        <v>1686</v>
      </c>
      <c r="B873" t="s">
        <v>776</v>
      </c>
      <c r="C873" t="s">
        <v>777</v>
      </c>
      <c r="D873">
        <v>0.13341151879999999</v>
      </c>
      <c r="E873">
        <v>8.8459514999999905E-2</v>
      </c>
      <c r="F873">
        <v>0.18950166500000001</v>
      </c>
    </row>
    <row r="874" spans="1:6" x14ac:dyDescent="0.2">
      <c r="A874" t="s">
        <v>1687</v>
      </c>
      <c r="B874" t="s">
        <v>898</v>
      </c>
      <c r="C874" t="s">
        <v>899</v>
      </c>
      <c r="D874">
        <v>4.14518940999999E-2</v>
      </c>
      <c r="E874">
        <v>2.6103222499999999E-2</v>
      </c>
      <c r="F874">
        <v>6.2339544999999899E-2</v>
      </c>
    </row>
    <row r="875" spans="1:6" x14ac:dyDescent="0.2">
      <c r="A875" t="s">
        <v>1688</v>
      </c>
      <c r="B875" t="s">
        <v>901</v>
      </c>
      <c r="C875" t="s">
        <v>902</v>
      </c>
      <c r="D875">
        <v>7.1653432699999894E-2</v>
      </c>
      <c r="E875">
        <v>4.6600777500000003E-2</v>
      </c>
      <c r="F875">
        <v>0.10308943</v>
      </c>
    </row>
    <row r="876" spans="1:6" x14ac:dyDescent="0.2">
      <c r="A876" t="s">
        <v>1689</v>
      </c>
      <c r="B876" t="s">
        <v>904</v>
      </c>
      <c r="C876" t="s">
        <v>905</v>
      </c>
      <c r="D876">
        <v>0.17906669619999999</v>
      </c>
      <c r="E876">
        <v>0.1215548</v>
      </c>
      <c r="F876">
        <v>0.25072915749999902</v>
      </c>
    </row>
    <row r="877" spans="1:6" x14ac:dyDescent="0.2">
      <c r="A877" t="s">
        <v>1690</v>
      </c>
      <c r="B877" t="s">
        <v>911</v>
      </c>
      <c r="C877" t="s">
        <v>912</v>
      </c>
      <c r="D877">
        <v>4.9011414699999999E-2</v>
      </c>
      <c r="E877">
        <v>3.1121342499999899E-2</v>
      </c>
      <c r="F877">
        <v>7.2092547499999896E-2</v>
      </c>
    </row>
    <row r="878" spans="1:6" x14ac:dyDescent="0.2">
      <c r="A878" t="s">
        <v>1691</v>
      </c>
      <c r="B878" t="s">
        <v>898</v>
      </c>
      <c r="C878" t="s">
        <v>899</v>
      </c>
      <c r="D878">
        <v>4.14518940999999E-2</v>
      </c>
      <c r="E878">
        <v>2.6103222499999999E-2</v>
      </c>
      <c r="F878">
        <v>6.2339544999999899E-2</v>
      </c>
    </row>
    <row r="879" spans="1:6" x14ac:dyDescent="0.2">
      <c r="A879" t="s">
        <v>1692</v>
      </c>
      <c r="B879" t="s">
        <v>901</v>
      </c>
      <c r="C879" t="s">
        <v>902</v>
      </c>
      <c r="D879">
        <v>7.1653432699999894E-2</v>
      </c>
      <c r="E879">
        <v>4.6600777500000003E-2</v>
      </c>
      <c r="F879">
        <v>0.10308943</v>
      </c>
    </row>
    <row r="880" spans="1:6" x14ac:dyDescent="0.2">
      <c r="A880" t="s">
        <v>1693</v>
      </c>
      <c r="B880" t="s">
        <v>904</v>
      </c>
      <c r="C880" t="s">
        <v>905</v>
      </c>
      <c r="D880">
        <v>0.17906669619999999</v>
      </c>
      <c r="E880">
        <v>0.1215548</v>
      </c>
      <c r="F880">
        <v>0.25072915749999902</v>
      </c>
    </row>
    <row r="881" spans="1:6" x14ac:dyDescent="0.2">
      <c r="A881" t="s">
        <v>1694</v>
      </c>
      <c r="B881" t="s">
        <v>911</v>
      </c>
      <c r="C881" t="s">
        <v>912</v>
      </c>
      <c r="D881">
        <v>4.9011414699999999E-2</v>
      </c>
      <c r="E881">
        <v>3.1121342499999899E-2</v>
      </c>
      <c r="F881">
        <v>7.2092547499999896E-2</v>
      </c>
    </row>
    <row r="882" spans="1:6" x14ac:dyDescent="0.2">
      <c r="A882" t="s">
        <v>1695</v>
      </c>
      <c r="B882" t="s">
        <v>898</v>
      </c>
      <c r="C882" t="s">
        <v>899</v>
      </c>
      <c r="D882">
        <v>4.14518940999999E-2</v>
      </c>
      <c r="E882">
        <v>2.6103222499999999E-2</v>
      </c>
      <c r="F882">
        <v>6.2339544999999899E-2</v>
      </c>
    </row>
    <row r="883" spans="1:6" x14ac:dyDescent="0.2">
      <c r="A883" t="s">
        <v>1696</v>
      </c>
      <c r="B883" t="s">
        <v>901</v>
      </c>
      <c r="C883" t="s">
        <v>902</v>
      </c>
      <c r="D883">
        <v>7.1653432699999894E-2</v>
      </c>
      <c r="E883">
        <v>4.6600777500000003E-2</v>
      </c>
      <c r="F883">
        <v>0.10308943</v>
      </c>
    </row>
    <row r="884" spans="1:6" x14ac:dyDescent="0.2">
      <c r="A884" t="s">
        <v>1697</v>
      </c>
      <c r="B884" t="s">
        <v>904</v>
      </c>
      <c r="C884" t="s">
        <v>905</v>
      </c>
      <c r="D884">
        <v>0.17906669619999999</v>
      </c>
      <c r="E884">
        <v>0.1215548</v>
      </c>
      <c r="F884">
        <v>0.25072915749999902</v>
      </c>
    </row>
    <row r="885" spans="1:6" x14ac:dyDescent="0.2">
      <c r="A885" t="s">
        <v>1698</v>
      </c>
      <c r="B885" t="s">
        <v>698</v>
      </c>
      <c r="D885">
        <v>0</v>
      </c>
      <c r="E885">
        <v>0</v>
      </c>
      <c r="F885">
        <v>0</v>
      </c>
    </row>
    <row r="886" spans="1:6" x14ac:dyDescent="0.2">
      <c r="A886" t="s">
        <v>1699</v>
      </c>
      <c r="B886" t="s">
        <v>1700</v>
      </c>
      <c r="D886">
        <v>0.43222367888125401</v>
      </c>
      <c r="E886">
        <v>0.29997026158065299</v>
      </c>
      <c r="F886">
        <v>0.57667386132521103</v>
      </c>
    </row>
    <row r="887" spans="1:6" x14ac:dyDescent="0.2">
      <c r="A887" t="s">
        <v>1701</v>
      </c>
      <c r="B887" t="s">
        <v>1702</v>
      </c>
      <c r="D887">
        <v>0.44972608294183603</v>
      </c>
      <c r="E887">
        <v>0.31461469938311598</v>
      </c>
      <c r="F887">
        <v>0.59676653831501902</v>
      </c>
    </row>
    <row r="888" spans="1:6" x14ac:dyDescent="0.2">
      <c r="A888" t="s">
        <v>1703</v>
      </c>
      <c r="B888" t="s">
        <v>1704</v>
      </c>
      <c r="D888">
        <v>0.51180826491401898</v>
      </c>
      <c r="E888">
        <v>0.365297936733124</v>
      </c>
      <c r="F888">
        <v>0.665920441511476</v>
      </c>
    </row>
    <row r="889" spans="1:6" x14ac:dyDescent="0.2">
      <c r="A889" t="s">
        <v>1705</v>
      </c>
      <c r="B889" t="s">
        <v>1706</v>
      </c>
      <c r="C889" t="s">
        <v>648</v>
      </c>
      <c r="D889">
        <v>0.43662301570499001</v>
      </c>
      <c r="E889">
        <v>0.30073942915958801</v>
      </c>
      <c r="F889">
        <v>0.58119130857064205</v>
      </c>
    </row>
    <row r="890" spans="1:6" x14ac:dyDescent="0.2">
      <c r="A890" t="s">
        <v>1707</v>
      </c>
      <c r="B890" t="s">
        <v>940</v>
      </c>
      <c r="C890" t="s">
        <v>941</v>
      </c>
      <c r="D890">
        <v>1.9316720799999899E-2</v>
      </c>
      <c r="E890">
        <v>1.06353925E-2</v>
      </c>
      <c r="F890">
        <v>3.2722879999999899E-2</v>
      </c>
    </row>
    <row r="891" spans="1:6" x14ac:dyDescent="0.2">
      <c r="A891" t="s">
        <v>1708</v>
      </c>
      <c r="B891" t="s">
        <v>1005</v>
      </c>
      <c r="C891" t="s">
        <v>1006</v>
      </c>
      <c r="D891">
        <v>0.22517170789999999</v>
      </c>
      <c r="E891">
        <v>0.15291988000000001</v>
      </c>
      <c r="F891">
        <v>0.30972899249999902</v>
      </c>
    </row>
    <row r="892" spans="1:6" x14ac:dyDescent="0.2">
      <c r="A892" t="s">
        <v>1709</v>
      </c>
      <c r="B892" t="s">
        <v>1008</v>
      </c>
      <c r="C892" t="s">
        <v>1009</v>
      </c>
      <c r="D892">
        <v>0.40785797679999902</v>
      </c>
      <c r="E892">
        <v>0.273411367499999</v>
      </c>
      <c r="F892">
        <v>0.55565908499999905</v>
      </c>
    </row>
    <row r="893" spans="1:6" x14ac:dyDescent="0.2">
      <c r="A893" t="s">
        <v>1710</v>
      </c>
      <c r="B893" t="s">
        <v>698</v>
      </c>
      <c r="D893">
        <v>0</v>
      </c>
      <c r="E893">
        <v>0</v>
      </c>
      <c r="F893">
        <v>0</v>
      </c>
    </row>
    <row r="894" spans="1:6" x14ac:dyDescent="0.2">
      <c r="A894" t="s">
        <v>1711</v>
      </c>
      <c r="B894" t="s">
        <v>1700</v>
      </c>
      <c r="D894">
        <v>0.43222367888125401</v>
      </c>
      <c r="E894">
        <v>0.29997026158065299</v>
      </c>
      <c r="F894">
        <v>0.57667386132521103</v>
      </c>
    </row>
    <row r="895" spans="1:6" x14ac:dyDescent="0.2">
      <c r="A895" t="s">
        <v>1712</v>
      </c>
      <c r="B895" t="s">
        <v>1702</v>
      </c>
      <c r="D895">
        <v>0.44972608294183603</v>
      </c>
      <c r="E895">
        <v>0.31461469938311598</v>
      </c>
      <c r="F895">
        <v>0.59676653831501902</v>
      </c>
    </row>
    <row r="896" spans="1:6" x14ac:dyDescent="0.2">
      <c r="A896" t="s">
        <v>1713</v>
      </c>
      <c r="B896" t="s">
        <v>1704</v>
      </c>
      <c r="D896">
        <v>0.51180826491401898</v>
      </c>
      <c r="E896">
        <v>0.365297936733124</v>
      </c>
      <c r="F896">
        <v>0.665920441511476</v>
      </c>
    </row>
    <row r="897" spans="1:6" x14ac:dyDescent="0.2">
      <c r="A897" t="s">
        <v>1714</v>
      </c>
      <c r="B897" t="s">
        <v>1706</v>
      </c>
      <c r="C897" t="s">
        <v>648</v>
      </c>
      <c r="D897">
        <v>0.43662301570499001</v>
      </c>
      <c r="E897">
        <v>0.30073942915958801</v>
      </c>
      <c r="F897">
        <v>0.58119130857064205</v>
      </c>
    </row>
    <row r="898" spans="1:6" x14ac:dyDescent="0.2">
      <c r="A898" t="s">
        <v>1715</v>
      </c>
      <c r="B898" t="s">
        <v>940</v>
      </c>
      <c r="C898" t="s">
        <v>941</v>
      </c>
      <c r="D898">
        <v>1.9316720799999899E-2</v>
      </c>
      <c r="E898">
        <v>1.06353925E-2</v>
      </c>
      <c r="F898">
        <v>3.2722879999999899E-2</v>
      </c>
    </row>
    <row r="899" spans="1:6" x14ac:dyDescent="0.2">
      <c r="A899" t="s">
        <v>1716</v>
      </c>
      <c r="B899" t="s">
        <v>1005</v>
      </c>
      <c r="C899" t="s">
        <v>1006</v>
      </c>
      <c r="D899">
        <v>0.22517170789999999</v>
      </c>
      <c r="E899">
        <v>0.15291988000000001</v>
      </c>
      <c r="F899">
        <v>0.30972899249999902</v>
      </c>
    </row>
    <row r="900" spans="1:6" x14ac:dyDescent="0.2">
      <c r="A900" t="s">
        <v>1717</v>
      </c>
      <c r="B900" t="s">
        <v>1008</v>
      </c>
      <c r="C900" t="s">
        <v>1009</v>
      </c>
      <c r="D900">
        <v>0.40785797679999902</v>
      </c>
      <c r="E900">
        <v>0.273411367499999</v>
      </c>
      <c r="F900">
        <v>0.55565908499999905</v>
      </c>
    </row>
    <row r="901" spans="1:6" x14ac:dyDescent="0.2">
      <c r="A901" t="s">
        <v>1718</v>
      </c>
      <c r="B901" t="s">
        <v>698</v>
      </c>
      <c r="D901">
        <v>0</v>
      </c>
      <c r="E901">
        <v>0</v>
      </c>
      <c r="F901">
        <v>0</v>
      </c>
    </row>
    <row r="902" spans="1:6" x14ac:dyDescent="0.2">
      <c r="A902" t="s">
        <v>1719</v>
      </c>
      <c r="B902" t="s">
        <v>940</v>
      </c>
      <c r="C902" t="s">
        <v>941</v>
      </c>
      <c r="D902">
        <v>1.9316720799999899E-2</v>
      </c>
      <c r="E902">
        <v>1.06353925E-2</v>
      </c>
      <c r="F902">
        <v>3.2722879999999899E-2</v>
      </c>
    </row>
    <row r="903" spans="1:6" x14ac:dyDescent="0.2">
      <c r="A903" t="s">
        <v>1720</v>
      </c>
      <c r="B903" t="s">
        <v>1005</v>
      </c>
      <c r="C903" t="s">
        <v>1006</v>
      </c>
      <c r="D903">
        <v>0.22517170789999999</v>
      </c>
      <c r="E903">
        <v>0.15291988000000001</v>
      </c>
      <c r="F903">
        <v>0.30972899249999902</v>
      </c>
    </row>
    <row r="904" spans="1:6" x14ac:dyDescent="0.2">
      <c r="A904" t="s">
        <v>1721</v>
      </c>
      <c r="B904" t="s">
        <v>1008</v>
      </c>
      <c r="C904" t="s">
        <v>1009</v>
      </c>
      <c r="D904">
        <v>0.40785797679999902</v>
      </c>
      <c r="E904">
        <v>0.273411367499999</v>
      </c>
      <c r="F904">
        <v>0.55565908499999905</v>
      </c>
    </row>
    <row r="905" spans="1:6" x14ac:dyDescent="0.2">
      <c r="A905" t="s">
        <v>1722</v>
      </c>
      <c r="B905" t="s">
        <v>698</v>
      </c>
      <c r="D905">
        <v>0</v>
      </c>
      <c r="E905">
        <v>0</v>
      </c>
      <c r="F905">
        <v>0</v>
      </c>
    </row>
    <row r="906" spans="1:6" x14ac:dyDescent="0.2">
      <c r="A906" t="s">
        <v>1723</v>
      </c>
      <c r="B906" t="s">
        <v>1700</v>
      </c>
      <c r="D906">
        <v>0.43222367888125401</v>
      </c>
      <c r="E906">
        <v>0.29997026158065299</v>
      </c>
      <c r="F906">
        <v>0.57667386132521103</v>
      </c>
    </row>
    <row r="907" spans="1:6" x14ac:dyDescent="0.2">
      <c r="A907" t="s">
        <v>1724</v>
      </c>
      <c r="B907" t="s">
        <v>1702</v>
      </c>
      <c r="D907">
        <v>0.44972608294183603</v>
      </c>
      <c r="E907">
        <v>0.31461469938311598</v>
      </c>
      <c r="F907">
        <v>0.59676653831501902</v>
      </c>
    </row>
    <row r="908" spans="1:6" x14ac:dyDescent="0.2">
      <c r="A908" t="s">
        <v>1725</v>
      </c>
      <c r="B908" t="s">
        <v>1704</v>
      </c>
      <c r="D908">
        <v>0.51180826491401898</v>
      </c>
      <c r="E908">
        <v>0.365297936733124</v>
      </c>
      <c r="F908">
        <v>0.665920441511476</v>
      </c>
    </row>
    <row r="909" spans="1:6" x14ac:dyDescent="0.2">
      <c r="A909" t="s">
        <v>1726</v>
      </c>
      <c r="B909" t="s">
        <v>1706</v>
      </c>
      <c r="C909" t="s">
        <v>648</v>
      </c>
      <c r="D909">
        <v>0.43662301570499001</v>
      </c>
      <c r="E909">
        <v>0.30073942915958801</v>
      </c>
      <c r="F909">
        <v>0.58119130857064205</v>
      </c>
    </row>
    <row r="910" spans="1:6" x14ac:dyDescent="0.2">
      <c r="A910" t="s">
        <v>1727</v>
      </c>
      <c r="B910" t="s">
        <v>940</v>
      </c>
      <c r="C910" t="s">
        <v>941</v>
      </c>
      <c r="D910">
        <v>1.9316720799999899E-2</v>
      </c>
      <c r="E910">
        <v>1.06353925E-2</v>
      </c>
      <c r="F910">
        <v>3.2722879999999899E-2</v>
      </c>
    </row>
    <row r="911" spans="1:6" x14ac:dyDescent="0.2">
      <c r="A911" t="s">
        <v>1728</v>
      </c>
      <c r="B911" t="s">
        <v>1005</v>
      </c>
      <c r="C911" t="s">
        <v>1006</v>
      </c>
      <c r="D911">
        <v>0.22517170789999999</v>
      </c>
      <c r="E911">
        <v>0.15291988000000001</v>
      </c>
      <c r="F911">
        <v>0.30972899249999902</v>
      </c>
    </row>
    <row r="912" spans="1:6" x14ac:dyDescent="0.2">
      <c r="A912" t="s">
        <v>1729</v>
      </c>
      <c r="B912" t="s">
        <v>1008</v>
      </c>
      <c r="C912" t="s">
        <v>1009</v>
      </c>
      <c r="D912">
        <v>0.40785797679999902</v>
      </c>
      <c r="E912">
        <v>0.273411367499999</v>
      </c>
      <c r="F912">
        <v>0.55565908499999905</v>
      </c>
    </row>
    <row r="913" spans="1:6" x14ac:dyDescent="0.2">
      <c r="A913" t="s">
        <v>1730</v>
      </c>
      <c r="B913" t="s">
        <v>698</v>
      </c>
      <c r="D913">
        <v>0</v>
      </c>
      <c r="E913">
        <v>0</v>
      </c>
      <c r="F913">
        <v>0</v>
      </c>
    </row>
    <row r="914" spans="1:6" x14ac:dyDescent="0.2">
      <c r="A914" t="s">
        <v>1731</v>
      </c>
      <c r="B914" t="s">
        <v>1700</v>
      </c>
      <c r="D914">
        <v>0.43222367888125401</v>
      </c>
      <c r="E914">
        <v>0.29997026158065299</v>
      </c>
      <c r="F914">
        <v>0.57667386132521103</v>
      </c>
    </row>
    <row r="915" spans="1:6" x14ac:dyDescent="0.2">
      <c r="A915" t="s">
        <v>1732</v>
      </c>
      <c r="B915" t="s">
        <v>1702</v>
      </c>
      <c r="D915">
        <v>0.44972608294183603</v>
      </c>
      <c r="E915">
        <v>0.31461469938311598</v>
      </c>
      <c r="F915">
        <v>0.59676653831501902</v>
      </c>
    </row>
    <row r="916" spans="1:6" x14ac:dyDescent="0.2">
      <c r="A916" t="s">
        <v>1733</v>
      </c>
      <c r="B916" t="s">
        <v>1704</v>
      </c>
      <c r="D916">
        <v>0.51180826491401898</v>
      </c>
      <c r="E916">
        <v>0.365297936733124</v>
      </c>
      <c r="F916">
        <v>0.665920441511476</v>
      </c>
    </row>
    <row r="917" spans="1:6" x14ac:dyDescent="0.2">
      <c r="A917" t="s">
        <v>1734</v>
      </c>
      <c r="B917" t="s">
        <v>1706</v>
      </c>
      <c r="C917" t="s">
        <v>648</v>
      </c>
      <c r="D917">
        <v>0.43662301570499001</v>
      </c>
      <c r="E917">
        <v>0.30073942915958801</v>
      </c>
      <c r="F917">
        <v>0.58119130857064205</v>
      </c>
    </row>
    <row r="918" spans="1:6" x14ac:dyDescent="0.2">
      <c r="A918" t="s">
        <v>1735</v>
      </c>
      <c r="B918" t="s">
        <v>1700</v>
      </c>
      <c r="D918">
        <v>0.43222367888125401</v>
      </c>
      <c r="E918">
        <v>0.29997026158065299</v>
      </c>
      <c r="F918">
        <v>0.57667386132521103</v>
      </c>
    </row>
    <row r="919" spans="1:6" x14ac:dyDescent="0.2">
      <c r="A919" t="s">
        <v>1736</v>
      </c>
      <c r="B919" t="s">
        <v>1702</v>
      </c>
      <c r="D919">
        <v>0.44972608294183603</v>
      </c>
      <c r="E919">
        <v>0.31461469938311598</v>
      </c>
      <c r="F919">
        <v>0.59676653831501902</v>
      </c>
    </row>
    <row r="920" spans="1:6" x14ac:dyDescent="0.2">
      <c r="A920" t="s">
        <v>1737</v>
      </c>
      <c r="B920" t="s">
        <v>1704</v>
      </c>
      <c r="D920">
        <v>0.51180826491401898</v>
      </c>
      <c r="E920">
        <v>0.365297936733124</v>
      </c>
      <c r="F920">
        <v>0.665920441511476</v>
      </c>
    </row>
    <row r="921" spans="1:6" x14ac:dyDescent="0.2">
      <c r="A921" t="s">
        <v>1738</v>
      </c>
      <c r="B921" t="s">
        <v>1706</v>
      </c>
      <c r="C921" t="s">
        <v>648</v>
      </c>
      <c r="D921">
        <v>0.43662301570499001</v>
      </c>
      <c r="E921">
        <v>0.30073942915958801</v>
      </c>
      <c r="F921">
        <v>0.58119130857064205</v>
      </c>
    </row>
    <row r="922" spans="1:6" x14ac:dyDescent="0.2">
      <c r="A922" t="s">
        <v>1739</v>
      </c>
      <c r="B922" t="s">
        <v>940</v>
      </c>
      <c r="C922" t="s">
        <v>941</v>
      </c>
      <c r="D922">
        <v>1.9316720799999899E-2</v>
      </c>
      <c r="E922">
        <v>1.06353925E-2</v>
      </c>
      <c r="F922">
        <v>3.2722879999999899E-2</v>
      </c>
    </row>
    <row r="923" spans="1:6" x14ac:dyDescent="0.2">
      <c r="A923" t="s">
        <v>1740</v>
      </c>
      <c r="B923" t="s">
        <v>1005</v>
      </c>
      <c r="C923" t="s">
        <v>1006</v>
      </c>
      <c r="D923">
        <v>0.22517170789999999</v>
      </c>
      <c r="E923">
        <v>0.15291988000000001</v>
      </c>
      <c r="F923">
        <v>0.30972899249999902</v>
      </c>
    </row>
    <row r="924" spans="1:6" x14ac:dyDescent="0.2">
      <c r="A924" t="s">
        <v>1741</v>
      </c>
      <c r="B924" t="s">
        <v>1008</v>
      </c>
      <c r="C924" t="s">
        <v>1009</v>
      </c>
      <c r="D924">
        <v>0.40785797679999902</v>
      </c>
      <c r="E924">
        <v>0.273411367499999</v>
      </c>
      <c r="F924">
        <v>0.55565908499999905</v>
      </c>
    </row>
    <row r="925" spans="1:6" x14ac:dyDescent="0.2">
      <c r="A925" t="s">
        <v>1742</v>
      </c>
      <c r="B925" t="s">
        <v>698</v>
      </c>
      <c r="D925">
        <v>0</v>
      </c>
      <c r="E925">
        <v>0</v>
      </c>
      <c r="F925">
        <v>0</v>
      </c>
    </row>
    <row r="926" spans="1:6" x14ac:dyDescent="0.2">
      <c r="A926" t="s">
        <v>1743</v>
      </c>
      <c r="B926" t="s">
        <v>698</v>
      </c>
      <c r="D926">
        <v>0</v>
      </c>
      <c r="E926">
        <v>0</v>
      </c>
      <c r="F926">
        <v>0</v>
      </c>
    </row>
    <row r="927" spans="1:6" x14ac:dyDescent="0.2">
      <c r="A927" t="s">
        <v>1744</v>
      </c>
      <c r="B927" t="s">
        <v>1745</v>
      </c>
      <c r="C927" t="s">
        <v>1746</v>
      </c>
      <c r="D927">
        <v>1.45813465E-2</v>
      </c>
      <c r="E927">
        <v>7.3775749999999999E-3</v>
      </c>
      <c r="F927">
        <v>2.6265392499999901E-2</v>
      </c>
    </row>
    <row r="928" spans="1:6" x14ac:dyDescent="0.2">
      <c r="A928" t="s">
        <v>1747</v>
      </c>
      <c r="B928" t="s">
        <v>1748</v>
      </c>
      <c r="C928" t="s">
        <v>1749</v>
      </c>
      <c r="D928">
        <v>3.5505078099999997E-2</v>
      </c>
      <c r="E928">
        <v>2.1998802500000001E-2</v>
      </c>
      <c r="F928">
        <v>5.5251004999999999E-2</v>
      </c>
    </row>
    <row r="929" spans="1:6" x14ac:dyDescent="0.2">
      <c r="A929" t="s">
        <v>1750</v>
      </c>
      <c r="B929" t="s">
        <v>1751</v>
      </c>
      <c r="C929" t="s">
        <v>1752</v>
      </c>
      <c r="D929">
        <v>0.13269225839999901</v>
      </c>
      <c r="E929">
        <v>8.5640919999999995E-2</v>
      </c>
      <c r="F929">
        <v>0.192439812499999</v>
      </c>
    </row>
    <row r="930" spans="1:6" x14ac:dyDescent="0.2">
      <c r="A930" t="s">
        <v>1753</v>
      </c>
      <c r="B930" t="s">
        <v>1700</v>
      </c>
      <c r="D930">
        <v>0.43222367888125401</v>
      </c>
      <c r="E930">
        <v>0.29997026158065299</v>
      </c>
      <c r="F930">
        <v>0.57667386132521103</v>
      </c>
    </row>
    <row r="931" spans="1:6" x14ac:dyDescent="0.2">
      <c r="A931" t="s">
        <v>1754</v>
      </c>
      <c r="B931" t="s">
        <v>1702</v>
      </c>
      <c r="D931">
        <v>0.44972608294183603</v>
      </c>
      <c r="E931">
        <v>0.31461469938311598</v>
      </c>
      <c r="F931">
        <v>0.59676653831501902</v>
      </c>
    </row>
    <row r="932" spans="1:6" x14ac:dyDescent="0.2">
      <c r="A932" t="s">
        <v>1755</v>
      </c>
      <c r="B932" t="s">
        <v>1704</v>
      </c>
      <c r="D932">
        <v>0.51180826491401898</v>
      </c>
      <c r="E932">
        <v>0.365297936733124</v>
      </c>
      <c r="F932">
        <v>0.665920441511476</v>
      </c>
    </row>
    <row r="933" spans="1:6" x14ac:dyDescent="0.2">
      <c r="A933" t="s">
        <v>1756</v>
      </c>
      <c r="B933" t="s">
        <v>1706</v>
      </c>
      <c r="C933" t="s">
        <v>648</v>
      </c>
      <c r="D933">
        <v>0.43662301570499001</v>
      </c>
      <c r="E933">
        <v>0.30073942915958801</v>
      </c>
      <c r="F933">
        <v>0.58119130857064205</v>
      </c>
    </row>
    <row r="934" spans="1:6" x14ac:dyDescent="0.2">
      <c r="A934" t="s">
        <v>1757</v>
      </c>
      <c r="B934" t="s">
        <v>940</v>
      </c>
      <c r="C934" t="s">
        <v>941</v>
      </c>
      <c r="D934">
        <v>1.9316720799999899E-2</v>
      </c>
      <c r="E934">
        <v>1.06353925E-2</v>
      </c>
      <c r="F934">
        <v>3.2722879999999899E-2</v>
      </c>
    </row>
    <row r="935" spans="1:6" x14ac:dyDescent="0.2">
      <c r="A935" t="s">
        <v>1758</v>
      </c>
      <c r="B935" t="s">
        <v>1005</v>
      </c>
      <c r="C935" t="s">
        <v>1006</v>
      </c>
      <c r="D935">
        <v>0.22517170789999999</v>
      </c>
      <c r="E935">
        <v>0.15291988000000001</v>
      </c>
      <c r="F935">
        <v>0.30972899249999902</v>
      </c>
    </row>
    <row r="936" spans="1:6" x14ac:dyDescent="0.2">
      <c r="A936" t="s">
        <v>1759</v>
      </c>
      <c r="B936" t="s">
        <v>1008</v>
      </c>
      <c r="C936" t="s">
        <v>1009</v>
      </c>
      <c r="D936">
        <v>0.40785797679999902</v>
      </c>
      <c r="E936">
        <v>0.273411367499999</v>
      </c>
      <c r="F936">
        <v>0.55565908499999905</v>
      </c>
    </row>
    <row r="937" spans="1:6" x14ac:dyDescent="0.2">
      <c r="A937" t="s">
        <v>1760</v>
      </c>
      <c r="B937" t="s">
        <v>698</v>
      </c>
      <c r="D937">
        <v>0</v>
      </c>
      <c r="E937">
        <v>0</v>
      </c>
      <c r="F937">
        <v>0</v>
      </c>
    </row>
    <row r="938" spans="1:6" x14ac:dyDescent="0.2">
      <c r="A938" t="s">
        <v>1761</v>
      </c>
      <c r="B938" t="s">
        <v>764</v>
      </c>
    </row>
    <row r="939" spans="1:6" x14ac:dyDescent="0.2">
      <c r="A939" t="s">
        <v>1762</v>
      </c>
      <c r="B939" t="s">
        <v>1763</v>
      </c>
      <c r="C939" t="s">
        <v>648</v>
      </c>
      <c r="D939">
        <v>0.21826233601008799</v>
      </c>
      <c r="E939">
        <v>0.15424164049134001</v>
      </c>
      <c r="F939">
        <v>0.29820388178819801</v>
      </c>
    </row>
    <row r="940" spans="1:6" x14ac:dyDescent="0.2">
      <c r="A940" t="s">
        <v>1764</v>
      </c>
      <c r="B940" t="s">
        <v>1765</v>
      </c>
      <c r="C940" t="s">
        <v>648</v>
      </c>
      <c r="D940">
        <v>0.21209058157350899</v>
      </c>
      <c r="E940">
        <v>0.150028853392704</v>
      </c>
      <c r="F940">
        <v>0.28985239361425502</v>
      </c>
    </row>
    <row r="941" spans="1:6" x14ac:dyDescent="0.2">
      <c r="A941" t="s">
        <v>1766</v>
      </c>
      <c r="B941" t="s">
        <v>1767</v>
      </c>
      <c r="C941" t="s">
        <v>648</v>
      </c>
      <c r="D941">
        <v>0.23671703579758399</v>
      </c>
      <c r="E941">
        <v>0.166940164811928</v>
      </c>
      <c r="F941">
        <v>0.31975333852198701</v>
      </c>
    </row>
    <row r="942" spans="1:6" x14ac:dyDescent="0.2">
      <c r="A942" t="s">
        <v>1768</v>
      </c>
      <c r="B942" t="s">
        <v>1769</v>
      </c>
      <c r="C942" t="s">
        <v>648</v>
      </c>
      <c r="D942">
        <v>0.32431936322780602</v>
      </c>
      <c r="E942">
        <v>0.232650244870996</v>
      </c>
      <c r="F942">
        <v>0.43595165224712401</v>
      </c>
    </row>
    <row r="943" spans="1:6" x14ac:dyDescent="0.2">
      <c r="A943" t="s">
        <v>1770</v>
      </c>
      <c r="B943" t="s">
        <v>1771</v>
      </c>
      <c r="C943" t="s">
        <v>1772</v>
      </c>
      <c r="D943">
        <v>0.17820251500000001</v>
      </c>
      <c r="E943">
        <v>0.12271945250000001</v>
      </c>
      <c r="F943">
        <v>0.24959785499999901</v>
      </c>
    </row>
    <row r="944" spans="1:6" x14ac:dyDescent="0.2">
      <c r="A944" t="s">
        <v>1773</v>
      </c>
      <c r="B944" t="s">
        <v>1774</v>
      </c>
      <c r="C944" t="s">
        <v>648</v>
      </c>
      <c r="D944">
        <v>0.181242186476127</v>
      </c>
      <c r="E944">
        <v>0.12618365893434799</v>
      </c>
      <c r="F944">
        <v>0.25196991405892599</v>
      </c>
    </row>
    <row r="945" spans="1:6" x14ac:dyDescent="0.2">
      <c r="A945" t="s">
        <v>1775</v>
      </c>
      <c r="B945" t="s">
        <v>1776</v>
      </c>
      <c r="C945" t="s">
        <v>648</v>
      </c>
      <c r="D945">
        <v>0.22032069295430701</v>
      </c>
      <c r="E945">
        <v>0.15557036898194099</v>
      </c>
      <c r="F945">
        <v>0.29846135634055099</v>
      </c>
    </row>
    <row r="946" spans="1:6" x14ac:dyDescent="0.2">
      <c r="A946" t="s">
        <v>1777</v>
      </c>
      <c r="B946" t="s">
        <v>1778</v>
      </c>
      <c r="C946" t="s">
        <v>648</v>
      </c>
      <c r="D946">
        <v>0.29960279123152</v>
      </c>
      <c r="E946">
        <v>0.21226860050211499</v>
      </c>
      <c r="F946">
        <v>0.40440432789668201</v>
      </c>
    </row>
    <row r="947" spans="1:6" x14ac:dyDescent="0.2">
      <c r="A947" t="s">
        <v>1779</v>
      </c>
      <c r="B947" t="s">
        <v>698</v>
      </c>
      <c r="D947">
        <v>0</v>
      </c>
      <c r="E947">
        <v>0</v>
      </c>
      <c r="F947">
        <v>0</v>
      </c>
    </row>
    <row r="948" spans="1:6" x14ac:dyDescent="0.2">
      <c r="A948" t="s">
        <v>1780</v>
      </c>
      <c r="B948" t="s">
        <v>698</v>
      </c>
      <c r="D948">
        <v>0</v>
      </c>
      <c r="E948">
        <v>0</v>
      </c>
      <c r="F948">
        <v>0</v>
      </c>
    </row>
    <row r="949" spans="1:6" x14ac:dyDescent="0.2">
      <c r="A949" t="s">
        <v>1781</v>
      </c>
      <c r="B949" t="s">
        <v>1763</v>
      </c>
      <c r="C949" t="s">
        <v>648</v>
      </c>
      <c r="D949">
        <v>0.21826233601008799</v>
      </c>
      <c r="E949">
        <v>0.15424164049134001</v>
      </c>
      <c r="F949">
        <v>0.29820388178819801</v>
      </c>
    </row>
    <row r="950" spans="1:6" x14ac:dyDescent="0.2">
      <c r="A950" t="s">
        <v>1782</v>
      </c>
      <c r="B950" t="s">
        <v>1765</v>
      </c>
      <c r="C950" t="s">
        <v>648</v>
      </c>
      <c r="D950">
        <v>0.21209058157350899</v>
      </c>
      <c r="E950">
        <v>0.150028853392704</v>
      </c>
      <c r="F950">
        <v>0.28985239361425502</v>
      </c>
    </row>
    <row r="951" spans="1:6" x14ac:dyDescent="0.2">
      <c r="A951" t="s">
        <v>1783</v>
      </c>
      <c r="B951" t="s">
        <v>1767</v>
      </c>
      <c r="C951" t="s">
        <v>648</v>
      </c>
      <c r="D951">
        <v>0.23671703579758399</v>
      </c>
      <c r="E951">
        <v>0.166940164811928</v>
      </c>
      <c r="F951">
        <v>0.31975333852198701</v>
      </c>
    </row>
    <row r="952" spans="1:6" x14ac:dyDescent="0.2">
      <c r="A952" t="s">
        <v>1784</v>
      </c>
      <c r="B952" t="s">
        <v>1769</v>
      </c>
      <c r="C952" t="s">
        <v>648</v>
      </c>
      <c r="D952">
        <v>0.32431936322780602</v>
      </c>
      <c r="E952">
        <v>0.232650244870996</v>
      </c>
      <c r="F952">
        <v>0.43595165224712401</v>
      </c>
    </row>
    <row r="953" spans="1:6" x14ac:dyDescent="0.2">
      <c r="A953" t="s">
        <v>1785</v>
      </c>
      <c r="B953" t="s">
        <v>1771</v>
      </c>
      <c r="C953" t="s">
        <v>1772</v>
      </c>
      <c r="D953">
        <v>0.17820251500000001</v>
      </c>
      <c r="E953">
        <v>0.12271945250000001</v>
      </c>
      <c r="F953">
        <v>0.24959785499999901</v>
      </c>
    </row>
    <row r="954" spans="1:6" x14ac:dyDescent="0.2">
      <c r="A954" t="s">
        <v>1786</v>
      </c>
      <c r="B954" t="s">
        <v>1774</v>
      </c>
      <c r="C954" t="s">
        <v>648</v>
      </c>
      <c r="D954">
        <v>0.181242186476127</v>
      </c>
      <c r="E954">
        <v>0.12618365893434799</v>
      </c>
      <c r="F954">
        <v>0.25196991405892599</v>
      </c>
    </row>
    <row r="955" spans="1:6" x14ac:dyDescent="0.2">
      <c r="A955" t="s">
        <v>1787</v>
      </c>
      <c r="B955" t="s">
        <v>1776</v>
      </c>
      <c r="C955" t="s">
        <v>648</v>
      </c>
      <c r="D955">
        <v>0.22032069295430701</v>
      </c>
      <c r="E955">
        <v>0.15557036898194099</v>
      </c>
      <c r="F955">
        <v>0.29846135634055099</v>
      </c>
    </row>
    <row r="956" spans="1:6" x14ac:dyDescent="0.2">
      <c r="A956" t="s">
        <v>1788</v>
      </c>
      <c r="B956" t="s">
        <v>1778</v>
      </c>
      <c r="C956" t="s">
        <v>648</v>
      </c>
      <c r="D956">
        <v>0.29960279123152</v>
      </c>
      <c r="E956">
        <v>0.21226860050211499</v>
      </c>
      <c r="F956">
        <v>0.40440432789668201</v>
      </c>
    </row>
    <row r="957" spans="1:6" x14ac:dyDescent="0.2">
      <c r="A957" t="s">
        <v>1789</v>
      </c>
      <c r="B957" t="s">
        <v>698</v>
      </c>
      <c r="D957">
        <v>0</v>
      </c>
      <c r="E957">
        <v>0</v>
      </c>
      <c r="F957">
        <v>0</v>
      </c>
    </row>
    <row r="958" spans="1:6" x14ac:dyDescent="0.2">
      <c r="A958" t="s">
        <v>1790</v>
      </c>
      <c r="B958" t="s">
        <v>698</v>
      </c>
      <c r="D958">
        <v>0</v>
      </c>
      <c r="E958">
        <v>0</v>
      </c>
      <c r="F958">
        <v>0</v>
      </c>
    </row>
    <row r="959" spans="1:6" x14ac:dyDescent="0.2">
      <c r="A959" t="s">
        <v>1791</v>
      </c>
      <c r="B959" t="s">
        <v>1763</v>
      </c>
      <c r="C959" t="s">
        <v>648</v>
      </c>
      <c r="D959">
        <v>0.21826233601008799</v>
      </c>
      <c r="E959">
        <v>0.15424164049134001</v>
      </c>
      <c r="F959">
        <v>0.29820388178819801</v>
      </c>
    </row>
    <row r="960" spans="1:6" x14ac:dyDescent="0.2">
      <c r="A960" t="s">
        <v>1792</v>
      </c>
      <c r="B960" t="s">
        <v>1765</v>
      </c>
      <c r="C960" t="s">
        <v>648</v>
      </c>
      <c r="D960">
        <v>0.21209058157350899</v>
      </c>
      <c r="E960">
        <v>0.150028853392704</v>
      </c>
      <c r="F960">
        <v>0.28985239361425502</v>
      </c>
    </row>
    <row r="961" spans="1:6" x14ac:dyDescent="0.2">
      <c r="A961" t="s">
        <v>1793</v>
      </c>
      <c r="B961" t="s">
        <v>1767</v>
      </c>
      <c r="C961" t="s">
        <v>648</v>
      </c>
      <c r="D961">
        <v>0.23671703579758399</v>
      </c>
      <c r="E961">
        <v>0.166940164811928</v>
      </c>
      <c r="F961">
        <v>0.31975333852198701</v>
      </c>
    </row>
    <row r="962" spans="1:6" x14ac:dyDescent="0.2">
      <c r="A962" t="s">
        <v>1794</v>
      </c>
      <c r="B962" t="s">
        <v>1769</v>
      </c>
      <c r="C962" t="s">
        <v>648</v>
      </c>
      <c r="D962">
        <v>0.32431936322780602</v>
      </c>
      <c r="E962">
        <v>0.232650244870996</v>
      </c>
      <c r="F962">
        <v>0.43595165224712401</v>
      </c>
    </row>
    <row r="963" spans="1:6" x14ac:dyDescent="0.2">
      <c r="A963" t="s">
        <v>1795</v>
      </c>
      <c r="B963" t="s">
        <v>1771</v>
      </c>
      <c r="C963" t="s">
        <v>1772</v>
      </c>
      <c r="D963">
        <v>0.17820251500000001</v>
      </c>
      <c r="E963">
        <v>0.12271945250000001</v>
      </c>
      <c r="F963">
        <v>0.24959785499999901</v>
      </c>
    </row>
    <row r="964" spans="1:6" x14ac:dyDescent="0.2">
      <c r="A964" t="s">
        <v>1796</v>
      </c>
      <c r="B964" t="s">
        <v>1774</v>
      </c>
      <c r="C964" t="s">
        <v>648</v>
      </c>
      <c r="D964">
        <v>0.181242186476127</v>
      </c>
      <c r="E964">
        <v>0.12618365893434799</v>
      </c>
      <c r="F964">
        <v>0.25196991405892599</v>
      </c>
    </row>
    <row r="965" spans="1:6" x14ac:dyDescent="0.2">
      <c r="A965" t="s">
        <v>1797</v>
      </c>
      <c r="B965" t="s">
        <v>1776</v>
      </c>
      <c r="C965" t="s">
        <v>648</v>
      </c>
      <c r="D965">
        <v>0.22032069295430701</v>
      </c>
      <c r="E965">
        <v>0.15557036898194099</v>
      </c>
      <c r="F965">
        <v>0.29846135634055099</v>
      </c>
    </row>
    <row r="966" spans="1:6" x14ac:dyDescent="0.2">
      <c r="A966" t="s">
        <v>1798</v>
      </c>
      <c r="B966" t="s">
        <v>1778</v>
      </c>
      <c r="C966" t="s">
        <v>648</v>
      </c>
      <c r="D966">
        <v>0.29960279123152</v>
      </c>
      <c r="E966">
        <v>0.21226860050211499</v>
      </c>
      <c r="F966">
        <v>0.40440432789668201</v>
      </c>
    </row>
    <row r="967" spans="1:6" x14ac:dyDescent="0.2">
      <c r="A967" t="s">
        <v>1799</v>
      </c>
      <c r="B967" t="s">
        <v>698</v>
      </c>
      <c r="D967">
        <v>0</v>
      </c>
      <c r="E967">
        <v>0</v>
      </c>
      <c r="F967">
        <v>0</v>
      </c>
    </row>
    <row r="968" spans="1:6" x14ac:dyDescent="0.2">
      <c r="A968" t="s">
        <v>1800</v>
      </c>
      <c r="B968" t="s">
        <v>698</v>
      </c>
      <c r="D968">
        <v>0</v>
      </c>
      <c r="E968">
        <v>0</v>
      </c>
      <c r="F968">
        <v>0</v>
      </c>
    </row>
    <row r="969" spans="1:6" x14ac:dyDescent="0.2">
      <c r="A969" t="s">
        <v>1801</v>
      </c>
      <c r="B969" t="s">
        <v>1763</v>
      </c>
      <c r="C969" t="s">
        <v>648</v>
      </c>
      <c r="D969">
        <v>0.21826233601008799</v>
      </c>
      <c r="E969">
        <v>0.15424164049134001</v>
      </c>
      <c r="F969">
        <v>0.29820388178819801</v>
      </c>
    </row>
    <row r="970" spans="1:6" x14ac:dyDescent="0.2">
      <c r="A970" t="s">
        <v>1802</v>
      </c>
      <c r="B970" t="s">
        <v>1765</v>
      </c>
      <c r="C970" t="s">
        <v>648</v>
      </c>
      <c r="D970">
        <v>0.21209058157350899</v>
      </c>
      <c r="E970">
        <v>0.150028853392704</v>
      </c>
      <c r="F970">
        <v>0.28985239361425502</v>
      </c>
    </row>
    <row r="971" spans="1:6" x14ac:dyDescent="0.2">
      <c r="A971" t="s">
        <v>1803</v>
      </c>
      <c r="B971" t="s">
        <v>1767</v>
      </c>
      <c r="C971" t="s">
        <v>648</v>
      </c>
      <c r="D971">
        <v>0.23671703579758399</v>
      </c>
      <c r="E971">
        <v>0.166940164811928</v>
      </c>
      <c r="F971">
        <v>0.31975333852198701</v>
      </c>
    </row>
    <row r="972" spans="1:6" x14ac:dyDescent="0.2">
      <c r="A972" t="s">
        <v>1804</v>
      </c>
      <c r="B972" t="s">
        <v>1769</v>
      </c>
      <c r="C972" t="s">
        <v>648</v>
      </c>
      <c r="D972">
        <v>0.32431936322780602</v>
      </c>
      <c r="E972">
        <v>0.232650244870996</v>
      </c>
      <c r="F972">
        <v>0.43595165224712401</v>
      </c>
    </row>
    <row r="973" spans="1:6" x14ac:dyDescent="0.2">
      <c r="A973" t="s">
        <v>1805</v>
      </c>
      <c r="B973" t="s">
        <v>1771</v>
      </c>
      <c r="C973" t="s">
        <v>1772</v>
      </c>
      <c r="D973">
        <v>0.17820251500000001</v>
      </c>
      <c r="E973">
        <v>0.12271945250000001</v>
      </c>
      <c r="F973">
        <v>0.24959785499999901</v>
      </c>
    </row>
    <row r="974" spans="1:6" x14ac:dyDescent="0.2">
      <c r="A974" t="s">
        <v>1806</v>
      </c>
      <c r="B974" t="s">
        <v>1774</v>
      </c>
      <c r="C974" t="s">
        <v>648</v>
      </c>
      <c r="D974">
        <v>0.181242186476127</v>
      </c>
      <c r="E974">
        <v>0.12618365893434799</v>
      </c>
      <c r="F974">
        <v>0.25196991405892599</v>
      </c>
    </row>
    <row r="975" spans="1:6" x14ac:dyDescent="0.2">
      <c r="A975" t="s">
        <v>1807</v>
      </c>
      <c r="B975" t="s">
        <v>1776</v>
      </c>
      <c r="C975" t="s">
        <v>648</v>
      </c>
      <c r="D975">
        <v>0.22032069295430701</v>
      </c>
      <c r="E975">
        <v>0.15557036898194099</v>
      </c>
      <c r="F975">
        <v>0.29846135634055099</v>
      </c>
    </row>
    <row r="976" spans="1:6" x14ac:dyDescent="0.2">
      <c r="A976" t="s">
        <v>1808</v>
      </c>
      <c r="B976" t="s">
        <v>1778</v>
      </c>
      <c r="C976" t="s">
        <v>648</v>
      </c>
      <c r="D976">
        <v>0.29960279123152</v>
      </c>
      <c r="E976">
        <v>0.21226860050211499</v>
      </c>
      <c r="F976">
        <v>0.40440432789668201</v>
      </c>
    </row>
    <row r="977" spans="1:6" x14ac:dyDescent="0.2">
      <c r="A977" t="s">
        <v>1809</v>
      </c>
      <c r="B977" t="s">
        <v>698</v>
      </c>
      <c r="D977">
        <v>0</v>
      </c>
      <c r="E977">
        <v>0</v>
      </c>
      <c r="F977">
        <v>0</v>
      </c>
    </row>
    <row r="978" spans="1:6" x14ac:dyDescent="0.2">
      <c r="A978" t="s">
        <v>1810</v>
      </c>
      <c r="B978" t="s">
        <v>1765</v>
      </c>
      <c r="C978" t="s">
        <v>648</v>
      </c>
      <c r="D978">
        <v>0.21209058157350899</v>
      </c>
      <c r="E978">
        <v>0.150028853392704</v>
      </c>
      <c r="F978">
        <v>0.28985239361425502</v>
      </c>
    </row>
    <row r="979" spans="1:6" x14ac:dyDescent="0.2">
      <c r="A979" t="s">
        <v>1811</v>
      </c>
      <c r="B979" t="s">
        <v>1763</v>
      </c>
      <c r="C979" t="s">
        <v>648</v>
      </c>
      <c r="D979">
        <v>0.21826233601008799</v>
      </c>
      <c r="E979">
        <v>0.15424164049134001</v>
      </c>
      <c r="F979">
        <v>0.29820388178819801</v>
      </c>
    </row>
    <row r="980" spans="1:6" x14ac:dyDescent="0.2">
      <c r="A980" t="s">
        <v>1812</v>
      </c>
      <c r="B980" t="s">
        <v>1767</v>
      </c>
      <c r="C980" t="s">
        <v>648</v>
      </c>
      <c r="D980">
        <v>0.23671703579758399</v>
      </c>
      <c r="E980">
        <v>0.166940164811928</v>
      </c>
      <c r="F980">
        <v>0.31975333852198701</v>
      </c>
    </row>
    <row r="981" spans="1:6" x14ac:dyDescent="0.2">
      <c r="A981" t="s">
        <v>1813</v>
      </c>
      <c r="B981" t="s">
        <v>1769</v>
      </c>
      <c r="C981" t="s">
        <v>648</v>
      </c>
      <c r="D981">
        <v>0.32431936322780602</v>
      </c>
      <c r="E981">
        <v>0.232650244870996</v>
      </c>
      <c r="F981">
        <v>0.43595165224712401</v>
      </c>
    </row>
    <row r="982" spans="1:6" x14ac:dyDescent="0.2">
      <c r="A982" t="s">
        <v>1814</v>
      </c>
      <c r="B982" t="s">
        <v>1771</v>
      </c>
      <c r="C982" t="s">
        <v>1772</v>
      </c>
      <c r="D982">
        <v>0.17820251500000001</v>
      </c>
      <c r="E982">
        <v>0.12271945250000001</v>
      </c>
      <c r="F982">
        <v>0.24959785499999901</v>
      </c>
    </row>
    <row r="983" spans="1:6" x14ac:dyDescent="0.2">
      <c r="A983" t="s">
        <v>1815</v>
      </c>
      <c r="B983" t="s">
        <v>1774</v>
      </c>
      <c r="C983" t="s">
        <v>648</v>
      </c>
      <c r="D983">
        <v>0.181242186476127</v>
      </c>
      <c r="E983">
        <v>0.12618365893434799</v>
      </c>
      <c r="F983">
        <v>0.25196991405892599</v>
      </c>
    </row>
    <row r="984" spans="1:6" x14ac:dyDescent="0.2">
      <c r="A984" t="s">
        <v>1816</v>
      </c>
      <c r="B984" t="s">
        <v>1776</v>
      </c>
      <c r="C984" t="s">
        <v>648</v>
      </c>
      <c r="D984">
        <v>0.22032069295430701</v>
      </c>
      <c r="E984">
        <v>0.15557036898194099</v>
      </c>
      <c r="F984">
        <v>0.29846135634055099</v>
      </c>
    </row>
    <row r="985" spans="1:6" x14ac:dyDescent="0.2">
      <c r="A985" t="s">
        <v>1817</v>
      </c>
      <c r="B985" t="s">
        <v>1778</v>
      </c>
      <c r="C985" t="s">
        <v>648</v>
      </c>
      <c r="D985">
        <v>0.29960279123152</v>
      </c>
      <c r="E985">
        <v>0.21226860050211499</v>
      </c>
      <c r="F985">
        <v>0.40440432789668201</v>
      </c>
    </row>
    <row r="986" spans="1:6" x14ac:dyDescent="0.2">
      <c r="A986" t="s">
        <v>1818</v>
      </c>
      <c r="B986" t="s">
        <v>698</v>
      </c>
      <c r="D986">
        <v>0</v>
      </c>
      <c r="E986">
        <v>0</v>
      </c>
      <c r="F986">
        <v>0</v>
      </c>
    </row>
    <row r="987" spans="1:6" x14ac:dyDescent="0.2">
      <c r="A987" t="s">
        <v>1819</v>
      </c>
      <c r="B987" t="s">
        <v>745</v>
      </c>
      <c r="C987" t="s">
        <v>746</v>
      </c>
      <c r="D987">
        <v>0.32424655079999898</v>
      </c>
      <c r="E987">
        <v>0.21972131750000001</v>
      </c>
      <c r="F987">
        <v>0.44180473999999997</v>
      </c>
    </row>
    <row r="988" spans="1:6" x14ac:dyDescent="0.2">
      <c r="A988" t="s">
        <v>1820</v>
      </c>
      <c r="B988" t="s">
        <v>1821</v>
      </c>
      <c r="C988" t="s">
        <v>648</v>
      </c>
      <c r="D988">
        <v>0.32677674407324703</v>
      </c>
      <c r="E988">
        <v>0.224178963849677</v>
      </c>
      <c r="F988">
        <v>0.443155965928335</v>
      </c>
    </row>
    <row r="989" spans="1:6" x14ac:dyDescent="0.2">
      <c r="A989" t="s">
        <v>1822</v>
      </c>
      <c r="B989" t="s">
        <v>1823</v>
      </c>
      <c r="C989" t="s">
        <v>648</v>
      </c>
      <c r="D989">
        <v>0.35878747831983299</v>
      </c>
      <c r="E989">
        <v>0.25353786336492201</v>
      </c>
      <c r="F989">
        <v>0.47603275132800599</v>
      </c>
    </row>
    <row r="990" spans="1:6" x14ac:dyDescent="0.2">
      <c r="A990" t="s">
        <v>1824</v>
      </c>
      <c r="B990" t="s">
        <v>1825</v>
      </c>
      <c r="C990" t="s">
        <v>648</v>
      </c>
      <c r="D990">
        <v>0.423364416242141</v>
      </c>
      <c r="E990">
        <v>0.30173029640506099</v>
      </c>
      <c r="F990">
        <v>0.555560106201893</v>
      </c>
    </row>
    <row r="991" spans="1:6" x14ac:dyDescent="0.2">
      <c r="A991" t="s">
        <v>1826</v>
      </c>
      <c r="B991" t="s">
        <v>816</v>
      </c>
      <c r="C991" t="s">
        <v>817</v>
      </c>
      <c r="D991">
        <v>0.32480394149999903</v>
      </c>
      <c r="E991">
        <v>0.20924532499999901</v>
      </c>
      <c r="F991">
        <v>0.46216676249999999</v>
      </c>
    </row>
    <row r="992" spans="1:6" x14ac:dyDescent="0.2">
      <c r="A992" t="s">
        <v>1827</v>
      </c>
      <c r="B992" t="s">
        <v>907</v>
      </c>
      <c r="C992" t="s">
        <v>908</v>
      </c>
      <c r="D992">
        <v>1.1009249599999899E-2</v>
      </c>
      <c r="E992">
        <v>5.3773199999999997E-3</v>
      </c>
      <c r="F992">
        <v>2.08201875E-2</v>
      </c>
    </row>
    <row r="993" spans="1:6" x14ac:dyDescent="0.2">
      <c r="A993" t="s">
        <v>1828</v>
      </c>
      <c r="B993" t="s">
        <v>742</v>
      </c>
      <c r="C993" t="s">
        <v>743</v>
      </c>
      <c r="D993">
        <v>0.114339967</v>
      </c>
      <c r="E993">
        <v>7.7947084999999999E-2</v>
      </c>
      <c r="F993">
        <v>0.15867681249999999</v>
      </c>
    </row>
    <row r="994" spans="1:6" x14ac:dyDescent="0.2">
      <c r="A994" t="s">
        <v>1829</v>
      </c>
      <c r="B994" t="s">
        <v>850</v>
      </c>
      <c r="C994" t="s">
        <v>851</v>
      </c>
      <c r="D994">
        <v>3.69639789999999E-3</v>
      </c>
      <c r="E994">
        <v>1.3124725E-3</v>
      </c>
      <c r="F994">
        <v>8.1387825000000004E-3</v>
      </c>
    </row>
    <row r="995" spans="1:6" x14ac:dyDescent="0.2">
      <c r="A995" t="s">
        <v>1830</v>
      </c>
      <c r="B995" t="s">
        <v>853</v>
      </c>
      <c r="C995" t="s">
        <v>854</v>
      </c>
      <c r="D995">
        <v>5.1541961499999997E-2</v>
      </c>
      <c r="E995">
        <v>3.3847374999999999E-2</v>
      </c>
      <c r="F995">
        <v>7.5721812499999999E-2</v>
      </c>
    </row>
    <row r="996" spans="1:6" x14ac:dyDescent="0.2">
      <c r="A996" t="s">
        <v>1831</v>
      </c>
      <c r="B996" t="s">
        <v>856</v>
      </c>
      <c r="C996" t="s">
        <v>857</v>
      </c>
      <c r="D996">
        <v>0.14876615300000001</v>
      </c>
      <c r="E996">
        <v>0.10073293999999899</v>
      </c>
      <c r="F996">
        <v>0.20911520249999899</v>
      </c>
    </row>
    <row r="997" spans="1:6" x14ac:dyDescent="0.2">
      <c r="A997" t="s">
        <v>1832</v>
      </c>
      <c r="B997" t="s">
        <v>698</v>
      </c>
      <c r="D997">
        <v>0</v>
      </c>
      <c r="E997">
        <v>0</v>
      </c>
      <c r="F997">
        <v>0</v>
      </c>
    </row>
    <row r="998" spans="1:6" x14ac:dyDescent="0.2">
      <c r="A998" t="s">
        <v>1833</v>
      </c>
      <c r="B998" t="s">
        <v>1834</v>
      </c>
      <c r="C998" t="s">
        <v>648</v>
      </c>
      <c r="D998">
        <v>1.46575536844582E-2</v>
      </c>
      <c r="E998">
        <v>6.70196239348E-3</v>
      </c>
      <c r="F998">
        <v>2.8588441675068701E-2</v>
      </c>
    </row>
    <row r="999" spans="1:6" x14ac:dyDescent="0.2">
      <c r="A999" t="s">
        <v>1835</v>
      </c>
      <c r="B999" t="s">
        <v>1836</v>
      </c>
      <c r="C999" t="s">
        <v>648</v>
      </c>
      <c r="D999">
        <v>6.19509455734975E-2</v>
      </c>
      <c r="E999">
        <v>3.9713054885106298E-2</v>
      </c>
      <c r="F999">
        <v>9.2922810686573695E-2</v>
      </c>
    </row>
    <row r="1000" spans="1:6" x14ac:dyDescent="0.2">
      <c r="A1000" t="s">
        <v>1837</v>
      </c>
      <c r="B1000" t="s">
        <v>1838</v>
      </c>
      <c r="C1000" t="s">
        <v>648</v>
      </c>
      <c r="D1000">
        <v>0.158110748547652</v>
      </c>
      <c r="E1000">
        <v>0.108503234804197</v>
      </c>
      <c r="F1000">
        <v>0.21877446999102099</v>
      </c>
    </row>
    <row r="1001" spans="1:6" x14ac:dyDescent="0.2">
      <c r="A1001" t="s">
        <v>1839</v>
      </c>
      <c r="B1001" t="s">
        <v>1838</v>
      </c>
      <c r="C1001" t="s">
        <v>648</v>
      </c>
      <c r="D1001">
        <v>0.158110748547652</v>
      </c>
      <c r="E1001">
        <v>0.108503234804197</v>
      </c>
      <c r="F1001">
        <v>0.21877446999102099</v>
      </c>
    </row>
    <row r="1002" spans="1:6" x14ac:dyDescent="0.2">
      <c r="A1002" t="s">
        <v>1840</v>
      </c>
      <c r="B1002" t="s">
        <v>1841</v>
      </c>
      <c r="C1002" t="s">
        <v>648</v>
      </c>
      <c r="D1002">
        <v>0.117605201967207</v>
      </c>
      <c r="E1002">
        <v>8.0642977596328894E-2</v>
      </c>
      <c r="F1002">
        <v>0.16304752408977499</v>
      </c>
    </row>
    <row r="1003" spans="1:6" x14ac:dyDescent="0.2">
      <c r="A1003" t="s">
        <v>1842</v>
      </c>
      <c r="B1003" t="s">
        <v>1843</v>
      </c>
      <c r="C1003" t="s">
        <v>648</v>
      </c>
      <c r="D1003">
        <v>0.15980206170405001</v>
      </c>
      <c r="E1003">
        <v>0.109309689674972</v>
      </c>
      <c r="F1003">
        <v>0.21996511541165101</v>
      </c>
    </row>
    <row r="1004" spans="1:6" x14ac:dyDescent="0.2">
      <c r="A1004" t="s">
        <v>1844</v>
      </c>
      <c r="B1004" t="s">
        <v>1845</v>
      </c>
      <c r="C1004" t="s">
        <v>648</v>
      </c>
      <c r="D1004">
        <v>0.32733089261628501</v>
      </c>
      <c r="E1004">
        <v>0.21263094763676901</v>
      </c>
      <c r="F1004">
        <v>0.463338019479337</v>
      </c>
    </row>
    <row r="1005" spans="1:6" x14ac:dyDescent="0.2">
      <c r="A1005" t="s">
        <v>1846</v>
      </c>
      <c r="B1005" t="s">
        <v>1847</v>
      </c>
      <c r="C1005" t="s">
        <v>648</v>
      </c>
      <c r="D1005">
        <v>0.35929985168148099</v>
      </c>
      <c r="E1005">
        <v>0.241503933240305</v>
      </c>
      <c r="F1005">
        <v>0.49702113374523299</v>
      </c>
    </row>
    <row r="1006" spans="1:6" x14ac:dyDescent="0.2">
      <c r="A1006" t="s">
        <v>1848</v>
      </c>
      <c r="B1006" t="s">
        <v>1849</v>
      </c>
      <c r="C1006" t="s">
        <v>648</v>
      </c>
      <c r="D1006">
        <v>0.423789255076229</v>
      </c>
      <c r="E1006">
        <v>0.29276176934855302</v>
      </c>
      <c r="F1006">
        <v>0.57009686016291705</v>
      </c>
    </row>
    <row r="1007" spans="1:6" x14ac:dyDescent="0.2">
      <c r="A1007" t="s">
        <v>1850</v>
      </c>
      <c r="B1007" t="s">
        <v>745</v>
      </c>
      <c r="C1007" t="s">
        <v>746</v>
      </c>
      <c r="D1007">
        <v>0.32424655079999898</v>
      </c>
      <c r="E1007">
        <v>0.21972131750000001</v>
      </c>
      <c r="F1007">
        <v>0.44180473999999997</v>
      </c>
    </row>
    <row r="1008" spans="1:6" x14ac:dyDescent="0.2">
      <c r="A1008" t="s">
        <v>1851</v>
      </c>
      <c r="B1008" t="s">
        <v>1821</v>
      </c>
      <c r="C1008" t="s">
        <v>648</v>
      </c>
      <c r="D1008">
        <v>0.32677674407324703</v>
      </c>
      <c r="E1008">
        <v>0.224178963849677</v>
      </c>
      <c r="F1008">
        <v>0.443155965928335</v>
      </c>
    </row>
    <row r="1009" spans="1:6" x14ac:dyDescent="0.2">
      <c r="A1009" t="s">
        <v>1852</v>
      </c>
      <c r="B1009" t="s">
        <v>1823</v>
      </c>
      <c r="C1009" t="s">
        <v>648</v>
      </c>
      <c r="D1009">
        <v>0.35878747831983299</v>
      </c>
      <c r="E1009">
        <v>0.25353786336492201</v>
      </c>
      <c r="F1009">
        <v>0.47603275132800599</v>
      </c>
    </row>
    <row r="1010" spans="1:6" x14ac:dyDescent="0.2">
      <c r="A1010" t="s">
        <v>1853</v>
      </c>
      <c r="B1010" t="s">
        <v>1825</v>
      </c>
      <c r="C1010" t="s">
        <v>648</v>
      </c>
      <c r="D1010">
        <v>0.423364416242141</v>
      </c>
      <c r="E1010">
        <v>0.30173029640506099</v>
      </c>
      <c r="F1010">
        <v>0.555560106201893</v>
      </c>
    </row>
    <row r="1011" spans="1:6" x14ac:dyDescent="0.2">
      <c r="A1011" t="s">
        <v>1854</v>
      </c>
      <c r="B1011" t="s">
        <v>816</v>
      </c>
      <c r="C1011" t="s">
        <v>817</v>
      </c>
      <c r="D1011">
        <v>0.32480394149999903</v>
      </c>
      <c r="E1011">
        <v>0.20924532499999901</v>
      </c>
      <c r="F1011">
        <v>0.46216676249999999</v>
      </c>
    </row>
    <row r="1012" spans="1:6" x14ac:dyDescent="0.2">
      <c r="A1012" t="s">
        <v>1855</v>
      </c>
      <c r="B1012" t="s">
        <v>907</v>
      </c>
      <c r="C1012" t="s">
        <v>908</v>
      </c>
      <c r="D1012">
        <v>1.1009249599999899E-2</v>
      </c>
      <c r="E1012">
        <v>5.3773199999999997E-3</v>
      </c>
      <c r="F1012">
        <v>2.08201875E-2</v>
      </c>
    </row>
    <row r="1013" spans="1:6" x14ac:dyDescent="0.2">
      <c r="A1013" t="s">
        <v>1856</v>
      </c>
      <c r="B1013" t="s">
        <v>742</v>
      </c>
      <c r="C1013" t="s">
        <v>743</v>
      </c>
      <c r="D1013">
        <v>0.114339967</v>
      </c>
      <c r="E1013">
        <v>7.7947084999999999E-2</v>
      </c>
      <c r="F1013">
        <v>0.15867681249999999</v>
      </c>
    </row>
    <row r="1014" spans="1:6" x14ac:dyDescent="0.2">
      <c r="A1014" t="s">
        <v>1857</v>
      </c>
      <c r="B1014" t="s">
        <v>850</v>
      </c>
      <c r="C1014" t="s">
        <v>851</v>
      </c>
      <c r="D1014">
        <v>3.69639789999999E-3</v>
      </c>
      <c r="E1014">
        <v>1.3124725E-3</v>
      </c>
      <c r="F1014">
        <v>8.1387825000000004E-3</v>
      </c>
    </row>
    <row r="1015" spans="1:6" x14ac:dyDescent="0.2">
      <c r="A1015" t="s">
        <v>1858</v>
      </c>
      <c r="B1015" t="s">
        <v>853</v>
      </c>
      <c r="C1015" t="s">
        <v>854</v>
      </c>
      <c r="D1015">
        <v>5.1541961499999997E-2</v>
      </c>
      <c r="E1015">
        <v>3.3847374999999999E-2</v>
      </c>
      <c r="F1015">
        <v>7.5721812499999999E-2</v>
      </c>
    </row>
    <row r="1016" spans="1:6" x14ac:dyDescent="0.2">
      <c r="A1016" t="s">
        <v>1859</v>
      </c>
      <c r="B1016" t="s">
        <v>856</v>
      </c>
      <c r="C1016" t="s">
        <v>857</v>
      </c>
      <c r="D1016">
        <v>0.14876615300000001</v>
      </c>
      <c r="E1016">
        <v>0.10073293999999899</v>
      </c>
      <c r="F1016">
        <v>0.20911520249999899</v>
      </c>
    </row>
    <row r="1017" spans="1:6" x14ac:dyDescent="0.2">
      <c r="A1017" t="s">
        <v>1860</v>
      </c>
      <c r="B1017" t="s">
        <v>698</v>
      </c>
      <c r="D1017">
        <v>0</v>
      </c>
      <c r="E1017">
        <v>0</v>
      </c>
      <c r="F1017">
        <v>0</v>
      </c>
    </row>
    <row r="1018" spans="1:6" x14ac:dyDescent="0.2">
      <c r="A1018" t="s">
        <v>1861</v>
      </c>
      <c r="B1018" t="s">
        <v>1834</v>
      </c>
      <c r="C1018" t="s">
        <v>648</v>
      </c>
      <c r="D1018">
        <v>1.46575536844582E-2</v>
      </c>
      <c r="E1018">
        <v>6.70196239348E-3</v>
      </c>
      <c r="F1018">
        <v>2.8588441675068701E-2</v>
      </c>
    </row>
    <row r="1019" spans="1:6" x14ac:dyDescent="0.2">
      <c r="A1019" t="s">
        <v>1862</v>
      </c>
      <c r="B1019" t="s">
        <v>1836</v>
      </c>
      <c r="C1019" t="s">
        <v>648</v>
      </c>
      <c r="D1019">
        <v>6.19509455734975E-2</v>
      </c>
      <c r="E1019">
        <v>3.9713054885106298E-2</v>
      </c>
      <c r="F1019">
        <v>9.2922810686573695E-2</v>
      </c>
    </row>
    <row r="1020" spans="1:6" x14ac:dyDescent="0.2">
      <c r="A1020" t="s">
        <v>1863</v>
      </c>
      <c r="B1020" t="s">
        <v>1838</v>
      </c>
      <c r="C1020" t="s">
        <v>648</v>
      </c>
      <c r="D1020">
        <v>0.158110748547652</v>
      </c>
      <c r="E1020">
        <v>0.108503234804197</v>
      </c>
      <c r="F1020">
        <v>0.21877446999102099</v>
      </c>
    </row>
    <row r="1021" spans="1:6" x14ac:dyDescent="0.2">
      <c r="A1021" t="s">
        <v>1864</v>
      </c>
      <c r="B1021" t="s">
        <v>1841</v>
      </c>
      <c r="C1021" t="s">
        <v>648</v>
      </c>
      <c r="D1021">
        <v>0.117605201967207</v>
      </c>
      <c r="E1021">
        <v>8.0642977596328894E-2</v>
      </c>
      <c r="F1021">
        <v>0.16304752408977499</v>
      </c>
    </row>
    <row r="1022" spans="1:6" x14ac:dyDescent="0.2">
      <c r="A1022" t="s">
        <v>1865</v>
      </c>
      <c r="B1022" t="s">
        <v>1843</v>
      </c>
      <c r="C1022" t="s">
        <v>648</v>
      </c>
      <c r="D1022">
        <v>0.15980206170405001</v>
      </c>
      <c r="E1022">
        <v>0.109309689674972</v>
      </c>
      <c r="F1022">
        <v>0.21996511541165101</v>
      </c>
    </row>
    <row r="1023" spans="1:6" x14ac:dyDescent="0.2">
      <c r="A1023" t="s">
        <v>1866</v>
      </c>
      <c r="B1023" t="s">
        <v>1867</v>
      </c>
      <c r="C1023" t="s">
        <v>648</v>
      </c>
      <c r="D1023">
        <v>0.24555271281976501</v>
      </c>
      <c r="E1023">
        <v>0.17074115501652601</v>
      </c>
      <c r="F1023">
        <v>0.33403099847317602</v>
      </c>
    </row>
    <row r="1024" spans="1:6" x14ac:dyDescent="0.2">
      <c r="A1024" t="s">
        <v>1868</v>
      </c>
      <c r="B1024" t="s">
        <v>1845</v>
      </c>
      <c r="C1024" t="s">
        <v>648</v>
      </c>
      <c r="D1024">
        <v>0.32733089261628501</v>
      </c>
      <c r="E1024">
        <v>0.21263094763676901</v>
      </c>
      <c r="F1024">
        <v>0.463338019479337</v>
      </c>
    </row>
    <row r="1025" spans="1:6" x14ac:dyDescent="0.2">
      <c r="A1025" t="s">
        <v>1869</v>
      </c>
      <c r="B1025" t="s">
        <v>1847</v>
      </c>
      <c r="C1025" t="s">
        <v>648</v>
      </c>
      <c r="D1025">
        <v>0.35929985168148099</v>
      </c>
      <c r="E1025">
        <v>0.241503933240305</v>
      </c>
      <c r="F1025">
        <v>0.49702113374523299</v>
      </c>
    </row>
    <row r="1026" spans="1:6" x14ac:dyDescent="0.2">
      <c r="A1026" t="s">
        <v>1870</v>
      </c>
      <c r="B1026" t="s">
        <v>1849</v>
      </c>
      <c r="C1026" t="s">
        <v>648</v>
      </c>
      <c r="D1026">
        <v>0.423789255076229</v>
      </c>
      <c r="E1026">
        <v>0.29276176934855302</v>
      </c>
      <c r="F1026">
        <v>0.57009686016291705</v>
      </c>
    </row>
    <row r="1027" spans="1:6" x14ac:dyDescent="0.2">
      <c r="A1027" t="s">
        <v>1871</v>
      </c>
      <c r="B1027" t="s">
        <v>907</v>
      </c>
      <c r="C1027" t="s">
        <v>908</v>
      </c>
      <c r="D1027">
        <v>1.1009249599999899E-2</v>
      </c>
      <c r="E1027">
        <v>5.3773199999999997E-3</v>
      </c>
      <c r="F1027">
        <v>2.08201875E-2</v>
      </c>
    </row>
    <row r="1028" spans="1:6" x14ac:dyDescent="0.2">
      <c r="A1028" t="s">
        <v>1872</v>
      </c>
      <c r="B1028" t="s">
        <v>698</v>
      </c>
      <c r="D1028">
        <v>0</v>
      </c>
      <c r="E1028">
        <v>0</v>
      </c>
      <c r="F1028">
        <v>0</v>
      </c>
    </row>
    <row r="1029" spans="1:6" x14ac:dyDescent="0.2">
      <c r="A1029" t="s">
        <v>1873</v>
      </c>
      <c r="B1029" t="s">
        <v>698</v>
      </c>
      <c r="D1029">
        <v>0</v>
      </c>
      <c r="E1029">
        <v>0</v>
      </c>
      <c r="F1029">
        <v>0</v>
      </c>
    </row>
    <row r="1030" spans="1:6" x14ac:dyDescent="0.2">
      <c r="A1030" t="s">
        <v>1874</v>
      </c>
      <c r="B1030" t="s">
        <v>1875</v>
      </c>
      <c r="C1030" t="s">
        <v>1876</v>
      </c>
      <c r="D1030">
        <v>2.6373587099999901E-2</v>
      </c>
      <c r="E1030">
        <v>1.4719325E-2</v>
      </c>
      <c r="F1030">
        <v>4.1886307499999997E-2</v>
      </c>
    </row>
    <row r="1031" spans="1:6" x14ac:dyDescent="0.2">
      <c r="A1031" t="s">
        <v>1877</v>
      </c>
      <c r="B1031" t="s">
        <v>745</v>
      </c>
      <c r="C1031" t="s">
        <v>746</v>
      </c>
      <c r="D1031">
        <v>0.32424655079999898</v>
      </c>
      <c r="E1031">
        <v>0.21972131750000001</v>
      </c>
      <c r="F1031">
        <v>0.44180473999999997</v>
      </c>
    </row>
    <row r="1032" spans="1:6" x14ac:dyDescent="0.2">
      <c r="A1032" t="s">
        <v>1878</v>
      </c>
      <c r="B1032" t="s">
        <v>745</v>
      </c>
      <c r="C1032" t="s">
        <v>746</v>
      </c>
      <c r="D1032">
        <v>0.32424655079999898</v>
      </c>
      <c r="E1032">
        <v>0.21972131750000001</v>
      </c>
      <c r="F1032">
        <v>0.44180473999999997</v>
      </c>
    </row>
    <row r="1033" spans="1:6" x14ac:dyDescent="0.2">
      <c r="A1033" t="s">
        <v>1879</v>
      </c>
      <c r="B1033" t="s">
        <v>907</v>
      </c>
      <c r="C1033" t="s">
        <v>908</v>
      </c>
      <c r="D1033">
        <v>1.1009249599999899E-2</v>
      </c>
      <c r="E1033">
        <v>5.3773199999999997E-3</v>
      </c>
      <c r="F1033">
        <v>2.08201875E-2</v>
      </c>
    </row>
    <row r="1034" spans="1:6" x14ac:dyDescent="0.2">
      <c r="A1034" t="s">
        <v>1880</v>
      </c>
      <c r="B1034" t="s">
        <v>742</v>
      </c>
      <c r="C1034" t="s">
        <v>743</v>
      </c>
      <c r="D1034">
        <v>0.114339967</v>
      </c>
      <c r="E1034">
        <v>7.7947084999999999E-2</v>
      </c>
      <c r="F1034">
        <v>0.15867681249999999</v>
      </c>
    </row>
    <row r="1035" spans="1:6" x14ac:dyDescent="0.2">
      <c r="A1035" t="s">
        <v>1881</v>
      </c>
      <c r="B1035" t="s">
        <v>745</v>
      </c>
      <c r="C1035" t="s">
        <v>746</v>
      </c>
      <c r="D1035">
        <v>0.32424655079999898</v>
      </c>
      <c r="E1035">
        <v>0.21972131750000001</v>
      </c>
      <c r="F1035">
        <v>0.44180473999999997</v>
      </c>
    </row>
    <row r="1036" spans="1:6" x14ac:dyDescent="0.2">
      <c r="A1036" t="s">
        <v>1882</v>
      </c>
      <c r="B1036" t="s">
        <v>698</v>
      </c>
      <c r="D1036">
        <v>0</v>
      </c>
      <c r="E1036">
        <v>0</v>
      </c>
      <c r="F1036">
        <v>0</v>
      </c>
    </row>
    <row r="1037" spans="1:6" x14ac:dyDescent="0.2">
      <c r="A1037" t="s">
        <v>1883</v>
      </c>
      <c r="B1037" t="s">
        <v>698</v>
      </c>
      <c r="D1037">
        <v>0</v>
      </c>
      <c r="E1037">
        <v>0</v>
      </c>
      <c r="F1037">
        <v>0</v>
      </c>
    </row>
    <row r="1038" spans="1:6" x14ac:dyDescent="0.2">
      <c r="A1038" t="s">
        <v>1884</v>
      </c>
      <c r="B1038" t="s">
        <v>1885</v>
      </c>
      <c r="C1038" t="s">
        <v>648</v>
      </c>
      <c r="D1038">
        <v>0.23374869489601799</v>
      </c>
      <c r="E1038">
        <v>0.160192432649964</v>
      </c>
      <c r="F1038">
        <v>0.32220168654251902</v>
      </c>
    </row>
    <row r="1039" spans="1:6" x14ac:dyDescent="0.2">
      <c r="A1039" t="s">
        <v>1886</v>
      </c>
      <c r="B1039" t="s">
        <v>1887</v>
      </c>
      <c r="C1039" t="s">
        <v>648</v>
      </c>
      <c r="D1039">
        <v>0.27026447586200297</v>
      </c>
      <c r="E1039">
        <v>0.19047044330465501</v>
      </c>
      <c r="F1039">
        <v>0.364556352955129</v>
      </c>
    </row>
    <row r="1040" spans="1:6" x14ac:dyDescent="0.2">
      <c r="A1040" t="s">
        <v>1888</v>
      </c>
      <c r="B1040" t="s">
        <v>1889</v>
      </c>
      <c r="C1040" t="s">
        <v>648</v>
      </c>
      <c r="D1040">
        <v>0.34421857682690599</v>
      </c>
      <c r="E1040">
        <v>0.24532047756723799</v>
      </c>
      <c r="F1040">
        <v>0.46088979880925701</v>
      </c>
    </row>
    <row r="1041" spans="1:6" x14ac:dyDescent="0.2">
      <c r="A1041" t="s">
        <v>1890</v>
      </c>
      <c r="B1041" t="s">
        <v>1891</v>
      </c>
      <c r="C1041" t="s">
        <v>1892</v>
      </c>
      <c r="D1041">
        <v>0.23089387219999999</v>
      </c>
      <c r="E1041">
        <v>0.15648977749999901</v>
      </c>
      <c r="F1041">
        <v>0.319841207499999</v>
      </c>
    </row>
    <row r="1042" spans="1:6" x14ac:dyDescent="0.2">
      <c r="A1042" t="s">
        <v>1893</v>
      </c>
      <c r="B1042" t="s">
        <v>698</v>
      </c>
      <c r="D1042">
        <v>0</v>
      </c>
      <c r="E1042">
        <v>0</v>
      </c>
      <c r="F1042">
        <v>0</v>
      </c>
    </row>
    <row r="1043" spans="1:6" x14ac:dyDescent="0.2">
      <c r="A1043" t="s">
        <v>1894</v>
      </c>
      <c r="B1043" t="s">
        <v>1885</v>
      </c>
      <c r="C1043" t="s">
        <v>648</v>
      </c>
      <c r="D1043">
        <v>0.23374869489601799</v>
      </c>
      <c r="E1043">
        <v>0.160192432649964</v>
      </c>
      <c r="F1043">
        <v>0.32220168654251902</v>
      </c>
    </row>
    <row r="1044" spans="1:6" x14ac:dyDescent="0.2">
      <c r="A1044" t="s">
        <v>1895</v>
      </c>
      <c r="B1044" t="s">
        <v>1887</v>
      </c>
      <c r="C1044" t="s">
        <v>648</v>
      </c>
      <c r="D1044">
        <v>0.27026447586200297</v>
      </c>
      <c r="E1044">
        <v>0.19047044330465501</v>
      </c>
      <c r="F1044">
        <v>0.364556352955129</v>
      </c>
    </row>
    <row r="1045" spans="1:6" x14ac:dyDescent="0.2">
      <c r="A1045" t="s">
        <v>1896</v>
      </c>
      <c r="B1045" t="s">
        <v>1889</v>
      </c>
      <c r="C1045" t="s">
        <v>648</v>
      </c>
      <c r="D1045">
        <v>0.34421857682690599</v>
      </c>
      <c r="E1045">
        <v>0.24532047756723799</v>
      </c>
      <c r="F1045">
        <v>0.46088979880925701</v>
      </c>
    </row>
    <row r="1046" spans="1:6" x14ac:dyDescent="0.2">
      <c r="A1046" t="s">
        <v>1897</v>
      </c>
      <c r="B1046" t="s">
        <v>1891</v>
      </c>
      <c r="C1046" t="s">
        <v>1892</v>
      </c>
      <c r="D1046">
        <v>0.23089387219999999</v>
      </c>
      <c r="E1046">
        <v>0.15648977749999901</v>
      </c>
      <c r="F1046">
        <v>0.319841207499999</v>
      </c>
    </row>
    <row r="1047" spans="1:6" x14ac:dyDescent="0.2">
      <c r="A1047" t="s">
        <v>1898</v>
      </c>
      <c r="B1047" t="s">
        <v>745</v>
      </c>
      <c r="C1047" t="s">
        <v>746</v>
      </c>
      <c r="D1047">
        <v>0.32424655079999898</v>
      </c>
      <c r="E1047">
        <v>0.21972131750000001</v>
      </c>
      <c r="F1047">
        <v>0.44180473999999997</v>
      </c>
    </row>
    <row r="1048" spans="1:6" x14ac:dyDescent="0.2">
      <c r="A1048" t="s">
        <v>1899</v>
      </c>
      <c r="B1048" t="s">
        <v>907</v>
      </c>
      <c r="C1048" t="s">
        <v>908</v>
      </c>
      <c r="D1048">
        <v>1.1009249599999899E-2</v>
      </c>
      <c r="E1048">
        <v>5.3773199999999997E-3</v>
      </c>
      <c r="F1048">
        <v>2.08201875E-2</v>
      </c>
    </row>
    <row r="1049" spans="1:6" x14ac:dyDescent="0.2">
      <c r="A1049" t="s">
        <v>1900</v>
      </c>
      <c r="B1049" t="s">
        <v>742</v>
      </c>
      <c r="C1049" t="s">
        <v>743</v>
      </c>
      <c r="D1049">
        <v>0.114339967</v>
      </c>
      <c r="E1049">
        <v>7.7947084999999999E-2</v>
      </c>
      <c r="F1049">
        <v>0.15867681249999999</v>
      </c>
    </row>
    <row r="1050" spans="1:6" x14ac:dyDescent="0.2">
      <c r="A1050" t="s">
        <v>1901</v>
      </c>
      <c r="B1050" t="s">
        <v>745</v>
      </c>
      <c r="C1050" t="s">
        <v>746</v>
      </c>
      <c r="D1050">
        <v>0.32424655079999898</v>
      </c>
      <c r="E1050">
        <v>0.21972131750000001</v>
      </c>
      <c r="F1050">
        <v>0.44180473999999997</v>
      </c>
    </row>
    <row r="1051" spans="1:6" x14ac:dyDescent="0.2">
      <c r="A1051" t="s">
        <v>1902</v>
      </c>
      <c r="B1051" t="s">
        <v>698</v>
      </c>
      <c r="D1051">
        <v>0</v>
      </c>
      <c r="E1051">
        <v>0</v>
      </c>
      <c r="F1051">
        <v>0</v>
      </c>
    </row>
    <row r="1052" spans="1:6" x14ac:dyDescent="0.2">
      <c r="A1052" t="s">
        <v>1903</v>
      </c>
      <c r="B1052" t="s">
        <v>1904</v>
      </c>
      <c r="C1052" t="s">
        <v>648</v>
      </c>
      <c r="D1052">
        <v>0.41315467049409899</v>
      </c>
      <c r="E1052">
        <v>0.295660408323552</v>
      </c>
      <c r="F1052">
        <v>0.54146626963925204</v>
      </c>
    </row>
    <row r="1053" spans="1:6" x14ac:dyDescent="0.2">
      <c r="A1053" t="s">
        <v>1905</v>
      </c>
      <c r="B1053" t="s">
        <v>907</v>
      </c>
      <c r="C1053" t="s">
        <v>908</v>
      </c>
      <c r="D1053">
        <v>1.1009249599999899E-2</v>
      </c>
      <c r="E1053">
        <v>5.3773199999999997E-3</v>
      </c>
      <c r="F1053">
        <v>2.08201875E-2</v>
      </c>
    </row>
    <row r="1054" spans="1:6" x14ac:dyDescent="0.2">
      <c r="A1054" t="s">
        <v>1906</v>
      </c>
      <c r="B1054" t="s">
        <v>742</v>
      </c>
      <c r="C1054" t="s">
        <v>743</v>
      </c>
      <c r="D1054">
        <v>0.114339967</v>
      </c>
      <c r="E1054">
        <v>7.7947084999999999E-2</v>
      </c>
      <c r="F1054">
        <v>0.15867681249999999</v>
      </c>
    </row>
    <row r="1055" spans="1:6" x14ac:dyDescent="0.2">
      <c r="A1055" t="s">
        <v>1907</v>
      </c>
      <c r="B1055" t="s">
        <v>745</v>
      </c>
      <c r="C1055" t="s">
        <v>746</v>
      </c>
      <c r="D1055">
        <v>0.32424655079999898</v>
      </c>
      <c r="E1055">
        <v>0.21972131750000001</v>
      </c>
      <c r="F1055">
        <v>0.44180473999999997</v>
      </c>
    </row>
    <row r="1056" spans="1:6" x14ac:dyDescent="0.2">
      <c r="A1056" t="s">
        <v>1908</v>
      </c>
      <c r="B1056" t="s">
        <v>698</v>
      </c>
      <c r="D1056">
        <v>0</v>
      </c>
      <c r="E1056">
        <v>0</v>
      </c>
      <c r="F1056">
        <v>0</v>
      </c>
    </row>
    <row r="1057" spans="1:6" x14ac:dyDescent="0.2">
      <c r="A1057" t="s">
        <v>1909</v>
      </c>
      <c r="B1057" t="s">
        <v>764</v>
      </c>
    </row>
    <row r="1058" spans="1:6" x14ac:dyDescent="0.2">
      <c r="A1058" t="s">
        <v>1910</v>
      </c>
      <c r="B1058" t="s">
        <v>1911</v>
      </c>
      <c r="C1058" t="s">
        <v>1912</v>
      </c>
      <c r="D1058">
        <v>6.9140862800000105E-2</v>
      </c>
      <c r="E1058">
        <v>4.5942015000000003E-2</v>
      </c>
      <c r="F1058">
        <v>9.8852454999999895E-2</v>
      </c>
    </row>
    <row r="1059" spans="1:6" x14ac:dyDescent="0.2">
      <c r="A1059" t="s">
        <v>1913</v>
      </c>
      <c r="B1059" t="s">
        <v>1914</v>
      </c>
      <c r="C1059" t="s">
        <v>1915</v>
      </c>
      <c r="D1059">
        <v>0.376894274299999</v>
      </c>
      <c r="E1059">
        <v>0.25230419249999902</v>
      </c>
      <c r="F1059">
        <v>0.50846592999999995</v>
      </c>
    </row>
    <row r="1060" spans="1:6" x14ac:dyDescent="0.2">
      <c r="A1060" t="s">
        <v>1916</v>
      </c>
      <c r="B1060" t="s">
        <v>1917</v>
      </c>
      <c r="C1060" t="s">
        <v>1918</v>
      </c>
      <c r="D1060">
        <v>0.44857371099999999</v>
      </c>
      <c r="E1060">
        <v>0.30386179999999902</v>
      </c>
      <c r="F1060">
        <v>0.5945717425</v>
      </c>
    </row>
    <row r="1061" spans="1:6" x14ac:dyDescent="0.2">
      <c r="A1061" t="s">
        <v>1919</v>
      </c>
      <c r="B1061" t="s">
        <v>1920</v>
      </c>
      <c r="C1061" t="s">
        <v>1921</v>
      </c>
      <c r="D1061">
        <v>9.9332631000000008E-3</v>
      </c>
      <c r="E1061">
        <v>4.6514599999999996E-3</v>
      </c>
      <c r="F1061">
        <v>1.8654887499999901E-2</v>
      </c>
    </row>
    <row r="1062" spans="1:6" x14ac:dyDescent="0.2">
      <c r="A1062" t="s">
        <v>1922</v>
      </c>
      <c r="B1062" t="s">
        <v>1923</v>
      </c>
      <c r="C1062" t="s">
        <v>1924</v>
      </c>
      <c r="D1062">
        <v>0.26717850450000002</v>
      </c>
      <c r="E1062">
        <v>0.1808180375</v>
      </c>
      <c r="F1062">
        <v>0.37216054999999898</v>
      </c>
    </row>
    <row r="1063" spans="1:6" x14ac:dyDescent="0.2">
      <c r="A1063" t="s">
        <v>1925</v>
      </c>
      <c r="B1063" t="s">
        <v>1926</v>
      </c>
      <c r="C1063" t="s">
        <v>1927</v>
      </c>
      <c r="D1063">
        <v>0.5750796266</v>
      </c>
      <c r="E1063">
        <v>0.39633856749999902</v>
      </c>
      <c r="F1063">
        <v>0.72976189999999996</v>
      </c>
    </row>
    <row r="1064" spans="1:6" x14ac:dyDescent="0.2">
      <c r="A1064" t="s">
        <v>1928</v>
      </c>
      <c r="B1064" t="s">
        <v>911</v>
      </c>
      <c r="C1064" t="s">
        <v>912</v>
      </c>
      <c r="D1064">
        <v>4.9011414699999999E-2</v>
      </c>
      <c r="E1064">
        <v>3.1121342499999899E-2</v>
      </c>
      <c r="F1064">
        <v>7.2092547499999896E-2</v>
      </c>
    </row>
    <row r="1065" spans="1:6" x14ac:dyDescent="0.2">
      <c r="A1065" t="s">
        <v>1929</v>
      </c>
      <c r="B1065" t="s">
        <v>1930</v>
      </c>
      <c r="C1065" t="s">
        <v>1931</v>
      </c>
      <c r="D1065">
        <v>0.55204620309999897</v>
      </c>
      <c r="E1065">
        <v>0.37471601500000001</v>
      </c>
      <c r="F1065">
        <v>0.70989246249999904</v>
      </c>
    </row>
    <row r="1066" spans="1:6" x14ac:dyDescent="0.2">
      <c r="A1066" t="s">
        <v>1932</v>
      </c>
      <c r="B1066" t="s">
        <v>1933</v>
      </c>
      <c r="C1066" t="s">
        <v>1934</v>
      </c>
      <c r="D1066">
        <v>0.26264340330000002</v>
      </c>
      <c r="E1066">
        <v>0.17259901749999901</v>
      </c>
      <c r="F1066">
        <v>0.36716414999999902</v>
      </c>
    </row>
    <row r="1067" spans="1:6" x14ac:dyDescent="0.2">
      <c r="A1067" t="s">
        <v>1935</v>
      </c>
      <c r="B1067" t="s">
        <v>1936</v>
      </c>
      <c r="C1067" t="s">
        <v>1937</v>
      </c>
      <c r="D1067">
        <v>0.182609825</v>
      </c>
      <c r="E1067">
        <v>0.12391970499999901</v>
      </c>
      <c r="F1067">
        <v>0.25294912999999902</v>
      </c>
    </row>
    <row r="1068" spans="1:6" x14ac:dyDescent="0.2">
      <c r="A1068" t="s">
        <v>1938</v>
      </c>
      <c r="B1068" t="s">
        <v>1939</v>
      </c>
      <c r="C1068" t="s">
        <v>1940</v>
      </c>
      <c r="D1068">
        <v>0.46343990660000001</v>
      </c>
      <c r="E1068">
        <v>0.31301274499999998</v>
      </c>
      <c r="F1068">
        <v>0.61252606750000005</v>
      </c>
    </row>
    <row r="1069" spans="1:6" x14ac:dyDescent="0.2">
      <c r="A1069" t="s">
        <v>1941</v>
      </c>
      <c r="B1069" t="s">
        <v>1942</v>
      </c>
      <c r="C1069" t="s">
        <v>1943</v>
      </c>
      <c r="D1069">
        <v>0.71900591319999796</v>
      </c>
      <c r="E1069">
        <v>0.53431607749999999</v>
      </c>
      <c r="F1069">
        <v>0.85807250749999997</v>
      </c>
    </row>
    <row r="1070" spans="1:6" x14ac:dyDescent="0.2">
      <c r="A1070" t="s">
        <v>1944</v>
      </c>
      <c r="B1070" t="s">
        <v>698</v>
      </c>
      <c r="D1070">
        <v>0</v>
      </c>
      <c r="E1070">
        <v>0</v>
      </c>
      <c r="F1070">
        <v>0</v>
      </c>
    </row>
    <row r="1071" spans="1:6" x14ac:dyDescent="0.2">
      <c r="A1071" t="s">
        <v>1945</v>
      </c>
      <c r="B1071" t="s">
        <v>940</v>
      </c>
      <c r="C1071" t="s">
        <v>941</v>
      </c>
      <c r="D1071">
        <v>1.9316720799999899E-2</v>
      </c>
      <c r="E1071">
        <v>1.06353925E-2</v>
      </c>
      <c r="F1071">
        <v>3.2722879999999899E-2</v>
      </c>
    </row>
    <row r="1072" spans="1:6" x14ac:dyDescent="0.2">
      <c r="A1072" t="s">
        <v>1946</v>
      </c>
      <c r="B1072" t="s">
        <v>1005</v>
      </c>
      <c r="C1072" t="s">
        <v>1006</v>
      </c>
      <c r="D1072">
        <v>0.22517170789999999</v>
      </c>
      <c r="E1072">
        <v>0.15291988000000001</v>
      </c>
      <c r="F1072">
        <v>0.30972899249999902</v>
      </c>
    </row>
    <row r="1073" spans="1:6" x14ac:dyDescent="0.2">
      <c r="A1073" t="s">
        <v>1947</v>
      </c>
      <c r="B1073" t="s">
        <v>1008</v>
      </c>
      <c r="C1073" t="s">
        <v>1009</v>
      </c>
      <c r="D1073">
        <v>0.40785797679999902</v>
      </c>
      <c r="E1073">
        <v>0.273411367499999</v>
      </c>
      <c r="F1073">
        <v>0.55565908499999905</v>
      </c>
    </row>
    <row r="1074" spans="1:6" x14ac:dyDescent="0.2">
      <c r="A1074" t="s">
        <v>1948</v>
      </c>
      <c r="B1074" t="s">
        <v>668</v>
      </c>
      <c r="C1074" t="s">
        <v>669</v>
      </c>
      <c r="D1074">
        <v>1.24408307999999E-2</v>
      </c>
      <c r="E1074">
        <v>6.1947475000000002E-3</v>
      </c>
      <c r="F1074">
        <v>2.2708942499999999E-2</v>
      </c>
    </row>
    <row r="1075" spans="1:6" x14ac:dyDescent="0.2">
      <c r="A1075" t="s">
        <v>1949</v>
      </c>
      <c r="B1075" t="s">
        <v>1371</v>
      </c>
      <c r="C1075" t="s">
        <v>1372</v>
      </c>
      <c r="D1075">
        <v>5.1099214300000001E-2</v>
      </c>
      <c r="E1075">
        <v>3.2206930000000002E-2</v>
      </c>
      <c r="F1075">
        <v>7.8285442499999996E-2</v>
      </c>
    </row>
    <row r="1076" spans="1:6" x14ac:dyDescent="0.2">
      <c r="A1076" t="s">
        <v>1950</v>
      </c>
      <c r="B1076" t="s">
        <v>1068</v>
      </c>
      <c r="C1076" t="s">
        <v>1069</v>
      </c>
      <c r="D1076">
        <v>1.0140717400000001E-2</v>
      </c>
      <c r="E1076">
        <v>4.8555075E-3</v>
      </c>
      <c r="F1076">
        <v>1.933766E-2</v>
      </c>
    </row>
    <row r="1077" spans="1:6" x14ac:dyDescent="0.2">
      <c r="A1077" t="s">
        <v>1951</v>
      </c>
      <c r="B1077" t="s">
        <v>863</v>
      </c>
      <c r="C1077" t="s">
        <v>864</v>
      </c>
      <c r="D1077">
        <v>6.08338594999999E-2</v>
      </c>
      <c r="E1077">
        <v>3.9587362499999897E-2</v>
      </c>
      <c r="F1077">
        <v>8.9085129999999998E-2</v>
      </c>
    </row>
    <row r="1078" spans="1:6" x14ac:dyDescent="0.2">
      <c r="A1078" t="s">
        <v>1952</v>
      </c>
      <c r="B1078" t="s">
        <v>872</v>
      </c>
      <c r="C1078" t="s">
        <v>873</v>
      </c>
      <c r="D1078">
        <v>0.40161053799999902</v>
      </c>
      <c r="E1078">
        <v>0.2682705675</v>
      </c>
      <c r="F1078">
        <v>0.54533271750000001</v>
      </c>
    </row>
    <row r="1079" spans="1:6" x14ac:dyDescent="0.2">
      <c r="A1079" t="s">
        <v>1953</v>
      </c>
      <c r="B1079" t="s">
        <v>1954</v>
      </c>
      <c r="C1079" t="s">
        <v>1955</v>
      </c>
      <c r="D1079">
        <v>7.8764905625096901E-2</v>
      </c>
      <c r="E1079">
        <v>4.8663477737076397E-2</v>
      </c>
      <c r="F1079">
        <v>0.122623736954969</v>
      </c>
    </row>
    <row r="1080" spans="1:6" x14ac:dyDescent="0.2">
      <c r="A1080" t="s">
        <v>1956</v>
      </c>
      <c r="B1080" t="s">
        <v>1957</v>
      </c>
      <c r="C1080" t="s">
        <v>1955</v>
      </c>
      <c r="D1080">
        <v>0.27194667612846202</v>
      </c>
      <c r="E1080">
        <v>0.19129989923224799</v>
      </c>
      <c r="F1080">
        <v>0.36938409500894398</v>
      </c>
    </row>
    <row r="1081" spans="1:6" x14ac:dyDescent="0.2">
      <c r="A1081" t="s">
        <v>1958</v>
      </c>
      <c r="B1081" t="s">
        <v>1959</v>
      </c>
      <c r="C1081" t="s">
        <v>648</v>
      </c>
      <c r="D1081">
        <v>0.443565566341036</v>
      </c>
      <c r="E1081">
        <v>0.31093591832824402</v>
      </c>
      <c r="F1081">
        <v>0.584690698623473</v>
      </c>
    </row>
    <row r="1082" spans="1:6" x14ac:dyDescent="0.2">
      <c r="A1082" t="s">
        <v>1960</v>
      </c>
      <c r="B1082" t="s">
        <v>1961</v>
      </c>
      <c r="C1082" t="s">
        <v>648</v>
      </c>
      <c r="D1082">
        <v>0.12581925310269099</v>
      </c>
      <c r="E1082">
        <v>8.1201570872260695E-2</v>
      </c>
      <c r="F1082">
        <v>0.183475407904578</v>
      </c>
    </row>
    <row r="1083" spans="1:6" x14ac:dyDescent="0.2">
      <c r="A1083" t="s">
        <v>1962</v>
      </c>
      <c r="B1083" t="s">
        <v>1963</v>
      </c>
      <c r="C1083" t="s">
        <v>648</v>
      </c>
      <c r="D1083">
        <v>0.30884249779780698</v>
      </c>
      <c r="E1083">
        <v>0.22088137303779701</v>
      </c>
      <c r="F1083">
        <v>0.41422743134332102</v>
      </c>
    </row>
    <row r="1084" spans="1:6" x14ac:dyDescent="0.2">
      <c r="A1084" t="s">
        <v>1964</v>
      </c>
      <c r="B1084" t="s">
        <v>1965</v>
      </c>
      <c r="C1084" t="s">
        <v>648</v>
      </c>
      <c r="D1084">
        <v>0.47155621845991302</v>
      </c>
      <c r="E1084">
        <v>0.33873304421727601</v>
      </c>
      <c r="F1084">
        <v>0.611451232672099</v>
      </c>
    </row>
    <row r="1085" spans="1:6" x14ac:dyDescent="0.2">
      <c r="A1085" t="s">
        <v>1966</v>
      </c>
      <c r="B1085" t="s">
        <v>1967</v>
      </c>
      <c r="C1085" t="s">
        <v>648</v>
      </c>
      <c r="D1085">
        <v>0.44286049639654201</v>
      </c>
      <c r="E1085">
        <v>0.31577739553200301</v>
      </c>
      <c r="F1085">
        <v>0.58016539795490096</v>
      </c>
    </row>
    <row r="1086" spans="1:6" x14ac:dyDescent="0.2">
      <c r="A1086" t="s">
        <v>1968</v>
      </c>
      <c r="B1086" t="s">
        <v>1969</v>
      </c>
      <c r="C1086" t="s">
        <v>648</v>
      </c>
      <c r="D1086">
        <v>0.55714618590433096</v>
      </c>
      <c r="E1086">
        <v>0.41200130401742602</v>
      </c>
      <c r="F1086">
        <v>0.70459934072859498</v>
      </c>
    </row>
    <row r="1087" spans="1:6" x14ac:dyDescent="0.2">
      <c r="A1087" t="s">
        <v>1970</v>
      </c>
      <c r="B1087" t="s">
        <v>1971</v>
      </c>
      <c r="C1087" t="s">
        <v>648</v>
      </c>
      <c r="D1087">
        <v>0.65895709276288195</v>
      </c>
      <c r="E1087">
        <v>0.49479022890624402</v>
      </c>
      <c r="F1087">
        <v>0.80859887848198897</v>
      </c>
    </row>
    <row r="1088" spans="1:6" x14ac:dyDescent="0.2">
      <c r="A1088" t="s">
        <v>1972</v>
      </c>
      <c r="B1088" t="s">
        <v>1973</v>
      </c>
      <c r="C1088" t="s">
        <v>648</v>
      </c>
      <c r="D1088">
        <v>7.8920772921122706E-2</v>
      </c>
      <c r="E1088">
        <v>4.9995998928436501E-2</v>
      </c>
      <c r="F1088">
        <v>0.117186461819624</v>
      </c>
    </row>
    <row r="1089" spans="1:6" x14ac:dyDescent="0.2">
      <c r="A1089" t="s">
        <v>1974</v>
      </c>
      <c r="B1089" t="s">
        <v>1975</v>
      </c>
      <c r="C1089" t="s">
        <v>648</v>
      </c>
      <c r="D1089">
        <v>0.271968441488603</v>
      </c>
      <c r="E1089">
        <v>0.19027513752534</v>
      </c>
      <c r="F1089">
        <v>0.37134885916350802</v>
      </c>
    </row>
    <row r="1090" spans="1:6" x14ac:dyDescent="0.2">
      <c r="A1090" t="s">
        <v>1976</v>
      </c>
      <c r="B1090" t="s">
        <v>1977</v>
      </c>
      <c r="C1090" t="s">
        <v>648</v>
      </c>
      <c r="D1090">
        <v>0.44345423673200801</v>
      </c>
      <c r="E1090">
        <v>0.31102800615583798</v>
      </c>
      <c r="F1090">
        <v>0.58679152399257295</v>
      </c>
    </row>
    <row r="1091" spans="1:6" x14ac:dyDescent="0.2">
      <c r="A1091" t="s">
        <v>1978</v>
      </c>
      <c r="B1091" t="s">
        <v>1979</v>
      </c>
      <c r="C1091" t="s">
        <v>648</v>
      </c>
      <c r="D1091">
        <v>2.92410928701262E-2</v>
      </c>
      <c r="E1091">
        <v>1.53874362434284E-2</v>
      </c>
      <c r="F1091">
        <v>5.1386416061089797E-2</v>
      </c>
    </row>
    <row r="1092" spans="1:6" x14ac:dyDescent="0.2">
      <c r="A1092" t="s">
        <v>1980</v>
      </c>
      <c r="B1092" t="s">
        <v>1981</v>
      </c>
      <c r="C1092" t="s">
        <v>648</v>
      </c>
      <c r="D1092">
        <v>0.23302564013346899</v>
      </c>
      <c r="E1092">
        <v>0.160335862492891</v>
      </c>
      <c r="F1092">
        <v>0.32164570705807699</v>
      </c>
    </row>
    <row r="1093" spans="1:6" x14ac:dyDescent="0.2">
      <c r="A1093" t="s">
        <v>1982</v>
      </c>
      <c r="B1093" t="s">
        <v>1983</v>
      </c>
      <c r="C1093" t="s">
        <v>648</v>
      </c>
      <c r="D1093">
        <v>0.41391546225915998</v>
      </c>
      <c r="E1093">
        <v>0.28067362469891799</v>
      </c>
      <c r="F1093">
        <v>0.558853484347133</v>
      </c>
    </row>
    <row r="1094" spans="1:6" x14ac:dyDescent="0.2">
      <c r="A1094" t="s">
        <v>1984</v>
      </c>
      <c r="B1094" t="s">
        <v>1985</v>
      </c>
      <c r="C1094" t="s">
        <v>648</v>
      </c>
      <c r="D1094">
        <v>0.41318282536249301</v>
      </c>
      <c r="E1094">
        <v>0.28636253734766798</v>
      </c>
      <c r="F1094">
        <v>0.55331692552463796</v>
      </c>
    </row>
    <row r="1095" spans="1:6" x14ac:dyDescent="0.2">
      <c r="A1095" t="s">
        <v>1986</v>
      </c>
      <c r="B1095" t="s">
        <v>1987</v>
      </c>
      <c r="C1095" t="s">
        <v>648</v>
      </c>
      <c r="D1095">
        <v>0.53368160527460795</v>
      </c>
      <c r="E1095">
        <v>0.38171993619239702</v>
      </c>
      <c r="F1095">
        <v>0.68466262623824803</v>
      </c>
    </row>
    <row r="1096" spans="1:6" x14ac:dyDescent="0.2">
      <c r="A1096" t="s">
        <v>1988</v>
      </c>
      <c r="B1096" t="s">
        <v>1989</v>
      </c>
      <c r="C1096" t="s">
        <v>648</v>
      </c>
      <c r="D1096">
        <v>0.64094052015859504</v>
      </c>
      <c r="E1096">
        <v>0.46992415146824201</v>
      </c>
      <c r="F1096">
        <v>0.79570006234201396</v>
      </c>
    </row>
    <row r="1097" spans="1:6" x14ac:dyDescent="0.2">
      <c r="A1097" t="s">
        <v>1990</v>
      </c>
      <c r="B1097" t="s">
        <v>1991</v>
      </c>
      <c r="C1097" t="s">
        <v>648</v>
      </c>
      <c r="D1097">
        <v>6.0690442305248303E-2</v>
      </c>
      <c r="E1097">
        <v>3.8182753096799499E-2</v>
      </c>
      <c r="F1097">
        <v>9.3738389042959905E-2</v>
      </c>
    </row>
    <row r="1098" spans="1:6" x14ac:dyDescent="0.2">
      <c r="A1098" t="s">
        <v>1992</v>
      </c>
      <c r="B1098" t="s">
        <v>1993</v>
      </c>
      <c r="C1098" t="s">
        <v>648</v>
      </c>
      <c r="D1098">
        <v>0.108701888263253</v>
      </c>
      <c r="E1098">
        <v>7.1110276457107005E-2</v>
      </c>
      <c r="F1098">
        <v>0.15844216347568199</v>
      </c>
    </row>
    <row r="1099" spans="1:6" x14ac:dyDescent="0.2">
      <c r="A1099" t="s">
        <v>1994</v>
      </c>
      <c r="B1099" t="s">
        <v>1995</v>
      </c>
      <c r="C1099" t="s">
        <v>648</v>
      </c>
      <c r="D1099">
        <v>0.43190511844812601</v>
      </c>
      <c r="E1099">
        <v>0.30562227798424002</v>
      </c>
      <c r="F1099">
        <v>0.57203641618130796</v>
      </c>
    </row>
    <row r="1100" spans="1:6" x14ac:dyDescent="0.2">
      <c r="A1100" t="s">
        <v>1996</v>
      </c>
      <c r="B1100" t="s">
        <v>1997</v>
      </c>
      <c r="C1100" t="s">
        <v>648</v>
      </c>
      <c r="D1100">
        <v>6.9377639934992505E-2</v>
      </c>
      <c r="E1100">
        <v>4.3355807143292603E-2</v>
      </c>
      <c r="F1100">
        <v>0.105834373346083</v>
      </c>
    </row>
    <row r="1101" spans="1:6" x14ac:dyDescent="0.2">
      <c r="A1101" t="s">
        <v>1998</v>
      </c>
      <c r="B1101" t="s">
        <v>1999</v>
      </c>
      <c r="C1101" t="s">
        <v>648</v>
      </c>
      <c r="D1101">
        <v>0.26451581289243897</v>
      </c>
      <c r="E1101">
        <v>0.18446623517521199</v>
      </c>
      <c r="F1101">
        <v>0.35992395111719599</v>
      </c>
    </row>
    <row r="1102" spans="1:6" x14ac:dyDescent="0.2">
      <c r="A1102" t="s">
        <v>2000</v>
      </c>
      <c r="B1102" t="s">
        <v>2001</v>
      </c>
      <c r="C1102" t="s">
        <v>648</v>
      </c>
      <c r="D1102">
        <v>0.437833754046273</v>
      </c>
      <c r="E1102">
        <v>0.30371538651539298</v>
      </c>
      <c r="F1102">
        <v>0.58136282137177198</v>
      </c>
    </row>
    <row r="1103" spans="1:6" x14ac:dyDescent="0.2">
      <c r="A1103" t="s">
        <v>2002</v>
      </c>
      <c r="B1103" t="s">
        <v>2003</v>
      </c>
      <c r="C1103" t="s">
        <v>2004</v>
      </c>
      <c r="D1103">
        <v>0.22292573089999901</v>
      </c>
      <c r="E1103">
        <v>0.14620601999999999</v>
      </c>
      <c r="F1103">
        <v>0.31334106499999997</v>
      </c>
    </row>
    <row r="1104" spans="1:6" x14ac:dyDescent="0.2">
      <c r="A1104" t="s">
        <v>2005</v>
      </c>
      <c r="B1104" t="s">
        <v>698</v>
      </c>
      <c r="D1104">
        <v>0</v>
      </c>
      <c r="E1104">
        <v>0</v>
      </c>
      <c r="F1104">
        <v>0</v>
      </c>
    </row>
    <row r="1105" spans="1:6" x14ac:dyDescent="0.2">
      <c r="A1105" t="s">
        <v>2006</v>
      </c>
      <c r="B1105" t="s">
        <v>2007</v>
      </c>
      <c r="C1105" t="s">
        <v>2008</v>
      </c>
      <c r="D1105">
        <v>0.44054686399999998</v>
      </c>
      <c r="E1105">
        <v>0.2943653275</v>
      </c>
      <c r="F1105">
        <v>0.58753633500000002</v>
      </c>
    </row>
    <row r="1106" spans="1:6" x14ac:dyDescent="0.2">
      <c r="A1106" t="s">
        <v>2009</v>
      </c>
      <c r="B1106" t="s">
        <v>2007</v>
      </c>
      <c r="C1106" t="s">
        <v>2008</v>
      </c>
      <c r="D1106">
        <v>0.44054686399999998</v>
      </c>
      <c r="E1106">
        <v>0.2943653275</v>
      </c>
      <c r="F1106">
        <v>0.58753633500000002</v>
      </c>
    </row>
    <row r="1107" spans="1:6" x14ac:dyDescent="0.2">
      <c r="A1107" t="s">
        <v>2010</v>
      </c>
      <c r="B1107" t="s">
        <v>698</v>
      </c>
      <c r="D1107">
        <v>0</v>
      </c>
      <c r="E1107">
        <v>0</v>
      </c>
      <c r="F1107">
        <v>0</v>
      </c>
    </row>
    <row r="1108" spans="1:6" x14ac:dyDescent="0.2">
      <c r="A1108" t="s">
        <v>2011</v>
      </c>
      <c r="B1108" t="s">
        <v>698</v>
      </c>
      <c r="D1108">
        <v>0</v>
      </c>
      <c r="E1108">
        <v>0</v>
      </c>
      <c r="F1108">
        <v>0</v>
      </c>
    </row>
    <row r="1109" spans="1:6" x14ac:dyDescent="0.2">
      <c r="A1109" t="s">
        <v>2012</v>
      </c>
      <c r="B1109" t="s">
        <v>2003</v>
      </c>
      <c r="C1109" t="s">
        <v>2004</v>
      </c>
      <c r="D1109">
        <v>0.22292573089999901</v>
      </c>
      <c r="E1109">
        <v>0.14620601999999999</v>
      </c>
      <c r="F1109">
        <v>0.31334106499999997</v>
      </c>
    </row>
    <row r="1110" spans="1:6" x14ac:dyDescent="0.2">
      <c r="A1110" t="s">
        <v>2013</v>
      </c>
      <c r="B1110" t="s">
        <v>698</v>
      </c>
      <c r="D1110">
        <v>0</v>
      </c>
      <c r="E1110">
        <v>0</v>
      </c>
      <c r="F1110">
        <v>0</v>
      </c>
    </row>
    <row r="1111" spans="1:6" x14ac:dyDescent="0.2">
      <c r="A1111" t="s">
        <v>2014</v>
      </c>
      <c r="B1111" t="s">
        <v>2015</v>
      </c>
      <c r="C1111" t="s">
        <v>2016</v>
      </c>
      <c r="D1111">
        <v>3.72188569E-2</v>
      </c>
      <c r="E1111">
        <v>2.2438119999999999E-2</v>
      </c>
      <c r="F1111">
        <v>5.7201617499999899E-2</v>
      </c>
    </row>
    <row r="1112" spans="1:6" x14ac:dyDescent="0.2">
      <c r="A1112" t="s">
        <v>2017</v>
      </c>
      <c r="B1112" t="s">
        <v>2015</v>
      </c>
      <c r="C1112" t="s">
        <v>2016</v>
      </c>
      <c r="D1112">
        <v>3.72188569E-2</v>
      </c>
      <c r="E1112">
        <v>2.2438119999999999E-2</v>
      </c>
      <c r="F1112">
        <v>5.7201617499999899E-2</v>
      </c>
    </row>
    <row r="1113" spans="1:6" x14ac:dyDescent="0.2">
      <c r="A1113" t="s">
        <v>2018</v>
      </c>
      <c r="B1113" t="s">
        <v>698</v>
      </c>
      <c r="D1113">
        <v>0</v>
      </c>
      <c r="E1113">
        <v>0</v>
      </c>
      <c r="F1113">
        <v>0</v>
      </c>
    </row>
    <row r="1114" spans="1:6" x14ac:dyDescent="0.2">
      <c r="A1114" t="s">
        <v>2019</v>
      </c>
      <c r="B1114" t="s">
        <v>698</v>
      </c>
      <c r="D1114">
        <v>0</v>
      </c>
      <c r="E1114">
        <v>0</v>
      </c>
      <c r="F1114">
        <v>0</v>
      </c>
    </row>
    <row r="1115" spans="1:6" x14ac:dyDescent="0.2">
      <c r="A1115" t="s">
        <v>2020</v>
      </c>
      <c r="B1115" t="s">
        <v>772</v>
      </c>
      <c r="C1115" t="s">
        <v>773</v>
      </c>
      <c r="D1115">
        <v>0.29616484669999898</v>
      </c>
      <c r="E1115">
        <v>0.19813263</v>
      </c>
      <c r="F1115">
        <v>0.41379708999999998</v>
      </c>
    </row>
    <row r="1116" spans="1:6" x14ac:dyDescent="0.2">
      <c r="A1116" t="s">
        <v>2021</v>
      </c>
      <c r="B1116" t="s">
        <v>764</v>
      </c>
    </row>
    <row r="1117" spans="1:6" x14ac:dyDescent="0.2">
      <c r="A1117" t="s">
        <v>2022</v>
      </c>
      <c r="B1117" t="s">
        <v>2023</v>
      </c>
      <c r="C1117" t="s">
        <v>2024</v>
      </c>
      <c r="D1117">
        <v>0.77799240790000002</v>
      </c>
      <c r="E1117">
        <v>0.605936645</v>
      </c>
      <c r="F1117">
        <v>0.90049942500000002</v>
      </c>
    </row>
    <row r="1118" spans="1:6" x14ac:dyDescent="0.2">
      <c r="A1118" t="s">
        <v>2025</v>
      </c>
      <c r="B1118" t="s">
        <v>2026</v>
      </c>
      <c r="C1118" t="s">
        <v>2027</v>
      </c>
      <c r="D1118">
        <v>0.5881977008</v>
      </c>
      <c r="E1118">
        <v>0.41060369250000001</v>
      </c>
      <c r="F1118">
        <v>0.75397924499999902</v>
      </c>
    </row>
    <row r="1119" spans="1:6" x14ac:dyDescent="0.2">
      <c r="A1119" t="s">
        <v>2028</v>
      </c>
      <c r="B1119" t="s">
        <v>2029</v>
      </c>
      <c r="C1119" t="s">
        <v>2030</v>
      </c>
      <c r="D1119">
        <v>0.14543561960000001</v>
      </c>
      <c r="E1119">
        <v>9.9171132499999995E-2</v>
      </c>
      <c r="F1119">
        <v>0.20859185499999899</v>
      </c>
    </row>
    <row r="1120" spans="1:6" x14ac:dyDescent="0.2">
      <c r="A1120" t="s">
        <v>2031</v>
      </c>
      <c r="B1120" t="s">
        <v>2032</v>
      </c>
      <c r="C1120" t="s">
        <v>2033</v>
      </c>
      <c r="D1120">
        <v>0.39618702020000002</v>
      </c>
      <c r="E1120">
        <v>0.26690283999999997</v>
      </c>
      <c r="F1120">
        <v>0.53076130749999995</v>
      </c>
    </row>
    <row r="1121" spans="1:6" x14ac:dyDescent="0.2">
      <c r="A1121" t="s">
        <v>2034</v>
      </c>
      <c r="B1121" t="s">
        <v>2035</v>
      </c>
      <c r="C1121" t="s">
        <v>2036</v>
      </c>
      <c r="D1121">
        <v>0.65832883580000001</v>
      </c>
      <c r="E1121">
        <v>0.47654729999999901</v>
      </c>
      <c r="F1121">
        <v>0.80682708250000001</v>
      </c>
    </row>
    <row r="1122" spans="1:6" x14ac:dyDescent="0.2">
      <c r="A1122" t="s">
        <v>2037</v>
      </c>
      <c r="B1122" t="s">
        <v>698</v>
      </c>
      <c r="D1122">
        <v>0</v>
      </c>
      <c r="E1122">
        <v>0</v>
      </c>
      <c r="F1122">
        <v>0</v>
      </c>
    </row>
    <row r="1123" spans="1:6" x14ac:dyDescent="0.2">
      <c r="A1123" t="s">
        <v>2038</v>
      </c>
      <c r="B1123" t="s">
        <v>2029</v>
      </c>
      <c r="C1123" t="s">
        <v>2030</v>
      </c>
      <c r="D1123">
        <v>0.14543561960000001</v>
      </c>
      <c r="E1123">
        <v>9.9171132499999995E-2</v>
      </c>
      <c r="F1123">
        <v>0.20859185499999899</v>
      </c>
    </row>
    <row r="1124" spans="1:6" x14ac:dyDescent="0.2">
      <c r="A1124" t="s">
        <v>2039</v>
      </c>
      <c r="B1124" t="s">
        <v>698</v>
      </c>
      <c r="D1124">
        <v>0</v>
      </c>
      <c r="E1124">
        <v>0</v>
      </c>
      <c r="F1124">
        <v>0</v>
      </c>
    </row>
    <row r="1125" spans="1:6" x14ac:dyDescent="0.2">
      <c r="A1125" t="s">
        <v>2040</v>
      </c>
      <c r="B1125" t="s">
        <v>2032</v>
      </c>
      <c r="C1125" t="s">
        <v>2033</v>
      </c>
      <c r="D1125">
        <v>0.39618702020000002</v>
      </c>
      <c r="E1125">
        <v>0.26690283999999997</v>
      </c>
      <c r="F1125">
        <v>0.53076130749999995</v>
      </c>
    </row>
    <row r="1126" spans="1:6" x14ac:dyDescent="0.2">
      <c r="A1126" t="s">
        <v>2041</v>
      </c>
      <c r="B1126" t="s">
        <v>2042</v>
      </c>
      <c r="C1126" t="s">
        <v>2043</v>
      </c>
      <c r="D1126">
        <v>0.49235885059999901</v>
      </c>
      <c r="E1126">
        <v>0.34078473500000001</v>
      </c>
      <c r="F1126">
        <v>0.64572363499999996</v>
      </c>
    </row>
    <row r="1127" spans="1:6" x14ac:dyDescent="0.2">
      <c r="A1127" t="s">
        <v>2044</v>
      </c>
      <c r="B1127" t="s">
        <v>2045</v>
      </c>
      <c r="C1127" t="s">
        <v>2046</v>
      </c>
      <c r="D1127">
        <v>3.1955227199999998E-2</v>
      </c>
      <c r="E1127">
        <v>1.8383762500000001E-2</v>
      </c>
      <c r="F1127">
        <v>5.1269080000000002E-2</v>
      </c>
    </row>
    <row r="1128" spans="1:6" x14ac:dyDescent="0.2">
      <c r="A1128" t="s">
        <v>2047</v>
      </c>
      <c r="B1128" t="s">
        <v>2048</v>
      </c>
      <c r="C1128" t="s">
        <v>2049</v>
      </c>
      <c r="D1128">
        <v>2.9604146099999899E-2</v>
      </c>
      <c r="E1128">
        <v>1.7732627500000001E-2</v>
      </c>
      <c r="F1128">
        <v>4.6146154999999897E-2</v>
      </c>
    </row>
    <row r="1129" spans="1:6" x14ac:dyDescent="0.2">
      <c r="A1129" t="s">
        <v>2050</v>
      </c>
      <c r="B1129" t="s">
        <v>2051</v>
      </c>
      <c r="C1129" t="s">
        <v>2052</v>
      </c>
      <c r="D1129">
        <v>0.133407369</v>
      </c>
      <c r="E1129">
        <v>9.0866207500000004E-2</v>
      </c>
      <c r="F1129">
        <v>0.18649768</v>
      </c>
    </row>
    <row r="1130" spans="1:6" x14ac:dyDescent="0.2">
      <c r="A1130" t="s">
        <v>2053</v>
      </c>
      <c r="B1130" t="s">
        <v>2054</v>
      </c>
      <c r="C1130" t="s">
        <v>2055</v>
      </c>
      <c r="D1130">
        <v>0.52330540149999905</v>
      </c>
      <c r="E1130">
        <v>0.36166202999999902</v>
      </c>
      <c r="F1130">
        <v>0.67660477750000003</v>
      </c>
    </row>
    <row r="1131" spans="1:6" x14ac:dyDescent="0.2">
      <c r="A1131" t="s">
        <v>2056</v>
      </c>
      <c r="B1131" t="s">
        <v>698</v>
      </c>
      <c r="D1131">
        <v>0</v>
      </c>
      <c r="E1131">
        <v>0</v>
      </c>
      <c r="F1131">
        <v>0</v>
      </c>
    </row>
    <row r="1132" spans="1:6" x14ac:dyDescent="0.2">
      <c r="A1132" t="s">
        <v>2057</v>
      </c>
      <c r="B1132" t="s">
        <v>2057</v>
      </c>
      <c r="C1132" t="s">
        <v>2058</v>
      </c>
      <c r="D1132">
        <v>0.224482824</v>
      </c>
      <c r="E1132">
        <v>0.14994429249999999</v>
      </c>
      <c r="F1132">
        <v>0.312258499999999</v>
      </c>
    </row>
    <row r="1133" spans="1:6" x14ac:dyDescent="0.2">
      <c r="A1133" t="s">
        <v>2059</v>
      </c>
      <c r="B1133" t="s">
        <v>2060</v>
      </c>
      <c r="C1133" t="s">
        <v>2061</v>
      </c>
      <c r="D1133">
        <v>0.22314699590000001</v>
      </c>
      <c r="E1133">
        <v>0.149430375</v>
      </c>
      <c r="F1133">
        <v>0.310534854999999</v>
      </c>
    </row>
    <row r="1134" spans="1:6" x14ac:dyDescent="0.2">
      <c r="A1134" t="s">
        <v>2062</v>
      </c>
      <c r="B1134" t="s">
        <v>2063</v>
      </c>
      <c r="C1134" t="s">
        <v>648</v>
      </c>
      <c r="D1134">
        <v>0.16935979797799999</v>
      </c>
      <c r="E1134">
        <v>0.114169075425</v>
      </c>
      <c r="F1134">
        <v>0.23570939590000001</v>
      </c>
    </row>
    <row r="1135" spans="1:6" x14ac:dyDescent="0.2">
      <c r="A1135" t="s">
        <v>2064</v>
      </c>
      <c r="B1135" t="s">
        <v>2065</v>
      </c>
      <c r="C1135" t="s">
        <v>648</v>
      </c>
      <c r="D1135">
        <v>0.17832859034199999</v>
      </c>
      <c r="E1135">
        <v>0.12288279552499901</v>
      </c>
      <c r="F1135">
        <v>0.24382341094999899</v>
      </c>
    </row>
    <row r="1136" spans="1:6" x14ac:dyDescent="0.2">
      <c r="A1136" t="s">
        <v>2066</v>
      </c>
      <c r="B1136" t="s">
        <v>2067</v>
      </c>
      <c r="C1136" t="s">
        <v>648</v>
      </c>
      <c r="D1136">
        <v>0.20471894650299999</v>
      </c>
      <c r="E1136">
        <v>0.1488211783</v>
      </c>
      <c r="F1136">
        <v>0.27270425129999998</v>
      </c>
    </row>
    <row r="1137" spans="1:6" x14ac:dyDescent="0.2">
      <c r="A1137" t="s">
        <v>2068</v>
      </c>
      <c r="B1137" t="s">
        <v>2069</v>
      </c>
      <c r="C1137" t="s">
        <v>648</v>
      </c>
      <c r="D1137">
        <v>0.25248056363299998</v>
      </c>
      <c r="E1137">
        <v>0.1922669316</v>
      </c>
      <c r="F1137">
        <v>0.31819930497499999</v>
      </c>
    </row>
    <row r="1138" spans="1:6" x14ac:dyDescent="0.2">
      <c r="A1138" t="s">
        <v>2070</v>
      </c>
      <c r="B1138" t="s">
        <v>2071</v>
      </c>
      <c r="C1138" t="s">
        <v>648</v>
      </c>
      <c r="D1138">
        <v>0.30236362657400001</v>
      </c>
      <c r="E1138">
        <v>0.23625076505000001</v>
      </c>
      <c r="F1138">
        <v>0.37285292287499999</v>
      </c>
    </row>
    <row r="1139" spans="1:6" x14ac:dyDescent="0.2">
      <c r="A1139" t="s">
        <v>2072</v>
      </c>
      <c r="B1139" t="s">
        <v>2073</v>
      </c>
      <c r="C1139" t="s">
        <v>648</v>
      </c>
      <c r="D1139">
        <v>0.33579150422699899</v>
      </c>
      <c r="E1139">
        <v>0.2613388445</v>
      </c>
      <c r="F1139">
        <v>0.41821067049999899</v>
      </c>
    </row>
    <row r="1140" spans="1:6" x14ac:dyDescent="0.2">
      <c r="A1140" t="s">
        <v>2074</v>
      </c>
      <c r="B1140" t="s">
        <v>1034</v>
      </c>
      <c r="C1140" t="s">
        <v>1035</v>
      </c>
      <c r="D1140">
        <v>4.4530398599999903E-2</v>
      </c>
      <c r="E1140">
        <v>2.7943497500000001E-2</v>
      </c>
      <c r="F1140">
        <v>6.5829780000000004E-2</v>
      </c>
    </row>
    <row r="1141" spans="1:6" x14ac:dyDescent="0.2">
      <c r="A1141" t="s">
        <v>2075</v>
      </c>
      <c r="B1141" t="s">
        <v>2076</v>
      </c>
      <c r="C1141" t="s">
        <v>2077</v>
      </c>
      <c r="D1141">
        <v>0.24102504289999899</v>
      </c>
      <c r="E1141">
        <v>0.1593268525</v>
      </c>
      <c r="F1141">
        <v>0.34128755999999999</v>
      </c>
    </row>
    <row r="1142" spans="1:6" x14ac:dyDescent="0.2">
      <c r="A1142" t="s">
        <v>2078</v>
      </c>
      <c r="B1142" t="s">
        <v>698</v>
      </c>
      <c r="D1142">
        <v>0</v>
      </c>
      <c r="E1142">
        <v>0</v>
      </c>
      <c r="F1142">
        <v>0</v>
      </c>
    </row>
    <row r="1143" spans="1:6" x14ac:dyDescent="0.2">
      <c r="A1143" t="s">
        <v>2079</v>
      </c>
      <c r="B1143" t="s">
        <v>1037</v>
      </c>
      <c r="C1143" t="s">
        <v>1038</v>
      </c>
      <c r="D1143">
        <v>1.0793008600000001E-2</v>
      </c>
      <c r="E1143">
        <v>5.1901200000000003E-3</v>
      </c>
      <c r="F1143">
        <v>2.02353999999999E-2</v>
      </c>
    </row>
    <row r="1144" spans="1:6" x14ac:dyDescent="0.2">
      <c r="A1144" t="s">
        <v>2080</v>
      </c>
      <c r="B1144" t="s">
        <v>1040</v>
      </c>
      <c r="C1144" t="s">
        <v>1041</v>
      </c>
      <c r="D1144">
        <v>4.25405801999999E-2</v>
      </c>
      <c r="E1144">
        <v>2.5978245000000001E-2</v>
      </c>
      <c r="F1144">
        <v>6.4453929999999895E-2</v>
      </c>
    </row>
    <row r="1145" spans="1:6" x14ac:dyDescent="0.2">
      <c r="A1145" t="s">
        <v>2081</v>
      </c>
      <c r="B1145" t="s">
        <v>2082</v>
      </c>
      <c r="C1145" t="s">
        <v>2083</v>
      </c>
      <c r="D1145">
        <v>0.100020868199999</v>
      </c>
      <c r="E1145">
        <v>6.6049517500000002E-2</v>
      </c>
      <c r="F1145">
        <v>0.14174874749999999</v>
      </c>
    </row>
    <row r="1146" spans="1:6" x14ac:dyDescent="0.2">
      <c r="A1146" t="s">
        <v>2084</v>
      </c>
      <c r="B1146" t="s">
        <v>2085</v>
      </c>
      <c r="C1146" t="s">
        <v>2086</v>
      </c>
      <c r="D1146">
        <v>0.1600574337</v>
      </c>
      <c r="E1146">
        <v>0.107062184999999</v>
      </c>
      <c r="F1146">
        <v>0.226226345</v>
      </c>
    </row>
    <row r="1147" spans="1:6" x14ac:dyDescent="0.2">
      <c r="A1147" t="s">
        <v>2087</v>
      </c>
      <c r="B1147" t="s">
        <v>2088</v>
      </c>
      <c r="C1147" t="s">
        <v>2089</v>
      </c>
      <c r="D1147">
        <v>0.20030707170000001</v>
      </c>
      <c r="E1147">
        <v>0.13325701249999999</v>
      </c>
      <c r="F1147">
        <v>0.28252101499999999</v>
      </c>
    </row>
    <row r="1148" spans="1:6" x14ac:dyDescent="0.2">
      <c r="A1148" t="s">
        <v>2090</v>
      </c>
      <c r="B1148" t="s">
        <v>2048</v>
      </c>
      <c r="C1148" t="s">
        <v>2049</v>
      </c>
      <c r="D1148">
        <v>2.9604146099999899E-2</v>
      </c>
      <c r="E1148">
        <v>1.7732627500000001E-2</v>
      </c>
      <c r="F1148">
        <v>4.6146154999999897E-2</v>
      </c>
    </row>
    <row r="1149" spans="1:6" x14ac:dyDescent="0.2">
      <c r="A1149" t="s">
        <v>2091</v>
      </c>
      <c r="B1149" t="s">
        <v>2051</v>
      </c>
      <c r="C1149" t="s">
        <v>2052</v>
      </c>
      <c r="D1149">
        <v>0.133407369</v>
      </c>
      <c r="E1149">
        <v>9.0866207500000004E-2</v>
      </c>
      <c r="F1149">
        <v>0.18649768</v>
      </c>
    </row>
    <row r="1150" spans="1:6" x14ac:dyDescent="0.2">
      <c r="A1150" t="s">
        <v>2092</v>
      </c>
      <c r="B1150" t="s">
        <v>2054</v>
      </c>
      <c r="C1150" t="s">
        <v>2055</v>
      </c>
      <c r="D1150">
        <v>0.52330540149999905</v>
      </c>
      <c r="E1150">
        <v>0.36166202999999902</v>
      </c>
      <c r="F1150">
        <v>0.67660477750000003</v>
      </c>
    </row>
    <row r="1151" spans="1:6" x14ac:dyDescent="0.2">
      <c r="A1151" t="s">
        <v>2093</v>
      </c>
      <c r="B1151" t="s">
        <v>698</v>
      </c>
      <c r="D1151">
        <v>0</v>
      </c>
      <c r="E1151">
        <v>0</v>
      </c>
      <c r="F1151">
        <v>0</v>
      </c>
    </row>
    <row r="1152" spans="1:6" x14ac:dyDescent="0.2">
      <c r="A1152" t="s">
        <v>2094</v>
      </c>
      <c r="B1152" t="s">
        <v>2095</v>
      </c>
      <c r="C1152" t="s">
        <v>2096</v>
      </c>
      <c r="D1152">
        <v>0.235253593899999</v>
      </c>
      <c r="E1152">
        <v>0.15983442</v>
      </c>
      <c r="F1152">
        <v>0.32683558499999898</v>
      </c>
    </row>
    <row r="1153" spans="1:6" x14ac:dyDescent="0.2">
      <c r="A1153" t="s">
        <v>2097</v>
      </c>
      <c r="B1153" t="s">
        <v>2098</v>
      </c>
      <c r="C1153" t="s">
        <v>2099</v>
      </c>
      <c r="D1153">
        <v>0.37324475629999898</v>
      </c>
      <c r="E1153">
        <v>0.248045632499999</v>
      </c>
      <c r="F1153">
        <v>0.50766485750000001</v>
      </c>
    </row>
    <row r="1154" spans="1:6" x14ac:dyDescent="0.2">
      <c r="A1154" t="s">
        <v>2100</v>
      </c>
      <c r="B1154" t="s">
        <v>2101</v>
      </c>
      <c r="C1154" t="s">
        <v>2102</v>
      </c>
      <c r="D1154">
        <v>0.56959743860000001</v>
      </c>
      <c r="E1154">
        <v>0.39613207249999999</v>
      </c>
      <c r="F1154">
        <v>0.73184663749999901</v>
      </c>
    </row>
    <row r="1155" spans="1:6" x14ac:dyDescent="0.2">
      <c r="A1155" t="s">
        <v>2103</v>
      </c>
      <c r="B1155" t="s">
        <v>2104</v>
      </c>
      <c r="C1155" t="s">
        <v>2105</v>
      </c>
      <c r="D1155">
        <v>0.1227645383</v>
      </c>
      <c r="E1155">
        <v>8.1806547499999993E-2</v>
      </c>
      <c r="F1155">
        <v>0.17669150249999899</v>
      </c>
    </row>
    <row r="1156" spans="1:6" x14ac:dyDescent="0.2">
      <c r="A1156" t="s">
        <v>2106</v>
      </c>
      <c r="B1156" t="s">
        <v>698</v>
      </c>
      <c r="D1156">
        <v>0</v>
      </c>
      <c r="E1156">
        <v>0</v>
      </c>
      <c r="F1156">
        <v>0</v>
      </c>
    </row>
    <row r="1157" spans="1:6" x14ac:dyDescent="0.2">
      <c r="A1157" t="s">
        <v>2107</v>
      </c>
      <c r="B1157" t="s">
        <v>2108</v>
      </c>
      <c r="C1157" t="s">
        <v>2109</v>
      </c>
      <c r="D1157">
        <v>1.64155471E-2</v>
      </c>
      <c r="E1157">
        <v>8.0423799999999896E-3</v>
      </c>
      <c r="F1157">
        <v>2.99662949999999E-2</v>
      </c>
    </row>
    <row r="1158" spans="1:6" x14ac:dyDescent="0.2">
      <c r="A1158" t="s">
        <v>2110</v>
      </c>
      <c r="B1158" t="s">
        <v>2111</v>
      </c>
      <c r="C1158" t="s">
        <v>2112</v>
      </c>
      <c r="D1158">
        <v>5.5872141799999997E-2</v>
      </c>
      <c r="E1158">
        <v>3.4760212499999998E-2</v>
      </c>
      <c r="F1158">
        <v>8.2734647499999994E-2</v>
      </c>
    </row>
    <row r="1159" spans="1:6" x14ac:dyDescent="0.2">
      <c r="A1159" t="s">
        <v>2113</v>
      </c>
      <c r="B1159" t="s">
        <v>2114</v>
      </c>
      <c r="C1159" t="s">
        <v>2115</v>
      </c>
      <c r="D1159">
        <v>0.17948823180000001</v>
      </c>
      <c r="E1159">
        <v>0.11907042249999999</v>
      </c>
      <c r="F1159">
        <v>0.25674984249999999</v>
      </c>
    </row>
    <row r="1160" spans="1:6" x14ac:dyDescent="0.2">
      <c r="A1160" t="s">
        <v>2116</v>
      </c>
      <c r="B1160" t="s">
        <v>698</v>
      </c>
      <c r="D1160">
        <v>0</v>
      </c>
      <c r="E1160">
        <v>0</v>
      </c>
      <c r="F1160">
        <v>0</v>
      </c>
    </row>
    <row r="1161" spans="1:6" x14ac:dyDescent="0.2">
      <c r="A1161" t="s">
        <v>2117</v>
      </c>
      <c r="B1161" t="s">
        <v>2118</v>
      </c>
      <c r="C1161" t="s">
        <v>2119</v>
      </c>
      <c r="D1161">
        <v>0.69660364070000003</v>
      </c>
      <c r="E1161">
        <v>0.51001048500000001</v>
      </c>
      <c r="F1161">
        <v>0.84262508249999901</v>
      </c>
    </row>
    <row r="1162" spans="1:6" x14ac:dyDescent="0.2">
      <c r="A1162" t="s">
        <v>2120</v>
      </c>
      <c r="B1162" t="s">
        <v>2121</v>
      </c>
      <c r="C1162" t="s">
        <v>2122</v>
      </c>
      <c r="D1162">
        <v>0.335195931</v>
      </c>
      <c r="E1162">
        <v>0.22085679750000001</v>
      </c>
      <c r="F1162">
        <v>0.47250209250000003</v>
      </c>
    </row>
    <row r="1163" spans="1:6" x14ac:dyDescent="0.2">
      <c r="A1163" t="s">
        <v>2123</v>
      </c>
      <c r="B1163" t="s">
        <v>698</v>
      </c>
      <c r="D1163">
        <v>0</v>
      </c>
      <c r="E1163">
        <v>0</v>
      </c>
      <c r="F1163">
        <v>0</v>
      </c>
    </row>
    <row r="1164" spans="1:6" x14ac:dyDescent="0.2">
      <c r="A1164" t="s">
        <v>2124</v>
      </c>
      <c r="B1164" t="s">
        <v>698</v>
      </c>
      <c r="D1164">
        <v>0</v>
      </c>
      <c r="E1164">
        <v>0</v>
      </c>
      <c r="F1164">
        <v>0</v>
      </c>
    </row>
    <row r="1165" spans="1:6" x14ac:dyDescent="0.2">
      <c r="A1165" t="s">
        <v>2125</v>
      </c>
      <c r="B1165" t="s">
        <v>2126</v>
      </c>
      <c r="C1165" t="s">
        <v>2127</v>
      </c>
      <c r="D1165">
        <v>0.115560333699999</v>
      </c>
      <c r="E1165">
        <v>7.4309297499999996E-2</v>
      </c>
      <c r="F1165">
        <v>0.1651052925</v>
      </c>
    </row>
    <row r="1166" spans="1:6" x14ac:dyDescent="0.2">
      <c r="A1166" t="s">
        <v>2128</v>
      </c>
      <c r="B1166" t="s">
        <v>2129</v>
      </c>
      <c r="C1166" t="s">
        <v>2130</v>
      </c>
      <c r="D1166">
        <v>0.47857863779999998</v>
      </c>
      <c r="E1166">
        <v>0.324012972499999</v>
      </c>
      <c r="F1166">
        <v>0.63425974249999995</v>
      </c>
    </row>
    <row r="1167" spans="1:6" x14ac:dyDescent="0.2">
      <c r="A1167" t="s">
        <v>2131</v>
      </c>
      <c r="B1167" t="s">
        <v>2132</v>
      </c>
      <c r="C1167" t="s">
        <v>648</v>
      </c>
      <c r="D1167">
        <v>0.50389347888267</v>
      </c>
      <c r="E1167">
        <v>0.35241957955474601</v>
      </c>
      <c r="F1167">
        <v>0.65394398539743503</v>
      </c>
    </row>
    <row r="1168" spans="1:6" x14ac:dyDescent="0.2">
      <c r="A1168" t="s">
        <v>2133</v>
      </c>
      <c r="B1168" t="s">
        <v>2134</v>
      </c>
      <c r="C1168" t="s">
        <v>648</v>
      </c>
      <c r="D1168">
        <v>0.50003326024981598</v>
      </c>
      <c r="E1168">
        <v>0.34892864747461</v>
      </c>
      <c r="F1168">
        <v>0.650785789358443</v>
      </c>
    </row>
    <row r="1169" spans="1:6" x14ac:dyDescent="0.2">
      <c r="A1169" t="s">
        <v>2135</v>
      </c>
      <c r="B1169" t="s">
        <v>2136</v>
      </c>
      <c r="C1169" t="s">
        <v>648</v>
      </c>
      <c r="D1169">
        <v>0.51537608865186402</v>
      </c>
      <c r="E1169">
        <v>0.360375728432689</v>
      </c>
      <c r="F1169">
        <v>0.66605029241597402</v>
      </c>
    </row>
    <row r="1170" spans="1:6" x14ac:dyDescent="0.2">
      <c r="A1170" t="s">
        <v>2137</v>
      </c>
      <c r="B1170" t="s">
        <v>2138</v>
      </c>
      <c r="C1170" t="s">
        <v>648</v>
      </c>
      <c r="D1170">
        <v>0.56971087381295005</v>
      </c>
      <c r="E1170">
        <v>0.40888552013691998</v>
      </c>
      <c r="F1170">
        <v>0.72475205967554002</v>
      </c>
    </row>
    <row r="1171" spans="1:6" x14ac:dyDescent="0.2">
      <c r="A1171" t="s">
        <v>2139</v>
      </c>
      <c r="B1171" t="s">
        <v>698</v>
      </c>
      <c r="D1171">
        <v>0</v>
      </c>
      <c r="E1171">
        <v>0</v>
      </c>
      <c r="F1171">
        <v>0</v>
      </c>
    </row>
    <row r="1172" spans="1:6" x14ac:dyDescent="0.2">
      <c r="A1172" t="s">
        <v>2140</v>
      </c>
      <c r="B1172" t="s">
        <v>2141</v>
      </c>
      <c r="C1172" t="s">
        <v>2142</v>
      </c>
      <c r="D1172">
        <v>7.9094906100000001E-2</v>
      </c>
      <c r="E1172">
        <v>5.0974557499999899E-2</v>
      </c>
      <c r="F1172">
        <v>0.11400856249999999</v>
      </c>
    </row>
    <row r="1173" spans="1:6" x14ac:dyDescent="0.2">
      <c r="A1173" t="s">
        <v>2143</v>
      </c>
      <c r="B1173" t="s">
        <v>2144</v>
      </c>
      <c r="C1173" t="s">
        <v>2145</v>
      </c>
      <c r="D1173">
        <v>0.48591381219999902</v>
      </c>
      <c r="E1173">
        <v>0.32875915999999999</v>
      </c>
      <c r="F1173">
        <v>0.63711295499999898</v>
      </c>
    </row>
    <row r="1174" spans="1:6" x14ac:dyDescent="0.2">
      <c r="A1174" t="s">
        <v>2146</v>
      </c>
      <c r="B1174" t="s">
        <v>2147</v>
      </c>
      <c r="C1174" t="s">
        <v>648</v>
      </c>
      <c r="D1174">
        <v>0.51087625374289802</v>
      </c>
      <c r="E1174">
        <v>0.35907575473590098</v>
      </c>
      <c r="F1174">
        <v>0.65892244157035296</v>
      </c>
    </row>
    <row r="1175" spans="1:6" x14ac:dyDescent="0.2">
      <c r="A1175" t="s">
        <v>2148</v>
      </c>
      <c r="B1175" t="s">
        <v>2149</v>
      </c>
      <c r="C1175" t="s">
        <v>648</v>
      </c>
      <c r="D1175">
        <v>0.50707150842761295</v>
      </c>
      <c r="E1175">
        <v>0.35310026081639501</v>
      </c>
      <c r="F1175">
        <v>0.65477331575230602</v>
      </c>
    </row>
    <row r="1176" spans="1:6" x14ac:dyDescent="0.2">
      <c r="A1176" t="s">
        <v>2150</v>
      </c>
      <c r="B1176" t="s">
        <v>2151</v>
      </c>
      <c r="C1176" t="s">
        <v>648</v>
      </c>
      <c r="D1176">
        <v>0.52219657545890696</v>
      </c>
      <c r="E1176">
        <v>0.36774520807276301</v>
      </c>
      <c r="F1176">
        <v>0.67190204220611205</v>
      </c>
    </row>
    <row r="1177" spans="1:6" x14ac:dyDescent="0.2">
      <c r="A1177" t="s">
        <v>2152</v>
      </c>
      <c r="B1177" t="s">
        <v>2153</v>
      </c>
      <c r="C1177" t="s">
        <v>648</v>
      </c>
      <c r="D1177">
        <v>0.57570968299748004</v>
      </c>
      <c r="E1177">
        <v>0.41403524542509901</v>
      </c>
      <c r="F1177">
        <v>0.72764278986020203</v>
      </c>
    </row>
    <row r="1178" spans="1:6" x14ac:dyDescent="0.2">
      <c r="A1178" t="s">
        <v>2154</v>
      </c>
      <c r="B1178" t="s">
        <v>698</v>
      </c>
      <c r="D1178">
        <v>0</v>
      </c>
      <c r="E1178">
        <v>0</v>
      </c>
      <c r="F1178">
        <v>0</v>
      </c>
    </row>
    <row r="1179" spans="1:6" x14ac:dyDescent="0.2">
      <c r="A1179" t="s">
        <v>2155</v>
      </c>
      <c r="B1179" t="s">
        <v>2156</v>
      </c>
      <c r="C1179" t="s">
        <v>2157</v>
      </c>
      <c r="D1179">
        <v>3.9420269399999999E-2</v>
      </c>
      <c r="E1179">
        <v>2.4111272499999999E-2</v>
      </c>
      <c r="F1179">
        <v>6.0107802499999897E-2</v>
      </c>
    </row>
    <row r="1180" spans="1:6" x14ac:dyDescent="0.2">
      <c r="A1180" t="s">
        <v>2158</v>
      </c>
      <c r="B1180" t="s">
        <v>2159</v>
      </c>
      <c r="C1180" t="s">
        <v>2160</v>
      </c>
      <c r="D1180">
        <v>0.26558312319999899</v>
      </c>
      <c r="E1180">
        <v>0.17768536499999901</v>
      </c>
      <c r="F1180">
        <v>0.36350294</v>
      </c>
    </row>
    <row r="1181" spans="1:6" x14ac:dyDescent="0.2">
      <c r="A1181" t="s">
        <v>2161</v>
      </c>
      <c r="B1181" t="s">
        <v>2126</v>
      </c>
      <c r="C1181" t="s">
        <v>2127</v>
      </c>
      <c r="D1181">
        <v>0.115560333699999</v>
      </c>
      <c r="E1181">
        <v>7.4309297499999996E-2</v>
      </c>
      <c r="F1181">
        <v>0.1651052925</v>
      </c>
    </row>
    <row r="1182" spans="1:6" x14ac:dyDescent="0.2">
      <c r="A1182" t="s">
        <v>2162</v>
      </c>
      <c r="B1182" t="s">
        <v>911</v>
      </c>
      <c r="C1182" t="s">
        <v>912</v>
      </c>
      <c r="D1182">
        <v>4.9011414699999999E-2</v>
      </c>
      <c r="E1182">
        <v>3.1121342499999899E-2</v>
      </c>
      <c r="F1182">
        <v>7.2092547499999896E-2</v>
      </c>
    </row>
    <row r="1183" spans="1:6" x14ac:dyDescent="0.2">
      <c r="A1183" t="s">
        <v>2163</v>
      </c>
      <c r="B1183" t="s">
        <v>959</v>
      </c>
      <c r="C1183" t="s">
        <v>960</v>
      </c>
      <c r="D1183">
        <v>3.0842126399999899E-2</v>
      </c>
      <c r="E1183">
        <v>1.8822002500000001E-2</v>
      </c>
      <c r="F1183">
        <v>4.8710372499999897E-2</v>
      </c>
    </row>
    <row r="1184" spans="1:6" x14ac:dyDescent="0.2">
      <c r="A1184" t="s">
        <v>2164</v>
      </c>
      <c r="B1184" t="s">
        <v>962</v>
      </c>
      <c r="C1184" t="s">
        <v>963</v>
      </c>
      <c r="D1184">
        <v>0.18404848779999999</v>
      </c>
      <c r="E1184">
        <v>0.1251250575</v>
      </c>
      <c r="F1184">
        <v>0.25828618249999902</v>
      </c>
    </row>
    <row r="1185" spans="1:6" x14ac:dyDescent="0.2">
      <c r="A1185" t="s">
        <v>2165</v>
      </c>
      <c r="B1185" t="s">
        <v>965</v>
      </c>
      <c r="C1185" t="s">
        <v>966</v>
      </c>
      <c r="D1185">
        <v>0.18736458340000001</v>
      </c>
      <c r="E1185">
        <v>0.1244286775</v>
      </c>
      <c r="F1185">
        <v>0.26021716249999999</v>
      </c>
    </row>
    <row r="1186" spans="1:6" x14ac:dyDescent="0.2">
      <c r="A1186" t="s">
        <v>2166</v>
      </c>
      <c r="B1186" t="s">
        <v>2167</v>
      </c>
      <c r="C1186" t="s">
        <v>2168</v>
      </c>
      <c r="D1186">
        <v>0.13318999149999899</v>
      </c>
      <c r="E1186">
        <v>8.8895202500000006E-2</v>
      </c>
      <c r="F1186">
        <v>0.18694128499999901</v>
      </c>
    </row>
    <row r="1187" spans="1:6" x14ac:dyDescent="0.2">
      <c r="A1187" t="s">
        <v>2169</v>
      </c>
      <c r="B1187" t="s">
        <v>2170</v>
      </c>
      <c r="D1187">
        <v>0.15013214478106501</v>
      </c>
      <c r="E1187">
        <v>0.102540099134474</v>
      </c>
      <c r="F1187">
        <v>0.20775159017882699</v>
      </c>
    </row>
    <row r="1188" spans="1:6" x14ac:dyDescent="0.2">
      <c r="A1188" t="s">
        <v>2171</v>
      </c>
      <c r="B1188" t="s">
        <v>2172</v>
      </c>
      <c r="D1188">
        <v>0.16681063671504701</v>
      </c>
      <c r="E1188">
        <v>0.11439934193208399</v>
      </c>
      <c r="F1188">
        <v>0.22937935559457301</v>
      </c>
    </row>
    <row r="1189" spans="1:6" x14ac:dyDescent="0.2">
      <c r="A1189" t="s">
        <v>2173</v>
      </c>
      <c r="B1189" t="s">
        <v>2174</v>
      </c>
      <c r="D1189">
        <v>0.28239587329674598</v>
      </c>
      <c r="E1189">
        <v>0.19800087087654</v>
      </c>
      <c r="F1189">
        <v>0.37867989423343001</v>
      </c>
    </row>
    <row r="1190" spans="1:6" x14ac:dyDescent="0.2">
      <c r="A1190" t="s">
        <v>2175</v>
      </c>
      <c r="B1190" t="s">
        <v>911</v>
      </c>
      <c r="C1190" t="s">
        <v>912</v>
      </c>
      <c r="D1190">
        <v>4.9011414699999999E-2</v>
      </c>
      <c r="E1190">
        <v>3.1121342499999899E-2</v>
      </c>
      <c r="F1190">
        <v>7.2092547499999896E-2</v>
      </c>
    </row>
    <row r="1191" spans="1:6" x14ac:dyDescent="0.2">
      <c r="A1191" t="s">
        <v>2176</v>
      </c>
      <c r="B1191" t="s">
        <v>959</v>
      </c>
      <c r="C1191" t="s">
        <v>960</v>
      </c>
      <c r="D1191">
        <v>3.0842126399999899E-2</v>
      </c>
      <c r="E1191">
        <v>1.8822002500000001E-2</v>
      </c>
      <c r="F1191">
        <v>4.8710372499999897E-2</v>
      </c>
    </row>
    <row r="1192" spans="1:6" x14ac:dyDescent="0.2">
      <c r="A1192" t="s">
        <v>2177</v>
      </c>
      <c r="B1192" t="s">
        <v>962</v>
      </c>
      <c r="C1192" t="s">
        <v>963</v>
      </c>
      <c r="D1192">
        <v>0.18404848779999999</v>
      </c>
      <c r="E1192">
        <v>0.1251250575</v>
      </c>
      <c r="F1192">
        <v>0.25828618249999902</v>
      </c>
    </row>
    <row r="1193" spans="1:6" x14ac:dyDescent="0.2">
      <c r="A1193" t="s">
        <v>2178</v>
      </c>
      <c r="B1193" t="s">
        <v>965</v>
      </c>
      <c r="C1193" t="s">
        <v>966</v>
      </c>
      <c r="D1193">
        <v>0.18736458340000001</v>
      </c>
      <c r="E1193">
        <v>0.1244286775</v>
      </c>
      <c r="F1193">
        <v>0.26021716249999999</v>
      </c>
    </row>
    <row r="1194" spans="1:6" x14ac:dyDescent="0.2">
      <c r="A1194" t="s">
        <v>2179</v>
      </c>
      <c r="B1194" t="s">
        <v>2167</v>
      </c>
      <c r="C1194" t="s">
        <v>2168</v>
      </c>
      <c r="D1194">
        <v>0.13318999149999899</v>
      </c>
      <c r="E1194">
        <v>8.8895202500000006E-2</v>
      </c>
      <c r="F1194">
        <v>0.18694128499999901</v>
      </c>
    </row>
    <row r="1195" spans="1:6" x14ac:dyDescent="0.2">
      <c r="A1195" t="s">
        <v>2180</v>
      </c>
      <c r="B1195" t="s">
        <v>2170</v>
      </c>
      <c r="D1195">
        <v>0.15013214478106501</v>
      </c>
      <c r="E1195">
        <v>0.102540099134474</v>
      </c>
      <c r="F1195">
        <v>0.20775159017882699</v>
      </c>
    </row>
    <row r="1196" spans="1:6" x14ac:dyDescent="0.2">
      <c r="A1196" t="s">
        <v>2181</v>
      </c>
      <c r="B1196" t="s">
        <v>2172</v>
      </c>
      <c r="D1196">
        <v>0.16681063671504701</v>
      </c>
      <c r="E1196">
        <v>0.11439934193208399</v>
      </c>
      <c r="F1196">
        <v>0.22937935559457301</v>
      </c>
    </row>
    <row r="1197" spans="1:6" x14ac:dyDescent="0.2">
      <c r="A1197" t="s">
        <v>2182</v>
      </c>
      <c r="B1197" t="s">
        <v>2174</v>
      </c>
      <c r="D1197">
        <v>0.28239587329674598</v>
      </c>
      <c r="E1197">
        <v>0.19800087087654</v>
      </c>
      <c r="F1197">
        <v>0.37867989423343001</v>
      </c>
    </row>
    <row r="1198" spans="1:6" x14ac:dyDescent="0.2">
      <c r="A1198" t="s">
        <v>2183</v>
      </c>
      <c r="B1198" t="s">
        <v>698</v>
      </c>
      <c r="D1198">
        <v>0</v>
      </c>
      <c r="E1198">
        <v>0</v>
      </c>
      <c r="F1198">
        <v>0</v>
      </c>
    </row>
    <row r="1199" spans="1:6" x14ac:dyDescent="0.2">
      <c r="A1199" t="s">
        <v>2184</v>
      </c>
      <c r="B1199" t="s">
        <v>2185</v>
      </c>
      <c r="C1199" t="s">
        <v>2186</v>
      </c>
      <c r="D1199">
        <v>2.4315463699999901E-2</v>
      </c>
      <c r="E1199">
        <v>1.3568729999999999E-2</v>
      </c>
      <c r="F1199">
        <v>3.8964985000000001E-2</v>
      </c>
    </row>
    <row r="1200" spans="1:6" x14ac:dyDescent="0.2">
      <c r="A1200" t="s">
        <v>2187</v>
      </c>
      <c r="B1200" t="s">
        <v>2188</v>
      </c>
      <c r="C1200" t="s">
        <v>2189</v>
      </c>
      <c r="D1200">
        <v>0.57089716810000002</v>
      </c>
      <c r="E1200">
        <v>0.39823881499999902</v>
      </c>
      <c r="F1200">
        <v>0.72516435499999998</v>
      </c>
    </row>
    <row r="1201" spans="1:6" x14ac:dyDescent="0.2">
      <c r="A1201" t="s">
        <v>2190</v>
      </c>
      <c r="B1201" t="s">
        <v>2191</v>
      </c>
      <c r="C1201" t="s">
        <v>648</v>
      </c>
      <c r="D1201">
        <v>0.57256171279228796</v>
      </c>
      <c r="E1201">
        <v>0.403151128298815</v>
      </c>
      <c r="F1201">
        <v>0.72555420600614295</v>
      </c>
    </row>
    <row r="1202" spans="1:6" x14ac:dyDescent="0.2">
      <c r="A1202" t="s">
        <v>2192</v>
      </c>
      <c r="B1202" t="s">
        <v>2193</v>
      </c>
      <c r="C1202" t="s">
        <v>648</v>
      </c>
      <c r="D1202">
        <v>0.59277197220139899</v>
      </c>
      <c r="E1202">
        <v>0.42359620735771603</v>
      </c>
      <c r="F1202">
        <v>0.74210471607960005</v>
      </c>
    </row>
    <row r="1203" spans="1:6" x14ac:dyDescent="0.2">
      <c r="A1203" t="s">
        <v>2194</v>
      </c>
      <c r="B1203" t="s">
        <v>2195</v>
      </c>
      <c r="C1203" t="s">
        <v>648</v>
      </c>
      <c r="D1203">
        <v>0.63293904867000195</v>
      </c>
      <c r="E1203">
        <v>0.46165970345255503</v>
      </c>
      <c r="F1203">
        <v>0.78103257204120202</v>
      </c>
    </row>
    <row r="1204" spans="1:6" x14ac:dyDescent="0.2">
      <c r="A1204" t="s">
        <v>2196</v>
      </c>
      <c r="B1204" t="s">
        <v>850</v>
      </c>
      <c r="C1204" t="s">
        <v>851</v>
      </c>
      <c r="D1204">
        <v>3.69639789999999E-3</v>
      </c>
      <c r="E1204">
        <v>1.3124725E-3</v>
      </c>
      <c r="F1204">
        <v>8.1387825000000004E-3</v>
      </c>
    </row>
    <row r="1205" spans="1:6" x14ac:dyDescent="0.2">
      <c r="A1205" t="s">
        <v>2197</v>
      </c>
      <c r="B1205" t="s">
        <v>853</v>
      </c>
      <c r="C1205" t="s">
        <v>854</v>
      </c>
      <c r="D1205">
        <v>5.1541961499999997E-2</v>
      </c>
      <c r="E1205">
        <v>3.3847374999999999E-2</v>
      </c>
      <c r="F1205">
        <v>7.5721812499999999E-2</v>
      </c>
    </row>
    <row r="1206" spans="1:6" x14ac:dyDescent="0.2">
      <c r="A1206" t="s">
        <v>2198</v>
      </c>
      <c r="B1206" t="s">
        <v>856</v>
      </c>
      <c r="C1206" t="s">
        <v>857</v>
      </c>
      <c r="D1206">
        <v>0.14876615300000001</v>
      </c>
      <c r="E1206">
        <v>0.10073293999999899</v>
      </c>
      <c r="F1206">
        <v>0.20911520249999899</v>
      </c>
    </row>
    <row r="1207" spans="1:6" x14ac:dyDescent="0.2">
      <c r="A1207" t="s">
        <v>2199</v>
      </c>
      <c r="B1207" t="s">
        <v>698</v>
      </c>
      <c r="D1207">
        <v>0</v>
      </c>
      <c r="E1207">
        <v>0</v>
      </c>
      <c r="F1207">
        <v>0</v>
      </c>
    </row>
    <row r="1208" spans="1:6" x14ac:dyDescent="0.2">
      <c r="A1208" t="s">
        <v>2200</v>
      </c>
      <c r="B1208" t="s">
        <v>2201</v>
      </c>
      <c r="C1208" t="s">
        <v>2202</v>
      </c>
      <c r="D1208">
        <v>0.1044765406</v>
      </c>
      <c r="E1208">
        <v>7.0397582499999903E-2</v>
      </c>
      <c r="F1208">
        <v>0.14667005999999899</v>
      </c>
    </row>
    <row r="1209" spans="1:6" x14ac:dyDescent="0.2">
      <c r="A1209" t="s">
        <v>2203</v>
      </c>
      <c r="B1209" t="s">
        <v>2204</v>
      </c>
      <c r="D1209">
        <v>0.107776962488985</v>
      </c>
      <c r="E1209">
        <v>7.2352775167680197E-2</v>
      </c>
      <c r="F1209">
        <v>0.15054305335135301</v>
      </c>
    </row>
    <row r="1210" spans="1:6" x14ac:dyDescent="0.2">
      <c r="A1210" t="s">
        <v>2205</v>
      </c>
      <c r="B1210" t="s">
        <v>2206</v>
      </c>
      <c r="D1210">
        <v>0.150456456639806</v>
      </c>
      <c r="E1210">
        <v>0.102812065154997</v>
      </c>
      <c r="F1210">
        <v>0.20715925362267301</v>
      </c>
    </row>
    <row r="1211" spans="1:6" x14ac:dyDescent="0.2">
      <c r="A1211" t="s">
        <v>2207</v>
      </c>
      <c r="B1211" t="s">
        <v>2208</v>
      </c>
      <c r="D1211">
        <v>0.23720671693244499</v>
      </c>
      <c r="E1211">
        <v>0.16536549868531</v>
      </c>
      <c r="F1211">
        <v>0.323689087955913</v>
      </c>
    </row>
    <row r="1212" spans="1:6" x14ac:dyDescent="0.2">
      <c r="A1212" t="s">
        <v>2209</v>
      </c>
      <c r="B1212" t="s">
        <v>1348</v>
      </c>
      <c r="C1212" t="s">
        <v>1349</v>
      </c>
      <c r="D1212">
        <v>0.56850238799999897</v>
      </c>
      <c r="E1212">
        <v>0.38881356</v>
      </c>
      <c r="F1212">
        <v>0.72678767</v>
      </c>
    </row>
    <row r="1213" spans="1:6" x14ac:dyDescent="0.2">
      <c r="A1213" t="s">
        <v>2210</v>
      </c>
      <c r="B1213" t="s">
        <v>2211</v>
      </c>
      <c r="C1213" t="s">
        <v>648</v>
      </c>
      <c r="D1213">
        <v>0.57017541467041</v>
      </c>
      <c r="E1213">
        <v>0.39143400523905197</v>
      </c>
      <c r="F1213">
        <v>0.72742338427928599</v>
      </c>
    </row>
    <row r="1214" spans="1:6" x14ac:dyDescent="0.2">
      <c r="A1214" t="s">
        <v>2212</v>
      </c>
      <c r="B1214" t="s">
        <v>2213</v>
      </c>
      <c r="C1214" t="s">
        <v>648</v>
      </c>
      <c r="D1214">
        <v>0.59050085221308801</v>
      </c>
      <c r="E1214">
        <v>0.41372750161549698</v>
      </c>
      <c r="F1214">
        <v>0.74307276271247702</v>
      </c>
    </row>
    <row r="1215" spans="1:6" x14ac:dyDescent="0.2">
      <c r="A1215" t="s">
        <v>2214</v>
      </c>
      <c r="B1215" t="s">
        <v>2215</v>
      </c>
      <c r="C1215" t="s">
        <v>648</v>
      </c>
      <c r="D1215">
        <v>0.630883907680443</v>
      </c>
      <c r="E1215">
        <v>0.45575649748210001</v>
      </c>
      <c r="F1215">
        <v>0.78245538288760696</v>
      </c>
    </row>
    <row r="1216" spans="1:6" x14ac:dyDescent="0.2">
      <c r="A1216" t="s">
        <v>2216</v>
      </c>
      <c r="B1216" t="s">
        <v>2217</v>
      </c>
      <c r="C1216" t="s">
        <v>648</v>
      </c>
      <c r="D1216">
        <v>0.14820019508281501</v>
      </c>
      <c r="E1216">
        <v>9.98587152353725E-2</v>
      </c>
      <c r="F1216">
        <v>0.20492380866486601</v>
      </c>
    </row>
    <row r="1217" spans="1:6" x14ac:dyDescent="0.2">
      <c r="A1217" t="s">
        <v>2218</v>
      </c>
      <c r="B1217" t="s">
        <v>2219</v>
      </c>
      <c r="C1217" t="s">
        <v>648</v>
      </c>
      <c r="D1217">
        <v>0.141455247522356</v>
      </c>
      <c r="E1217">
        <v>9.6789651893157094E-2</v>
      </c>
      <c r="F1217">
        <v>0.19488565349802001</v>
      </c>
    </row>
    <row r="1218" spans="1:6" x14ac:dyDescent="0.2">
      <c r="A1218" t="s">
        <v>2220</v>
      </c>
      <c r="B1218" t="s">
        <v>2221</v>
      </c>
      <c r="C1218" t="s">
        <v>648</v>
      </c>
      <c r="D1218">
        <v>0.168395653018899</v>
      </c>
      <c r="E1218">
        <v>0.114713887328026</v>
      </c>
      <c r="F1218">
        <v>0.23034236981075701</v>
      </c>
    </row>
    <row r="1219" spans="1:6" x14ac:dyDescent="0.2">
      <c r="A1219" t="s">
        <v>2222</v>
      </c>
      <c r="B1219" t="s">
        <v>2223</v>
      </c>
      <c r="C1219" t="s">
        <v>648</v>
      </c>
      <c r="D1219">
        <v>0.26425755402158901</v>
      </c>
      <c r="E1219">
        <v>0.18585288288821999</v>
      </c>
      <c r="F1219">
        <v>0.35842890375653402</v>
      </c>
    </row>
    <row r="1220" spans="1:6" x14ac:dyDescent="0.2">
      <c r="A1220" t="s">
        <v>2224</v>
      </c>
      <c r="B1220" t="s">
        <v>698</v>
      </c>
      <c r="D1220">
        <v>0</v>
      </c>
      <c r="E1220">
        <v>0</v>
      </c>
      <c r="F1220">
        <v>0</v>
      </c>
    </row>
    <row r="1221" spans="1:6" x14ac:dyDescent="0.2">
      <c r="A1221" t="s">
        <v>2225</v>
      </c>
      <c r="B1221" t="s">
        <v>2185</v>
      </c>
      <c r="C1221" t="s">
        <v>2186</v>
      </c>
      <c r="D1221">
        <v>2.4315463699999901E-2</v>
      </c>
      <c r="E1221">
        <v>1.3568729999999999E-2</v>
      </c>
      <c r="F1221">
        <v>3.8964985000000001E-2</v>
      </c>
    </row>
    <row r="1222" spans="1:6" x14ac:dyDescent="0.2">
      <c r="A1222" t="s">
        <v>2226</v>
      </c>
      <c r="B1222" t="s">
        <v>2188</v>
      </c>
      <c r="C1222" t="s">
        <v>2189</v>
      </c>
      <c r="D1222">
        <v>0.57089716810000002</v>
      </c>
      <c r="E1222">
        <v>0.39823881499999902</v>
      </c>
      <c r="F1222">
        <v>0.72516435499999998</v>
      </c>
    </row>
    <row r="1223" spans="1:6" x14ac:dyDescent="0.2">
      <c r="A1223" t="s">
        <v>2227</v>
      </c>
      <c r="B1223" t="s">
        <v>2191</v>
      </c>
      <c r="C1223" t="s">
        <v>648</v>
      </c>
      <c r="D1223">
        <v>0.57256171279228796</v>
      </c>
      <c r="E1223">
        <v>0.403151128298815</v>
      </c>
      <c r="F1223">
        <v>0.72555420600614295</v>
      </c>
    </row>
    <row r="1224" spans="1:6" x14ac:dyDescent="0.2">
      <c r="A1224" t="s">
        <v>2228</v>
      </c>
      <c r="B1224" t="s">
        <v>2193</v>
      </c>
      <c r="C1224" t="s">
        <v>648</v>
      </c>
      <c r="D1224">
        <v>0.59277197220139899</v>
      </c>
      <c r="E1224">
        <v>0.42359620735771603</v>
      </c>
      <c r="F1224">
        <v>0.74210471607960005</v>
      </c>
    </row>
    <row r="1225" spans="1:6" x14ac:dyDescent="0.2">
      <c r="A1225" t="s">
        <v>2229</v>
      </c>
      <c r="B1225" t="s">
        <v>2195</v>
      </c>
      <c r="C1225" t="s">
        <v>648</v>
      </c>
      <c r="D1225">
        <v>0.63293904867000195</v>
      </c>
      <c r="E1225">
        <v>0.46165970345255503</v>
      </c>
      <c r="F1225">
        <v>0.78103257204120202</v>
      </c>
    </row>
    <row r="1226" spans="1:6" x14ac:dyDescent="0.2">
      <c r="A1226" t="s">
        <v>2230</v>
      </c>
      <c r="B1226" t="s">
        <v>850</v>
      </c>
      <c r="C1226" t="s">
        <v>851</v>
      </c>
      <c r="D1226">
        <v>3.69639789999999E-3</v>
      </c>
      <c r="E1226">
        <v>1.3124725E-3</v>
      </c>
      <c r="F1226">
        <v>8.1387825000000004E-3</v>
      </c>
    </row>
    <row r="1227" spans="1:6" x14ac:dyDescent="0.2">
      <c r="A1227" t="s">
        <v>2231</v>
      </c>
      <c r="B1227" t="s">
        <v>853</v>
      </c>
      <c r="C1227" t="s">
        <v>854</v>
      </c>
      <c r="D1227">
        <v>5.1541961499999997E-2</v>
      </c>
      <c r="E1227">
        <v>3.3847374999999999E-2</v>
      </c>
      <c r="F1227">
        <v>7.5721812499999999E-2</v>
      </c>
    </row>
    <row r="1228" spans="1:6" x14ac:dyDescent="0.2">
      <c r="A1228" t="s">
        <v>2232</v>
      </c>
      <c r="B1228" t="s">
        <v>856</v>
      </c>
      <c r="C1228" t="s">
        <v>857</v>
      </c>
      <c r="D1228">
        <v>0.14876615300000001</v>
      </c>
      <c r="E1228">
        <v>0.10073293999999899</v>
      </c>
      <c r="F1228">
        <v>0.20911520249999899</v>
      </c>
    </row>
    <row r="1229" spans="1:6" x14ac:dyDescent="0.2">
      <c r="A1229" t="s">
        <v>2233</v>
      </c>
      <c r="B1229" t="s">
        <v>698</v>
      </c>
      <c r="D1229">
        <v>0</v>
      </c>
      <c r="E1229">
        <v>0</v>
      </c>
      <c r="F1229">
        <v>0</v>
      </c>
    </row>
    <row r="1230" spans="1:6" x14ac:dyDescent="0.2">
      <c r="A1230" t="s">
        <v>2234</v>
      </c>
      <c r="B1230" t="s">
        <v>2201</v>
      </c>
      <c r="C1230" t="s">
        <v>2202</v>
      </c>
      <c r="D1230">
        <v>0.1044765406</v>
      </c>
      <c r="E1230">
        <v>7.0397582499999903E-2</v>
      </c>
      <c r="F1230">
        <v>0.14667005999999899</v>
      </c>
    </row>
    <row r="1231" spans="1:6" x14ac:dyDescent="0.2">
      <c r="A1231" t="s">
        <v>2235</v>
      </c>
      <c r="B1231" t="s">
        <v>2204</v>
      </c>
      <c r="D1231">
        <v>0.107776962488985</v>
      </c>
      <c r="E1231">
        <v>7.2352775167680197E-2</v>
      </c>
      <c r="F1231">
        <v>0.15054305335135301</v>
      </c>
    </row>
    <row r="1232" spans="1:6" x14ac:dyDescent="0.2">
      <c r="A1232" t="s">
        <v>2236</v>
      </c>
      <c r="B1232" t="s">
        <v>2206</v>
      </c>
      <c r="D1232">
        <v>0.150456456639806</v>
      </c>
      <c r="E1232">
        <v>0.102812065154997</v>
      </c>
      <c r="F1232">
        <v>0.20715925362267301</v>
      </c>
    </row>
    <row r="1233" spans="1:6" x14ac:dyDescent="0.2">
      <c r="A1233" t="s">
        <v>2237</v>
      </c>
      <c r="B1233" t="s">
        <v>2208</v>
      </c>
      <c r="D1233">
        <v>0.23720671693244499</v>
      </c>
      <c r="E1233">
        <v>0.16536549868531</v>
      </c>
      <c r="F1233">
        <v>0.323689087955913</v>
      </c>
    </row>
    <row r="1234" spans="1:6" x14ac:dyDescent="0.2">
      <c r="A1234" t="s">
        <v>2238</v>
      </c>
      <c r="B1234" t="s">
        <v>1348</v>
      </c>
      <c r="C1234" t="s">
        <v>1349</v>
      </c>
      <c r="D1234">
        <v>0.56850238799999897</v>
      </c>
      <c r="E1234">
        <v>0.38881356</v>
      </c>
      <c r="F1234">
        <v>0.72678767</v>
      </c>
    </row>
    <row r="1235" spans="1:6" x14ac:dyDescent="0.2">
      <c r="A1235" t="s">
        <v>2239</v>
      </c>
      <c r="B1235" t="s">
        <v>2211</v>
      </c>
      <c r="C1235" t="s">
        <v>648</v>
      </c>
      <c r="D1235">
        <v>0.57017541467041</v>
      </c>
      <c r="E1235">
        <v>0.39143400523905197</v>
      </c>
      <c r="F1235">
        <v>0.72742338427928599</v>
      </c>
    </row>
    <row r="1236" spans="1:6" x14ac:dyDescent="0.2">
      <c r="A1236" t="s">
        <v>2240</v>
      </c>
      <c r="B1236" t="s">
        <v>2213</v>
      </c>
      <c r="C1236" t="s">
        <v>648</v>
      </c>
      <c r="D1236">
        <v>0.59050085221308801</v>
      </c>
      <c r="E1236">
        <v>0.41372750161549698</v>
      </c>
      <c r="F1236">
        <v>0.74307276271247702</v>
      </c>
    </row>
    <row r="1237" spans="1:6" x14ac:dyDescent="0.2">
      <c r="A1237" t="s">
        <v>2241</v>
      </c>
      <c r="B1237" t="s">
        <v>2215</v>
      </c>
      <c r="C1237" t="s">
        <v>648</v>
      </c>
      <c r="D1237">
        <v>0.630883907680443</v>
      </c>
      <c r="E1237">
        <v>0.45575649748210001</v>
      </c>
      <c r="F1237">
        <v>0.78245538288760696</v>
      </c>
    </row>
    <row r="1238" spans="1:6" x14ac:dyDescent="0.2">
      <c r="A1238" t="s">
        <v>2242</v>
      </c>
      <c r="B1238" t="s">
        <v>2217</v>
      </c>
      <c r="C1238" t="s">
        <v>648</v>
      </c>
      <c r="D1238">
        <v>0.14820019508281501</v>
      </c>
      <c r="E1238">
        <v>9.98587152353725E-2</v>
      </c>
      <c r="F1238">
        <v>0.20492380866486601</v>
      </c>
    </row>
    <row r="1239" spans="1:6" x14ac:dyDescent="0.2">
      <c r="A1239" t="s">
        <v>2243</v>
      </c>
      <c r="B1239" t="s">
        <v>2219</v>
      </c>
      <c r="C1239" t="s">
        <v>648</v>
      </c>
      <c r="D1239">
        <v>0.141455247522356</v>
      </c>
      <c r="E1239">
        <v>9.6789651893157094E-2</v>
      </c>
      <c r="F1239">
        <v>0.19488565349802001</v>
      </c>
    </row>
    <row r="1240" spans="1:6" x14ac:dyDescent="0.2">
      <c r="A1240" t="s">
        <v>2244</v>
      </c>
      <c r="B1240" t="s">
        <v>2221</v>
      </c>
      <c r="C1240" t="s">
        <v>648</v>
      </c>
      <c r="D1240">
        <v>0.168395653018899</v>
      </c>
      <c r="E1240">
        <v>0.114713887328026</v>
      </c>
      <c r="F1240">
        <v>0.23034236981075701</v>
      </c>
    </row>
    <row r="1241" spans="1:6" x14ac:dyDescent="0.2">
      <c r="A1241" t="s">
        <v>2245</v>
      </c>
      <c r="B1241" t="s">
        <v>2223</v>
      </c>
      <c r="C1241" t="s">
        <v>648</v>
      </c>
      <c r="D1241">
        <v>0.26425755402158901</v>
      </c>
      <c r="E1241">
        <v>0.18585288288821999</v>
      </c>
      <c r="F1241">
        <v>0.35842890375653402</v>
      </c>
    </row>
    <row r="1242" spans="1:6" x14ac:dyDescent="0.2">
      <c r="A1242" t="s">
        <v>2246</v>
      </c>
      <c r="B1242" t="s">
        <v>2185</v>
      </c>
      <c r="C1242" t="s">
        <v>2186</v>
      </c>
      <c r="D1242">
        <v>2.4315463699999901E-2</v>
      </c>
      <c r="E1242">
        <v>1.3568729999999999E-2</v>
      </c>
      <c r="F1242">
        <v>3.8964985000000001E-2</v>
      </c>
    </row>
    <row r="1243" spans="1:6" x14ac:dyDescent="0.2">
      <c r="A1243" t="s">
        <v>2247</v>
      </c>
      <c r="B1243" t="s">
        <v>2188</v>
      </c>
      <c r="C1243" t="s">
        <v>2189</v>
      </c>
      <c r="D1243">
        <v>0.57089716810000002</v>
      </c>
      <c r="E1243">
        <v>0.39823881499999902</v>
      </c>
      <c r="F1243">
        <v>0.72516435499999998</v>
      </c>
    </row>
    <row r="1244" spans="1:6" x14ac:dyDescent="0.2">
      <c r="A1244" t="s">
        <v>2248</v>
      </c>
      <c r="B1244" t="s">
        <v>2191</v>
      </c>
      <c r="C1244" t="s">
        <v>648</v>
      </c>
      <c r="D1244">
        <v>0.57256171279228796</v>
      </c>
      <c r="E1244">
        <v>0.403151128298815</v>
      </c>
      <c r="F1244">
        <v>0.72555420600614295</v>
      </c>
    </row>
    <row r="1245" spans="1:6" x14ac:dyDescent="0.2">
      <c r="A1245" t="s">
        <v>2249</v>
      </c>
      <c r="B1245" t="s">
        <v>2193</v>
      </c>
      <c r="C1245" t="s">
        <v>648</v>
      </c>
      <c r="D1245">
        <v>0.59277197220139899</v>
      </c>
      <c r="E1245">
        <v>0.42359620735771603</v>
      </c>
      <c r="F1245">
        <v>0.74210471607960005</v>
      </c>
    </row>
    <row r="1246" spans="1:6" x14ac:dyDescent="0.2">
      <c r="A1246" t="s">
        <v>2250</v>
      </c>
      <c r="B1246" t="s">
        <v>2195</v>
      </c>
      <c r="C1246" t="s">
        <v>648</v>
      </c>
      <c r="D1246">
        <v>0.63293904867000195</v>
      </c>
      <c r="E1246">
        <v>0.46165970345255503</v>
      </c>
      <c r="F1246">
        <v>0.78103257204120202</v>
      </c>
    </row>
    <row r="1247" spans="1:6" x14ac:dyDescent="0.2">
      <c r="A1247" t="s">
        <v>2251</v>
      </c>
      <c r="B1247" t="s">
        <v>698</v>
      </c>
      <c r="D1247">
        <v>0</v>
      </c>
      <c r="E1247">
        <v>0</v>
      </c>
      <c r="F1247">
        <v>0</v>
      </c>
    </row>
    <row r="1248" spans="1:6" x14ac:dyDescent="0.2">
      <c r="A1248" t="s">
        <v>2252</v>
      </c>
      <c r="B1248" t="s">
        <v>850</v>
      </c>
      <c r="C1248" t="s">
        <v>851</v>
      </c>
      <c r="D1248">
        <v>3.69639789999999E-3</v>
      </c>
      <c r="E1248">
        <v>1.3124725E-3</v>
      </c>
      <c r="F1248">
        <v>8.1387825000000004E-3</v>
      </c>
    </row>
    <row r="1249" spans="1:6" x14ac:dyDescent="0.2">
      <c r="A1249" t="s">
        <v>2253</v>
      </c>
      <c r="B1249" t="s">
        <v>853</v>
      </c>
      <c r="C1249" t="s">
        <v>854</v>
      </c>
      <c r="D1249">
        <v>5.1541961499999997E-2</v>
      </c>
      <c r="E1249">
        <v>3.3847374999999999E-2</v>
      </c>
      <c r="F1249">
        <v>7.5721812499999999E-2</v>
      </c>
    </row>
    <row r="1250" spans="1:6" x14ac:dyDescent="0.2">
      <c r="A1250" t="s">
        <v>2254</v>
      </c>
      <c r="B1250" t="s">
        <v>856</v>
      </c>
      <c r="C1250" t="s">
        <v>857</v>
      </c>
      <c r="D1250">
        <v>0.14876615300000001</v>
      </c>
      <c r="E1250">
        <v>0.10073293999999899</v>
      </c>
      <c r="F1250">
        <v>0.20911520249999899</v>
      </c>
    </row>
    <row r="1251" spans="1:6" x14ac:dyDescent="0.2">
      <c r="A1251" t="s">
        <v>2255</v>
      </c>
      <c r="B1251" t="s">
        <v>698</v>
      </c>
      <c r="D1251">
        <v>0</v>
      </c>
      <c r="E1251">
        <v>0</v>
      </c>
      <c r="F1251">
        <v>0</v>
      </c>
    </row>
    <row r="1252" spans="1:6" x14ac:dyDescent="0.2">
      <c r="A1252" t="s">
        <v>2256</v>
      </c>
      <c r="B1252" t="s">
        <v>2201</v>
      </c>
      <c r="C1252" t="s">
        <v>2202</v>
      </c>
      <c r="D1252">
        <v>0.1044765406</v>
      </c>
      <c r="E1252">
        <v>7.0397582499999903E-2</v>
      </c>
      <c r="F1252">
        <v>0.14667005999999899</v>
      </c>
    </row>
    <row r="1253" spans="1:6" x14ac:dyDescent="0.2">
      <c r="A1253" t="s">
        <v>2257</v>
      </c>
      <c r="B1253" t="s">
        <v>2204</v>
      </c>
      <c r="D1253">
        <v>0.107776962488985</v>
      </c>
      <c r="E1253">
        <v>7.2352775167680197E-2</v>
      </c>
      <c r="F1253">
        <v>0.15054305335135301</v>
      </c>
    </row>
    <row r="1254" spans="1:6" x14ac:dyDescent="0.2">
      <c r="A1254" t="s">
        <v>2258</v>
      </c>
      <c r="B1254" t="s">
        <v>2206</v>
      </c>
      <c r="D1254">
        <v>0.150456456639806</v>
      </c>
      <c r="E1254">
        <v>0.102812065154997</v>
      </c>
      <c r="F1254">
        <v>0.20715925362267301</v>
      </c>
    </row>
    <row r="1255" spans="1:6" x14ac:dyDescent="0.2">
      <c r="A1255" t="s">
        <v>2259</v>
      </c>
      <c r="B1255" t="s">
        <v>2208</v>
      </c>
      <c r="D1255">
        <v>0.23720671693244499</v>
      </c>
      <c r="E1255">
        <v>0.16536549868531</v>
      </c>
      <c r="F1255">
        <v>0.323689087955913</v>
      </c>
    </row>
    <row r="1256" spans="1:6" x14ac:dyDescent="0.2">
      <c r="A1256" t="s">
        <v>2260</v>
      </c>
      <c r="B1256" t="s">
        <v>1348</v>
      </c>
      <c r="C1256" t="s">
        <v>1349</v>
      </c>
      <c r="D1256">
        <v>0.56850238799999897</v>
      </c>
      <c r="E1256">
        <v>0.38881356</v>
      </c>
      <c r="F1256">
        <v>0.72678767</v>
      </c>
    </row>
    <row r="1257" spans="1:6" x14ac:dyDescent="0.2">
      <c r="A1257" t="s">
        <v>2261</v>
      </c>
      <c r="B1257" t="s">
        <v>2211</v>
      </c>
      <c r="C1257" t="s">
        <v>648</v>
      </c>
      <c r="D1257">
        <v>0.57017541467041</v>
      </c>
      <c r="E1257">
        <v>0.39143400523905197</v>
      </c>
      <c r="F1257">
        <v>0.72742338427928599</v>
      </c>
    </row>
    <row r="1258" spans="1:6" x14ac:dyDescent="0.2">
      <c r="A1258" t="s">
        <v>2262</v>
      </c>
      <c r="B1258" t="s">
        <v>2213</v>
      </c>
      <c r="C1258" t="s">
        <v>648</v>
      </c>
      <c r="D1258">
        <v>0.59050085221308801</v>
      </c>
      <c r="E1258">
        <v>0.41372750161549698</v>
      </c>
      <c r="F1258">
        <v>0.74307276271247702</v>
      </c>
    </row>
    <row r="1259" spans="1:6" x14ac:dyDescent="0.2">
      <c r="A1259" t="s">
        <v>2263</v>
      </c>
      <c r="B1259" t="s">
        <v>2215</v>
      </c>
      <c r="C1259" t="s">
        <v>648</v>
      </c>
      <c r="D1259">
        <v>0.630883907680443</v>
      </c>
      <c r="E1259">
        <v>0.45575649748210001</v>
      </c>
      <c r="F1259">
        <v>0.78245538288760696</v>
      </c>
    </row>
    <row r="1260" spans="1:6" x14ac:dyDescent="0.2">
      <c r="A1260" t="s">
        <v>2264</v>
      </c>
      <c r="B1260" t="s">
        <v>2217</v>
      </c>
      <c r="C1260" t="s">
        <v>648</v>
      </c>
      <c r="D1260">
        <v>0.14820019508281501</v>
      </c>
      <c r="E1260">
        <v>9.98587152353725E-2</v>
      </c>
      <c r="F1260">
        <v>0.20492380866486601</v>
      </c>
    </row>
    <row r="1261" spans="1:6" x14ac:dyDescent="0.2">
      <c r="A1261" t="s">
        <v>2265</v>
      </c>
      <c r="B1261" t="s">
        <v>2219</v>
      </c>
      <c r="C1261" t="s">
        <v>648</v>
      </c>
      <c r="D1261">
        <v>0.141455247522356</v>
      </c>
      <c r="E1261">
        <v>9.6789651893157094E-2</v>
      </c>
      <c r="F1261">
        <v>0.19488565349802001</v>
      </c>
    </row>
    <row r="1262" spans="1:6" x14ac:dyDescent="0.2">
      <c r="A1262" t="s">
        <v>2266</v>
      </c>
      <c r="B1262" t="s">
        <v>2221</v>
      </c>
      <c r="C1262" t="s">
        <v>648</v>
      </c>
      <c r="D1262">
        <v>0.168395653018899</v>
      </c>
      <c r="E1262">
        <v>0.114713887328026</v>
      </c>
      <c r="F1262">
        <v>0.23034236981075701</v>
      </c>
    </row>
    <row r="1263" spans="1:6" x14ac:dyDescent="0.2">
      <c r="A1263" t="s">
        <v>2267</v>
      </c>
      <c r="B1263" t="s">
        <v>2223</v>
      </c>
      <c r="C1263" t="s">
        <v>648</v>
      </c>
      <c r="D1263">
        <v>0.26425755402158901</v>
      </c>
      <c r="E1263">
        <v>0.18585288288821999</v>
      </c>
      <c r="F1263">
        <v>0.35842890375653402</v>
      </c>
    </row>
    <row r="1264" spans="1:6" x14ac:dyDescent="0.2">
      <c r="A1264" t="s">
        <v>2268</v>
      </c>
      <c r="B1264" t="s">
        <v>2185</v>
      </c>
      <c r="C1264" t="s">
        <v>2186</v>
      </c>
      <c r="D1264">
        <v>2.4315463699999901E-2</v>
      </c>
      <c r="E1264">
        <v>1.3568729999999999E-2</v>
      </c>
      <c r="F1264">
        <v>3.8964985000000001E-2</v>
      </c>
    </row>
    <row r="1265" spans="1:6" x14ac:dyDescent="0.2">
      <c r="A1265" t="s">
        <v>2269</v>
      </c>
      <c r="B1265" t="s">
        <v>2188</v>
      </c>
      <c r="C1265" t="s">
        <v>2189</v>
      </c>
      <c r="D1265">
        <v>0.57089716810000002</v>
      </c>
      <c r="E1265">
        <v>0.39823881499999902</v>
      </c>
      <c r="F1265">
        <v>0.72516435499999998</v>
      </c>
    </row>
    <row r="1266" spans="1:6" x14ac:dyDescent="0.2">
      <c r="A1266" t="s">
        <v>2270</v>
      </c>
      <c r="B1266" t="s">
        <v>2191</v>
      </c>
      <c r="C1266" t="s">
        <v>648</v>
      </c>
      <c r="D1266">
        <v>0.57256171279228796</v>
      </c>
      <c r="E1266">
        <v>0.403151128298815</v>
      </c>
      <c r="F1266">
        <v>0.72555420600614295</v>
      </c>
    </row>
    <row r="1267" spans="1:6" x14ac:dyDescent="0.2">
      <c r="A1267" t="s">
        <v>2271</v>
      </c>
      <c r="B1267" t="s">
        <v>2193</v>
      </c>
      <c r="C1267" t="s">
        <v>648</v>
      </c>
      <c r="D1267">
        <v>0.59277197220139899</v>
      </c>
      <c r="E1267">
        <v>0.42359620735771603</v>
      </c>
      <c r="F1267">
        <v>0.74210471607960005</v>
      </c>
    </row>
    <row r="1268" spans="1:6" x14ac:dyDescent="0.2">
      <c r="A1268" t="s">
        <v>2272</v>
      </c>
      <c r="B1268" t="s">
        <v>2195</v>
      </c>
      <c r="C1268" t="s">
        <v>648</v>
      </c>
      <c r="D1268">
        <v>0.63293904867000195</v>
      </c>
      <c r="E1268">
        <v>0.46165970345255503</v>
      </c>
      <c r="F1268">
        <v>0.78103257204120202</v>
      </c>
    </row>
    <row r="1269" spans="1:6" x14ac:dyDescent="0.2">
      <c r="A1269" t="s">
        <v>2273</v>
      </c>
      <c r="B1269" t="s">
        <v>698</v>
      </c>
      <c r="D1269">
        <v>0</v>
      </c>
      <c r="E1269">
        <v>0</v>
      </c>
      <c r="F1269">
        <v>0</v>
      </c>
    </row>
    <row r="1270" spans="1:6" x14ac:dyDescent="0.2">
      <c r="A1270" t="s">
        <v>2274</v>
      </c>
      <c r="B1270" t="s">
        <v>850</v>
      </c>
      <c r="C1270" t="s">
        <v>851</v>
      </c>
      <c r="D1270">
        <v>3.69639789999999E-3</v>
      </c>
      <c r="E1270">
        <v>1.3124725E-3</v>
      </c>
      <c r="F1270">
        <v>8.1387825000000004E-3</v>
      </c>
    </row>
    <row r="1271" spans="1:6" x14ac:dyDescent="0.2">
      <c r="A1271" t="s">
        <v>2275</v>
      </c>
      <c r="B1271" t="s">
        <v>853</v>
      </c>
      <c r="C1271" t="s">
        <v>854</v>
      </c>
      <c r="D1271">
        <v>5.1541961499999997E-2</v>
      </c>
      <c r="E1271">
        <v>3.3847374999999999E-2</v>
      </c>
      <c r="F1271">
        <v>7.5721812499999999E-2</v>
      </c>
    </row>
    <row r="1272" spans="1:6" x14ac:dyDescent="0.2">
      <c r="A1272" t="s">
        <v>2276</v>
      </c>
      <c r="B1272" t="s">
        <v>856</v>
      </c>
      <c r="C1272" t="s">
        <v>857</v>
      </c>
      <c r="D1272">
        <v>0.14876615300000001</v>
      </c>
      <c r="E1272">
        <v>0.10073293999999899</v>
      </c>
      <c r="F1272">
        <v>0.20911520249999899</v>
      </c>
    </row>
    <row r="1273" spans="1:6" x14ac:dyDescent="0.2">
      <c r="A1273" t="s">
        <v>2277</v>
      </c>
      <c r="B1273" t="s">
        <v>698</v>
      </c>
      <c r="D1273">
        <v>0</v>
      </c>
      <c r="E1273">
        <v>0</v>
      </c>
      <c r="F1273">
        <v>0</v>
      </c>
    </row>
    <row r="1274" spans="1:6" x14ac:dyDescent="0.2">
      <c r="A1274" t="s">
        <v>2278</v>
      </c>
      <c r="B1274" t="s">
        <v>2201</v>
      </c>
      <c r="C1274" t="s">
        <v>2202</v>
      </c>
      <c r="D1274">
        <v>0.1044765406</v>
      </c>
      <c r="E1274">
        <v>7.0397582499999903E-2</v>
      </c>
      <c r="F1274">
        <v>0.14667005999999899</v>
      </c>
    </row>
    <row r="1275" spans="1:6" x14ac:dyDescent="0.2">
      <c r="A1275" t="s">
        <v>2279</v>
      </c>
      <c r="B1275" t="s">
        <v>2204</v>
      </c>
      <c r="D1275">
        <v>0.107776962488985</v>
      </c>
      <c r="E1275">
        <v>7.2352775167680197E-2</v>
      </c>
      <c r="F1275">
        <v>0.15054305335135301</v>
      </c>
    </row>
    <row r="1276" spans="1:6" x14ac:dyDescent="0.2">
      <c r="A1276" t="s">
        <v>2280</v>
      </c>
      <c r="B1276" t="s">
        <v>2206</v>
      </c>
      <c r="D1276">
        <v>0.150456456639806</v>
      </c>
      <c r="E1276">
        <v>0.102812065154997</v>
      </c>
      <c r="F1276">
        <v>0.20715925362267301</v>
      </c>
    </row>
    <row r="1277" spans="1:6" x14ac:dyDescent="0.2">
      <c r="A1277" t="s">
        <v>2281</v>
      </c>
      <c r="B1277" t="s">
        <v>2208</v>
      </c>
      <c r="D1277">
        <v>0.23720671693244499</v>
      </c>
      <c r="E1277">
        <v>0.16536549868531</v>
      </c>
      <c r="F1277">
        <v>0.323689087955913</v>
      </c>
    </row>
    <row r="1278" spans="1:6" x14ac:dyDescent="0.2">
      <c r="A1278" t="s">
        <v>2282</v>
      </c>
      <c r="B1278" t="s">
        <v>1348</v>
      </c>
      <c r="C1278" t="s">
        <v>1349</v>
      </c>
      <c r="D1278">
        <v>0.56850238799999897</v>
      </c>
      <c r="E1278">
        <v>0.38881356</v>
      </c>
      <c r="F1278">
        <v>0.72678767</v>
      </c>
    </row>
    <row r="1279" spans="1:6" x14ac:dyDescent="0.2">
      <c r="A1279" t="s">
        <v>2283</v>
      </c>
      <c r="B1279" t="s">
        <v>2211</v>
      </c>
      <c r="C1279" t="s">
        <v>648</v>
      </c>
      <c r="D1279">
        <v>0.57017541467041</v>
      </c>
      <c r="E1279">
        <v>0.39143400523905197</v>
      </c>
      <c r="F1279">
        <v>0.72742338427928599</v>
      </c>
    </row>
    <row r="1280" spans="1:6" x14ac:dyDescent="0.2">
      <c r="A1280" t="s">
        <v>2284</v>
      </c>
      <c r="B1280" t="s">
        <v>2213</v>
      </c>
      <c r="C1280" t="s">
        <v>648</v>
      </c>
      <c r="D1280">
        <v>0.59050085221308801</v>
      </c>
      <c r="E1280">
        <v>0.41372750161549698</v>
      </c>
      <c r="F1280">
        <v>0.74307276271247702</v>
      </c>
    </row>
    <row r="1281" spans="1:6" x14ac:dyDescent="0.2">
      <c r="A1281" t="s">
        <v>2285</v>
      </c>
      <c r="B1281" t="s">
        <v>2215</v>
      </c>
      <c r="C1281" t="s">
        <v>648</v>
      </c>
      <c r="D1281">
        <v>0.630883907680443</v>
      </c>
      <c r="E1281">
        <v>0.45575649748210001</v>
      </c>
      <c r="F1281">
        <v>0.78245538288760696</v>
      </c>
    </row>
    <row r="1282" spans="1:6" x14ac:dyDescent="0.2">
      <c r="A1282" t="s">
        <v>2286</v>
      </c>
      <c r="B1282" t="s">
        <v>2217</v>
      </c>
      <c r="C1282" t="s">
        <v>648</v>
      </c>
      <c r="D1282">
        <v>0.14820019508281501</v>
      </c>
      <c r="E1282">
        <v>9.98587152353725E-2</v>
      </c>
      <c r="F1282">
        <v>0.20492380866486601</v>
      </c>
    </row>
    <row r="1283" spans="1:6" x14ac:dyDescent="0.2">
      <c r="A1283" t="s">
        <v>2287</v>
      </c>
      <c r="B1283" t="s">
        <v>2219</v>
      </c>
      <c r="C1283" t="s">
        <v>648</v>
      </c>
      <c r="D1283">
        <v>0.141455247522356</v>
      </c>
      <c r="E1283">
        <v>9.6789651893157094E-2</v>
      </c>
      <c r="F1283">
        <v>0.19488565349802001</v>
      </c>
    </row>
    <row r="1284" spans="1:6" x14ac:dyDescent="0.2">
      <c r="A1284" t="s">
        <v>2288</v>
      </c>
      <c r="B1284" t="s">
        <v>2221</v>
      </c>
      <c r="C1284" t="s">
        <v>648</v>
      </c>
      <c r="D1284">
        <v>0.168395653018899</v>
      </c>
      <c r="E1284">
        <v>0.114713887328026</v>
      </c>
      <c r="F1284">
        <v>0.23034236981075701</v>
      </c>
    </row>
    <row r="1285" spans="1:6" x14ac:dyDescent="0.2">
      <c r="A1285" t="s">
        <v>2289</v>
      </c>
      <c r="B1285" t="s">
        <v>2223</v>
      </c>
      <c r="C1285" t="s">
        <v>648</v>
      </c>
      <c r="D1285">
        <v>0.26425755402158901</v>
      </c>
      <c r="E1285">
        <v>0.18585288288821999</v>
      </c>
      <c r="F1285">
        <v>0.35842890375653402</v>
      </c>
    </row>
    <row r="1286" spans="1:6" x14ac:dyDescent="0.2">
      <c r="A1286" t="s">
        <v>2290</v>
      </c>
      <c r="B1286" t="s">
        <v>2185</v>
      </c>
      <c r="C1286" t="s">
        <v>2186</v>
      </c>
      <c r="D1286">
        <v>2.4315463699999901E-2</v>
      </c>
      <c r="E1286">
        <v>1.3568729999999999E-2</v>
      </c>
      <c r="F1286">
        <v>3.8964985000000001E-2</v>
      </c>
    </row>
    <row r="1287" spans="1:6" x14ac:dyDescent="0.2">
      <c r="A1287" t="s">
        <v>2291</v>
      </c>
      <c r="B1287" t="s">
        <v>2188</v>
      </c>
      <c r="C1287" t="s">
        <v>2189</v>
      </c>
      <c r="D1287">
        <v>0.57089716810000002</v>
      </c>
      <c r="E1287">
        <v>0.39823881499999902</v>
      </c>
      <c r="F1287">
        <v>0.72516435499999998</v>
      </c>
    </row>
    <row r="1288" spans="1:6" x14ac:dyDescent="0.2">
      <c r="A1288" t="s">
        <v>2292</v>
      </c>
      <c r="B1288" t="s">
        <v>2191</v>
      </c>
      <c r="C1288" t="s">
        <v>648</v>
      </c>
      <c r="D1288">
        <v>0.57256171279228796</v>
      </c>
      <c r="E1288">
        <v>0.403151128298815</v>
      </c>
      <c r="F1288">
        <v>0.72555420600614295</v>
      </c>
    </row>
    <row r="1289" spans="1:6" x14ac:dyDescent="0.2">
      <c r="A1289" t="s">
        <v>2293</v>
      </c>
      <c r="B1289" t="s">
        <v>2193</v>
      </c>
      <c r="C1289" t="s">
        <v>648</v>
      </c>
      <c r="D1289">
        <v>0.59277197220139899</v>
      </c>
      <c r="E1289">
        <v>0.42359620735771603</v>
      </c>
      <c r="F1289">
        <v>0.74210471607960005</v>
      </c>
    </row>
    <row r="1290" spans="1:6" x14ac:dyDescent="0.2">
      <c r="A1290" t="s">
        <v>2294</v>
      </c>
      <c r="B1290" t="s">
        <v>2195</v>
      </c>
      <c r="C1290" t="s">
        <v>648</v>
      </c>
      <c r="D1290">
        <v>0.63293904867000195</v>
      </c>
      <c r="E1290">
        <v>0.46165970345255503</v>
      </c>
      <c r="F1290">
        <v>0.78103257204120202</v>
      </c>
    </row>
    <row r="1291" spans="1:6" x14ac:dyDescent="0.2">
      <c r="A1291" t="s">
        <v>2295</v>
      </c>
      <c r="B1291" t="s">
        <v>698</v>
      </c>
      <c r="D1291">
        <v>0</v>
      </c>
      <c r="E1291">
        <v>0</v>
      </c>
      <c r="F1291">
        <v>0</v>
      </c>
    </row>
    <row r="1292" spans="1:6" x14ac:dyDescent="0.2">
      <c r="A1292" t="s">
        <v>2296</v>
      </c>
      <c r="B1292" t="s">
        <v>850</v>
      </c>
      <c r="C1292" t="s">
        <v>851</v>
      </c>
      <c r="D1292">
        <v>3.69639789999999E-3</v>
      </c>
      <c r="E1292">
        <v>1.3124725E-3</v>
      </c>
      <c r="F1292">
        <v>8.1387825000000004E-3</v>
      </c>
    </row>
    <row r="1293" spans="1:6" x14ac:dyDescent="0.2">
      <c r="A1293" t="s">
        <v>2297</v>
      </c>
      <c r="B1293" t="s">
        <v>853</v>
      </c>
      <c r="C1293" t="s">
        <v>854</v>
      </c>
      <c r="D1293">
        <v>5.1541961499999997E-2</v>
      </c>
      <c r="E1293">
        <v>3.3847374999999999E-2</v>
      </c>
      <c r="F1293">
        <v>7.5721812499999999E-2</v>
      </c>
    </row>
    <row r="1294" spans="1:6" x14ac:dyDescent="0.2">
      <c r="A1294" t="s">
        <v>2298</v>
      </c>
      <c r="B1294" t="s">
        <v>856</v>
      </c>
      <c r="C1294" t="s">
        <v>857</v>
      </c>
      <c r="D1294">
        <v>0.14876615300000001</v>
      </c>
      <c r="E1294">
        <v>0.10073293999999899</v>
      </c>
      <c r="F1294">
        <v>0.20911520249999899</v>
      </c>
    </row>
    <row r="1295" spans="1:6" x14ac:dyDescent="0.2">
      <c r="A1295" t="s">
        <v>2299</v>
      </c>
      <c r="B1295" t="s">
        <v>698</v>
      </c>
      <c r="D1295">
        <v>0</v>
      </c>
      <c r="E1295">
        <v>0</v>
      </c>
      <c r="F1295">
        <v>0</v>
      </c>
    </row>
    <row r="1296" spans="1:6" x14ac:dyDescent="0.2">
      <c r="A1296" t="s">
        <v>2300</v>
      </c>
      <c r="B1296" t="s">
        <v>2201</v>
      </c>
      <c r="C1296" t="s">
        <v>2202</v>
      </c>
      <c r="D1296">
        <v>0.1044765406</v>
      </c>
      <c r="E1296">
        <v>7.0397582499999903E-2</v>
      </c>
      <c r="F1296">
        <v>0.14667005999999899</v>
      </c>
    </row>
    <row r="1297" spans="1:6" x14ac:dyDescent="0.2">
      <c r="A1297" t="s">
        <v>2301</v>
      </c>
      <c r="B1297" t="s">
        <v>2204</v>
      </c>
      <c r="D1297">
        <v>0.107776962488985</v>
      </c>
      <c r="E1297">
        <v>7.2352775167680197E-2</v>
      </c>
      <c r="F1297">
        <v>0.15054305335135301</v>
      </c>
    </row>
    <row r="1298" spans="1:6" x14ac:dyDescent="0.2">
      <c r="A1298" t="s">
        <v>2302</v>
      </c>
      <c r="B1298" t="s">
        <v>2206</v>
      </c>
      <c r="D1298">
        <v>0.150456456639806</v>
      </c>
      <c r="E1298">
        <v>0.102812065154997</v>
      </c>
      <c r="F1298">
        <v>0.20715925362267301</v>
      </c>
    </row>
    <row r="1299" spans="1:6" x14ac:dyDescent="0.2">
      <c r="A1299" t="s">
        <v>2303</v>
      </c>
      <c r="B1299" t="s">
        <v>2208</v>
      </c>
      <c r="D1299">
        <v>0.23720671693244499</v>
      </c>
      <c r="E1299">
        <v>0.16536549868531</v>
      </c>
      <c r="F1299">
        <v>0.323689087955913</v>
      </c>
    </row>
    <row r="1300" spans="1:6" x14ac:dyDescent="0.2">
      <c r="A1300" t="s">
        <v>2304</v>
      </c>
      <c r="B1300" t="s">
        <v>1348</v>
      </c>
      <c r="C1300" t="s">
        <v>1349</v>
      </c>
      <c r="D1300">
        <v>0.56850238799999897</v>
      </c>
      <c r="E1300">
        <v>0.38881356</v>
      </c>
      <c r="F1300">
        <v>0.72678767</v>
      </c>
    </row>
    <row r="1301" spans="1:6" x14ac:dyDescent="0.2">
      <c r="A1301" t="s">
        <v>2305</v>
      </c>
      <c r="B1301" t="s">
        <v>2211</v>
      </c>
      <c r="C1301" t="s">
        <v>648</v>
      </c>
      <c r="D1301">
        <v>0.57017541467041</v>
      </c>
      <c r="E1301">
        <v>0.39143400523905197</v>
      </c>
      <c r="F1301">
        <v>0.72742338427928599</v>
      </c>
    </row>
    <row r="1302" spans="1:6" x14ac:dyDescent="0.2">
      <c r="A1302" t="s">
        <v>2306</v>
      </c>
      <c r="B1302" t="s">
        <v>2213</v>
      </c>
      <c r="C1302" t="s">
        <v>648</v>
      </c>
      <c r="D1302">
        <v>0.59050085221308801</v>
      </c>
      <c r="E1302">
        <v>0.41372750161549698</v>
      </c>
      <c r="F1302">
        <v>0.74307276271247702</v>
      </c>
    </row>
    <row r="1303" spans="1:6" x14ac:dyDescent="0.2">
      <c r="A1303" t="s">
        <v>2307</v>
      </c>
      <c r="B1303" t="s">
        <v>2215</v>
      </c>
      <c r="C1303" t="s">
        <v>648</v>
      </c>
      <c r="D1303">
        <v>0.630883907680443</v>
      </c>
      <c r="E1303">
        <v>0.45575649748210001</v>
      </c>
      <c r="F1303">
        <v>0.78245538288760696</v>
      </c>
    </row>
    <row r="1304" spans="1:6" x14ac:dyDescent="0.2">
      <c r="A1304" t="s">
        <v>2308</v>
      </c>
      <c r="B1304" t="s">
        <v>2217</v>
      </c>
      <c r="C1304" t="s">
        <v>648</v>
      </c>
      <c r="D1304">
        <v>0.14820019508281501</v>
      </c>
      <c r="E1304">
        <v>9.98587152353725E-2</v>
      </c>
      <c r="F1304">
        <v>0.20492380866486601</v>
      </c>
    </row>
    <row r="1305" spans="1:6" x14ac:dyDescent="0.2">
      <c r="A1305" t="s">
        <v>2309</v>
      </c>
      <c r="B1305" t="s">
        <v>2219</v>
      </c>
      <c r="C1305" t="s">
        <v>648</v>
      </c>
      <c r="D1305">
        <v>0.141455247522356</v>
      </c>
      <c r="E1305">
        <v>9.6789651893157094E-2</v>
      </c>
      <c r="F1305">
        <v>0.19488565349802001</v>
      </c>
    </row>
    <row r="1306" spans="1:6" x14ac:dyDescent="0.2">
      <c r="A1306" t="s">
        <v>2310</v>
      </c>
      <c r="B1306" t="s">
        <v>2221</v>
      </c>
      <c r="C1306" t="s">
        <v>648</v>
      </c>
      <c r="D1306">
        <v>0.168395653018899</v>
      </c>
      <c r="E1306">
        <v>0.114713887328026</v>
      </c>
      <c r="F1306">
        <v>0.23034236981075701</v>
      </c>
    </row>
    <row r="1307" spans="1:6" x14ac:dyDescent="0.2">
      <c r="A1307" t="s">
        <v>2311</v>
      </c>
      <c r="B1307" t="s">
        <v>2223</v>
      </c>
      <c r="C1307" t="s">
        <v>648</v>
      </c>
      <c r="D1307">
        <v>0.26425755402158901</v>
      </c>
      <c r="E1307">
        <v>0.18585288288821999</v>
      </c>
      <c r="F1307">
        <v>0.35842890375653402</v>
      </c>
    </row>
    <row r="1308" spans="1:6" x14ac:dyDescent="0.2">
      <c r="A1308" t="s">
        <v>2312</v>
      </c>
      <c r="B1308" t="s">
        <v>700</v>
      </c>
      <c r="C1308" t="s">
        <v>701</v>
      </c>
      <c r="D1308">
        <v>5.0594945799999902E-2</v>
      </c>
      <c r="E1308">
        <v>3.2378222499999998E-2</v>
      </c>
      <c r="F1308">
        <v>7.4050449999999907E-2</v>
      </c>
    </row>
    <row r="1309" spans="1:6" x14ac:dyDescent="0.2">
      <c r="A1309" t="s">
        <v>2313</v>
      </c>
      <c r="B1309" t="s">
        <v>919</v>
      </c>
      <c r="C1309" t="s">
        <v>920</v>
      </c>
      <c r="D1309">
        <v>2.6517503899999999E-2</v>
      </c>
      <c r="E1309">
        <v>1.5009937500000001E-2</v>
      </c>
      <c r="F1309">
        <v>4.23970475E-2</v>
      </c>
    </row>
    <row r="1310" spans="1:6" x14ac:dyDescent="0.2">
      <c r="A1310" t="s">
        <v>2314</v>
      </c>
      <c r="B1310" t="s">
        <v>955</v>
      </c>
      <c r="C1310" t="s">
        <v>956</v>
      </c>
      <c r="D1310">
        <v>0.18808746869999901</v>
      </c>
      <c r="E1310">
        <v>0.124700385</v>
      </c>
      <c r="F1310">
        <v>0.26659237499999999</v>
      </c>
    </row>
    <row r="1311" spans="1:6" x14ac:dyDescent="0.2">
      <c r="A1311" t="s">
        <v>2315</v>
      </c>
      <c r="B1311" t="s">
        <v>1387</v>
      </c>
      <c r="C1311" t="s">
        <v>1388</v>
      </c>
      <c r="D1311">
        <v>0.57631682819999996</v>
      </c>
      <c r="E1311">
        <v>0.40142909249999997</v>
      </c>
      <c r="F1311">
        <v>0.73075530999999905</v>
      </c>
    </row>
    <row r="1312" spans="1:6" x14ac:dyDescent="0.2">
      <c r="A1312" t="s">
        <v>2316</v>
      </c>
      <c r="B1312" t="s">
        <v>919</v>
      </c>
      <c r="C1312" t="s">
        <v>920</v>
      </c>
      <c r="D1312">
        <v>2.6517503899999999E-2</v>
      </c>
      <c r="E1312">
        <v>1.5009937500000001E-2</v>
      </c>
      <c r="F1312">
        <v>4.23970475E-2</v>
      </c>
    </row>
    <row r="1313" spans="1:6" x14ac:dyDescent="0.2">
      <c r="A1313" t="s">
        <v>2317</v>
      </c>
      <c r="B1313" t="s">
        <v>955</v>
      </c>
      <c r="C1313" t="s">
        <v>956</v>
      </c>
      <c r="D1313">
        <v>0.18808746869999901</v>
      </c>
      <c r="E1313">
        <v>0.124700385</v>
      </c>
      <c r="F1313">
        <v>0.26659237499999999</v>
      </c>
    </row>
    <row r="1314" spans="1:6" x14ac:dyDescent="0.2">
      <c r="A1314" t="s">
        <v>2318</v>
      </c>
      <c r="B1314" t="s">
        <v>698</v>
      </c>
      <c r="D1314">
        <v>0</v>
      </c>
      <c r="E1314">
        <v>0</v>
      </c>
      <c r="F1314">
        <v>0</v>
      </c>
    </row>
    <row r="1315" spans="1:6" x14ac:dyDescent="0.2">
      <c r="A1315" t="s">
        <v>2319</v>
      </c>
      <c r="B1315" t="s">
        <v>919</v>
      </c>
      <c r="C1315" t="s">
        <v>920</v>
      </c>
      <c r="D1315">
        <v>2.6517503899999999E-2</v>
      </c>
      <c r="E1315">
        <v>1.5009937500000001E-2</v>
      </c>
      <c r="F1315">
        <v>4.23970475E-2</v>
      </c>
    </row>
    <row r="1316" spans="1:6" x14ac:dyDescent="0.2">
      <c r="A1316" t="s">
        <v>2320</v>
      </c>
      <c r="B1316" t="s">
        <v>698</v>
      </c>
      <c r="D1316">
        <v>0</v>
      </c>
      <c r="E1316">
        <v>0</v>
      </c>
      <c r="F1316">
        <v>0</v>
      </c>
    </row>
    <row r="1317" spans="1:6" x14ac:dyDescent="0.2">
      <c r="A1317" t="s">
        <v>2321</v>
      </c>
      <c r="B1317" t="s">
        <v>919</v>
      </c>
      <c r="C1317" t="s">
        <v>920</v>
      </c>
      <c r="D1317">
        <v>2.6517503899999999E-2</v>
      </c>
      <c r="E1317">
        <v>1.5009937500000001E-2</v>
      </c>
      <c r="F1317">
        <v>4.23970475E-2</v>
      </c>
    </row>
    <row r="1318" spans="1:6" x14ac:dyDescent="0.2">
      <c r="A1318" t="s">
        <v>2322</v>
      </c>
      <c r="B1318" t="s">
        <v>955</v>
      </c>
      <c r="C1318" t="s">
        <v>956</v>
      </c>
      <c r="D1318">
        <v>0.18808746869999901</v>
      </c>
      <c r="E1318">
        <v>0.124700385</v>
      </c>
      <c r="F1318">
        <v>0.26659237499999999</v>
      </c>
    </row>
    <row r="1319" spans="1:6" x14ac:dyDescent="0.2">
      <c r="A1319" t="s">
        <v>2323</v>
      </c>
      <c r="B1319" t="s">
        <v>1387</v>
      </c>
      <c r="C1319" t="s">
        <v>1388</v>
      </c>
      <c r="D1319">
        <v>0.57631682819999996</v>
      </c>
      <c r="E1319">
        <v>0.40142909249999997</v>
      </c>
      <c r="F1319">
        <v>0.73075530999999905</v>
      </c>
    </row>
    <row r="1320" spans="1:6" x14ac:dyDescent="0.2">
      <c r="A1320" t="s">
        <v>2324</v>
      </c>
      <c r="B1320" t="s">
        <v>714</v>
      </c>
      <c r="C1320" t="s">
        <v>715</v>
      </c>
      <c r="D1320">
        <v>5.7864971999999903E-3</v>
      </c>
      <c r="E1320">
        <v>2.29985E-3</v>
      </c>
      <c r="F1320">
        <v>1.2109072499999899E-2</v>
      </c>
    </row>
    <row r="1321" spans="1:6" x14ac:dyDescent="0.2">
      <c r="A1321" t="s">
        <v>2325</v>
      </c>
      <c r="B1321" t="s">
        <v>700</v>
      </c>
      <c r="C1321" t="s">
        <v>701</v>
      </c>
      <c r="D1321">
        <v>5.0594945799999902E-2</v>
      </c>
      <c r="E1321">
        <v>3.2378222499999998E-2</v>
      </c>
      <c r="F1321">
        <v>7.4050449999999907E-2</v>
      </c>
    </row>
    <row r="1322" spans="1:6" x14ac:dyDescent="0.2">
      <c r="A1322" t="s">
        <v>2326</v>
      </c>
      <c r="B1322" t="s">
        <v>776</v>
      </c>
      <c r="C1322" t="s">
        <v>777</v>
      </c>
      <c r="D1322">
        <v>0.13341151879999999</v>
      </c>
      <c r="E1322">
        <v>8.8459514999999905E-2</v>
      </c>
      <c r="F1322">
        <v>0.18950166500000001</v>
      </c>
    </row>
    <row r="1323" spans="1:6" x14ac:dyDescent="0.2">
      <c r="A1323" t="s">
        <v>2327</v>
      </c>
      <c r="B1323" t="s">
        <v>714</v>
      </c>
      <c r="C1323" t="s">
        <v>715</v>
      </c>
      <c r="D1323">
        <v>5.7864971999999903E-3</v>
      </c>
      <c r="E1323">
        <v>2.29985E-3</v>
      </c>
      <c r="F1323">
        <v>1.2109072499999899E-2</v>
      </c>
    </row>
    <row r="1324" spans="1:6" x14ac:dyDescent="0.2">
      <c r="A1324" t="s">
        <v>2328</v>
      </c>
      <c r="B1324" t="s">
        <v>714</v>
      </c>
      <c r="C1324" t="s">
        <v>715</v>
      </c>
      <c r="D1324">
        <v>5.7864971999999903E-3</v>
      </c>
      <c r="E1324">
        <v>2.29985E-3</v>
      </c>
      <c r="F1324">
        <v>1.2109072499999899E-2</v>
      </c>
    </row>
    <row r="1325" spans="1:6" x14ac:dyDescent="0.2">
      <c r="A1325" t="s">
        <v>2329</v>
      </c>
      <c r="B1325" t="s">
        <v>919</v>
      </c>
      <c r="C1325" t="s">
        <v>920</v>
      </c>
      <c r="D1325">
        <v>2.6517503899999999E-2</v>
      </c>
      <c r="E1325">
        <v>1.5009937500000001E-2</v>
      </c>
      <c r="F1325">
        <v>4.23970475E-2</v>
      </c>
    </row>
    <row r="1326" spans="1:6" x14ac:dyDescent="0.2">
      <c r="A1326" t="s">
        <v>2330</v>
      </c>
      <c r="B1326" t="s">
        <v>714</v>
      </c>
      <c r="C1326" t="s">
        <v>715</v>
      </c>
      <c r="D1326">
        <v>5.7864971999999903E-3</v>
      </c>
      <c r="E1326">
        <v>2.29985E-3</v>
      </c>
      <c r="F1326">
        <v>1.2109072499999899E-2</v>
      </c>
    </row>
    <row r="1327" spans="1:6" x14ac:dyDescent="0.2">
      <c r="A1327" t="s">
        <v>2331</v>
      </c>
      <c r="B1327" t="s">
        <v>714</v>
      </c>
      <c r="C1327" t="s">
        <v>715</v>
      </c>
      <c r="D1327">
        <v>5.7864971999999903E-3</v>
      </c>
      <c r="E1327">
        <v>2.29985E-3</v>
      </c>
      <c r="F1327">
        <v>1.2109072499999899E-2</v>
      </c>
    </row>
    <row r="1328" spans="1:6" x14ac:dyDescent="0.2">
      <c r="A1328" t="s">
        <v>2332</v>
      </c>
      <c r="B1328" t="s">
        <v>714</v>
      </c>
      <c r="C1328" t="s">
        <v>715</v>
      </c>
      <c r="D1328">
        <v>5.7864971999999903E-3</v>
      </c>
      <c r="E1328">
        <v>2.29985E-3</v>
      </c>
      <c r="F1328">
        <v>1.2109072499999899E-2</v>
      </c>
    </row>
    <row r="1329" spans="1:6" x14ac:dyDescent="0.2">
      <c r="A1329" t="s">
        <v>2333</v>
      </c>
      <c r="B1329" t="s">
        <v>916</v>
      </c>
      <c r="C1329" t="s">
        <v>917</v>
      </c>
      <c r="D1329">
        <v>6.6991753799999998E-2</v>
      </c>
      <c r="E1329">
        <v>4.4417720000000001E-2</v>
      </c>
      <c r="F1329">
        <v>9.5900522499999905E-2</v>
      </c>
    </row>
    <row r="1330" spans="1:6" x14ac:dyDescent="0.2">
      <c r="A1330" t="s">
        <v>2334</v>
      </c>
      <c r="B1330" t="s">
        <v>714</v>
      </c>
      <c r="C1330" t="s">
        <v>715</v>
      </c>
      <c r="D1330">
        <v>5.7864971999999903E-3</v>
      </c>
      <c r="E1330">
        <v>2.29985E-3</v>
      </c>
      <c r="F1330">
        <v>1.2109072499999899E-2</v>
      </c>
    </row>
    <row r="1331" spans="1:6" x14ac:dyDescent="0.2">
      <c r="A1331" t="s">
        <v>2335</v>
      </c>
      <c r="B1331" t="s">
        <v>916</v>
      </c>
      <c r="C1331" t="s">
        <v>917</v>
      </c>
      <c r="D1331">
        <v>6.6991753799999998E-2</v>
      </c>
      <c r="E1331">
        <v>4.4417720000000001E-2</v>
      </c>
      <c r="F1331">
        <v>9.5900522499999905E-2</v>
      </c>
    </row>
    <row r="1332" spans="1:6" x14ac:dyDescent="0.2">
      <c r="A1332" t="s">
        <v>2336</v>
      </c>
      <c r="B1332" t="s">
        <v>706</v>
      </c>
      <c r="C1332" t="s">
        <v>707</v>
      </c>
      <c r="D1332">
        <v>1.10162523999999E-2</v>
      </c>
      <c r="E1332">
        <v>5.2397625E-3</v>
      </c>
      <c r="F1332">
        <v>2.06195424999999E-2</v>
      </c>
    </row>
    <row r="1333" spans="1:6" x14ac:dyDescent="0.2">
      <c r="A1333" t="s">
        <v>2337</v>
      </c>
      <c r="B1333" t="s">
        <v>706</v>
      </c>
      <c r="C1333" t="s">
        <v>707</v>
      </c>
      <c r="D1333">
        <v>1.10162523999999E-2</v>
      </c>
      <c r="E1333">
        <v>5.2397625E-3</v>
      </c>
      <c r="F1333">
        <v>2.06195424999999E-2</v>
      </c>
    </row>
    <row r="1334" spans="1:6" x14ac:dyDescent="0.2">
      <c r="A1334" t="s">
        <v>2338</v>
      </c>
      <c r="B1334" t="s">
        <v>916</v>
      </c>
      <c r="C1334" t="s">
        <v>917</v>
      </c>
      <c r="D1334">
        <v>6.6991753799999998E-2</v>
      </c>
      <c r="E1334">
        <v>4.4417720000000001E-2</v>
      </c>
      <c r="F1334">
        <v>9.5900522499999905E-2</v>
      </c>
    </row>
    <row r="1335" spans="1:6" x14ac:dyDescent="0.2">
      <c r="A1335" t="s">
        <v>2339</v>
      </c>
      <c r="B1335" t="s">
        <v>719</v>
      </c>
      <c r="C1335" t="s">
        <v>720</v>
      </c>
      <c r="D1335">
        <v>0.40479053700000001</v>
      </c>
      <c r="E1335">
        <v>0.27450637750000001</v>
      </c>
      <c r="F1335">
        <v>0.54553343499999996</v>
      </c>
    </row>
    <row r="1336" spans="1:6" x14ac:dyDescent="0.2">
      <c r="A1336" t="s">
        <v>2340</v>
      </c>
      <c r="B1336" t="s">
        <v>706</v>
      </c>
      <c r="C1336" t="s">
        <v>707</v>
      </c>
      <c r="D1336">
        <v>1.10162523999999E-2</v>
      </c>
      <c r="E1336">
        <v>5.2397625E-3</v>
      </c>
      <c r="F1336">
        <v>2.06195424999999E-2</v>
      </c>
    </row>
    <row r="1337" spans="1:6" x14ac:dyDescent="0.2">
      <c r="A1337" t="s">
        <v>2341</v>
      </c>
      <c r="B1337" t="s">
        <v>916</v>
      </c>
      <c r="C1337" t="s">
        <v>917</v>
      </c>
      <c r="D1337">
        <v>6.6991753799999998E-2</v>
      </c>
      <c r="E1337">
        <v>4.4417720000000001E-2</v>
      </c>
      <c r="F1337">
        <v>9.5900522499999905E-2</v>
      </c>
    </row>
    <row r="1338" spans="1:6" x14ac:dyDescent="0.2">
      <c r="A1338" t="s">
        <v>2342</v>
      </c>
      <c r="B1338" t="s">
        <v>706</v>
      </c>
      <c r="C1338" t="s">
        <v>707</v>
      </c>
      <c r="D1338">
        <v>1.10162523999999E-2</v>
      </c>
      <c r="E1338">
        <v>5.2397625E-3</v>
      </c>
      <c r="F1338">
        <v>2.06195424999999E-2</v>
      </c>
    </row>
    <row r="1339" spans="1:6" x14ac:dyDescent="0.2">
      <c r="A1339" t="s">
        <v>2343</v>
      </c>
      <c r="B1339" t="s">
        <v>919</v>
      </c>
      <c r="C1339" t="s">
        <v>920</v>
      </c>
      <c r="D1339">
        <v>2.6517503899999999E-2</v>
      </c>
      <c r="E1339">
        <v>1.5009937500000001E-2</v>
      </c>
      <c r="F1339">
        <v>4.23970475E-2</v>
      </c>
    </row>
    <row r="1340" spans="1:6" x14ac:dyDescent="0.2">
      <c r="A1340" t="s">
        <v>2344</v>
      </c>
      <c r="B1340" t="s">
        <v>955</v>
      </c>
      <c r="C1340" t="s">
        <v>956</v>
      </c>
      <c r="D1340">
        <v>0.18808746869999901</v>
      </c>
      <c r="E1340">
        <v>0.124700385</v>
      </c>
      <c r="F1340">
        <v>0.26659237499999999</v>
      </c>
    </row>
    <row r="1341" spans="1:6" x14ac:dyDescent="0.2">
      <c r="A1341" t="s">
        <v>2345</v>
      </c>
      <c r="B1341" t="s">
        <v>919</v>
      </c>
      <c r="C1341" t="s">
        <v>920</v>
      </c>
      <c r="D1341">
        <v>2.6517503899999999E-2</v>
      </c>
      <c r="E1341">
        <v>1.5009937500000001E-2</v>
      </c>
      <c r="F1341">
        <v>4.23970475E-2</v>
      </c>
    </row>
    <row r="1342" spans="1:6" x14ac:dyDescent="0.2">
      <c r="A1342" t="s">
        <v>2346</v>
      </c>
      <c r="B1342" t="s">
        <v>955</v>
      </c>
      <c r="C1342" t="s">
        <v>956</v>
      </c>
      <c r="D1342">
        <v>0.18808746869999901</v>
      </c>
      <c r="E1342">
        <v>0.124700385</v>
      </c>
      <c r="F1342">
        <v>0.26659237499999999</v>
      </c>
    </row>
    <row r="1343" spans="1:6" x14ac:dyDescent="0.2">
      <c r="A1343" t="s">
        <v>2347</v>
      </c>
      <c r="B1343" t="s">
        <v>1387</v>
      </c>
      <c r="C1343" t="s">
        <v>1388</v>
      </c>
      <c r="D1343">
        <v>0.57631682819999996</v>
      </c>
      <c r="E1343">
        <v>0.40142909249999997</v>
      </c>
      <c r="F1343">
        <v>0.73075530999999905</v>
      </c>
    </row>
    <row r="1344" spans="1:6" x14ac:dyDescent="0.2">
      <c r="A1344" t="s">
        <v>2348</v>
      </c>
      <c r="B1344" t="s">
        <v>706</v>
      </c>
      <c r="C1344" t="s">
        <v>707</v>
      </c>
      <c r="D1344">
        <v>1.10162523999999E-2</v>
      </c>
      <c r="E1344">
        <v>5.2397625E-3</v>
      </c>
      <c r="F1344">
        <v>2.06195424999999E-2</v>
      </c>
    </row>
    <row r="1345" spans="1:6" x14ac:dyDescent="0.2">
      <c r="A1345" t="s">
        <v>2349</v>
      </c>
      <c r="B1345" t="s">
        <v>698</v>
      </c>
      <c r="D1345">
        <v>0</v>
      </c>
      <c r="E1345">
        <v>0</v>
      </c>
      <c r="F1345">
        <v>0</v>
      </c>
    </row>
    <row r="1346" spans="1:6" x14ac:dyDescent="0.2">
      <c r="A1346" t="s">
        <v>2350</v>
      </c>
      <c r="B1346" t="s">
        <v>959</v>
      </c>
      <c r="C1346" t="s">
        <v>960</v>
      </c>
      <c r="D1346">
        <v>3.0842126399999899E-2</v>
      </c>
      <c r="E1346">
        <v>1.8822002500000001E-2</v>
      </c>
      <c r="F1346">
        <v>4.8710372499999897E-2</v>
      </c>
    </row>
    <row r="1347" spans="1:6" x14ac:dyDescent="0.2">
      <c r="A1347" t="s">
        <v>2351</v>
      </c>
      <c r="B1347" t="s">
        <v>962</v>
      </c>
      <c r="C1347" t="s">
        <v>963</v>
      </c>
      <c r="D1347">
        <v>0.18404848779999999</v>
      </c>
      <c r="E1347">
        <v>0.1251250575</v>
      </c>
      <c r="F1347">
        <v>0.25828618249999902</v>
      </c>
    </row>
    <row r="1348" spans="1:6" x14ac:dyDescent="0.2">
      <c r="A1348" t="s">
        <v>2352</v>
      </c>
      <c r="B1348" t="s">
        <v>965</v>
      </c>
      <c r="C1348" t="s">
        <v>966</v>
      </c>
      <c r="D1348">
        <v>0.18736458340000001</v>
      </c>
      <c r="E1348">
        <v>0.1244286775</v>
      </c>
      <c r="F1348">
        <v>0.26021716249999999</v>
      </c>
    </row>
    <row r="1349" spans="1:6" x14ac:dyDescent="0.2">
      <c r="A1349" t="s">
        <v>2353</v>
      </c>
      <c r="B1349" t="s">
        <v>959</v>
      </c>
      <c r="C1349" t="s">
        <v>960</v>
      </c>
      <c r="D1349">
        <v>3.0842126399999899E-2</v>
      </c>
      <c r="E1349">
        <v>1.8822002500000001E-2</v>
      </c>
      <c r="F1349">
        <v>4.8710372499999897E-2</v>
      </c>
    </row>
    <row r="1350" spans="1:6" x14ac:dyDescent="0.2">
      <c r="A1350" t="s">
        <v>2354</v>
      </c>
      <c r="B1350" t="s">
        <v>962</v>
      </c>
      <c r="C1350" t="s">
        <v>963</v>
      </c>
      <c r="D1350">
        <v>0.18404848779999999</v>
      </c>
      <c r="E1350">
        <v>0.1251250575</v>
      </c>
      <c r="F1350">
        <v>0.25828618249999902</v>
      </c>
    </row>
    <row r="1351" spans="1:6" x14ac:dyDescent="0.2">
      <c r="A1351" t="s">
        <v>2355</v>
      </c>
      <c r="B1351" t="s">
        <v>965</v>
      </c>
      <c r="C1351" t="s">
        <v>966</v>
      </c>
      <c r="D1351">
        <v>0.18736458340000001</v>
      </c>
      <c r="E1351">
        <v>0.1244286775</v>
      </c>
      <c r="F1351">
        <v>0.26021716249999999</v>
      </c>
    </row>
    <row r="1352" spans="1:6" x14ac:dyDescent="0.2">
      <c r="A1352" t="s">
        <v>2356</v>
      </c>
      <c r="B1352" t="s">
        <v>959</v>
      </c>
      <c r="C1352" t="s">
        <v>960</v>
      </c>
      <c r="D1352">
        <v>3.0842126399999899E-2</v>
      </c>
      <c r="E1352">
        <v>1.8822002500000001E-2</v>
      </c>
      <c r="F1352">
        <v>4.8710372499999897E-2</v>
      </c>
    </row>
    <row r="1353" spans="1:6" x14ac:dyDescent="0.2">
      <c r="A1353" t="s">
        <v>2357</v>
      </c>
      <c r="B1353" t="s">
        <v>962</v>
      </c>
      <c r="C1353" t="s">
        <v>963</v>
      </c>
      <c r="D1353">
        <v>0.18404848779999999</v>
      </c>
      <c r="E1353">
        <v>0.1251250575</v>
      </c>
      <c r="F1353">
        <v>0.25828618249999902</v>
      </c>
    </row>
    <row r="1354" spans="1:6" x14ac:dyDescent="0.2">
      <c r="A1354" t="s">
        <v>2358</v>
      </c>
      <c r="B1354" t="s">
        <v>965</v>
      </c>
      <c r="C1354" t="s">
        <v>966</v>
      </c>
      <c r="D1354">
        <v>0.18736458340000001</v>
      </c>
      <c r="E1354">
        <v>0.1244286775</v>
      </c>
      <c r="F1354">
        <v>0.26021716249999999</v>
      </c>
    </row>
    <row r="1355" spans="1:6" x14ac:dyDescent="0.2">
      <c r="A1355" t="s">
        <v>2359</v>
      </c>
      <c r="B1355" t="s">
        <v>959</v>
      </c>
      <c r="C1355" t="s">
        <v>960</v>
      </c>
      <c r="D1355">
        <v>3.0842126399999899E-2</v>
      </c>
      <c r="E1355">
        <v>1.8822002500000001E-2</v>
      </c>
      <c r="F1355">
        <v>4.8710372499999897E-2</v>
      </c>
    </row>
    <row r="1356" spans="1:6" x14ac:dyDescent="0.2">
      <c r="A1356" t="s">
        <v>2360</v>
      </c>
      <c r="B1356" t="s">
        <v>962</v>
      </c>
      <c r="C1356" t="s">
        <v>963</v>
      </c>
      <c r="D1356">
        <v>0.18404848779999999</v>
      </c>
      <c r="E1356">
        <v>0.1251250575</v>
      </c>
      <c r="F1356">
        <v>0.25828618249999902</v>
      </c>
    </row>
    <row r="1357" spans="1:6" x14ac:dyDescent="0.2">
      <c r="A1357" t="s">
        <v>2361</v>
      </c>
      <c r="B1357" t="s">
        <v>965</v>
      </c>
      <c r="C1357" t="s">
        <v>966</v>
      </c>
      <c r="D1357">
        <v>0.18736458340000001</v>
      </c>
      <c r="E1357">
        <v>0.1244286775</v>
      </c>
      <c r="F1357">
        <v>0.26021716249999999</v>
      </c>
    </row>
    <row r="1358" spans="1:6" x14ac:dyDescent="0.2">
      <c r="A1358" t="s">
        <v>2362</v>
      </c>
      <c r="B1358" t="s">
        <v>2363</v>
      </c>
      <c r="C1358" t="s">
        <v>2364</v>
      </c>
      <c r="D1358">
        <v>1.06037545999999E-2</v>
      </c>
      <c r="E1358">
        <v>4.9516274999999998E-3</v>
      </c>
      <c r="F1358">
        <v>1.9869292499999899E-2</v>
      </c>
    </row>
    <row r="1359" spans="1:6" x14ac:dyDescent="0.2">
      <c r="A1359" t="s">
        <v>2365</v>
      </c>
      <c r="B1359" t="s">
        <v>959</v>
      </c>
      <c r="C1359" t="s">
        <v>960</v>
      </c>
      <c r="D1359">
        <v>3.0842126399999899E-2</v>
      </c>
      <c r="E1359">
        <v>1.8822002500000001E-2</v>
      </c>
      <c r="F1359">
        <v>4.8710372499999897E-2</v>
      </c>
    </row>
    <row r="1360" spans="1:6" x14ac:dyDescent="0.2">
      <c r="A1360" t="s">
        <v>2366</v>
      </c>
      <c r="B1360" t="s">
        <v>962</v>
      </c>
      <c r="C1360" t="s">
        <v>963</v>
      </c>
      <c r="D1360">
        <v>0.18404848779999999</v>
      </c>
      <c r="E1360">
        <v>0.1251250575</v>
      </c>
      <c r="F1360">
        <v>0.25828618249999902</v>
      </c>
    </row>
    <row r="1361" spans="1:6" x14ac:dyDescent="0.2">
      <c r="A1361" t="s">
        <v>2367</v>
      </c>
      <c r="B1361" t="s">
        <v>965</v>
      </c>
      <c r="C1361" t="s">
        <v>966</v>
      </c>
      <c r="D1361">
        <v>0.18736458340000001</v>
      </c>
      <c r="E1361">
        <v>0.1244286775</v>
      </c>
      <c r="F1361">
        <v>0.26021716249999999</v>
      </c>
    </row>
    <row r="1362" spans="1:6" x14ac:dyDescent="0.2">
      <c r="A1362" t="s">
        <v>2368</v>
      </c>
      <c r="B1362" t="s">
        <v>786</v>
      </c>
      <c r="C1362" t="s">
        <v>787</v>
      </c>
      <c r="D1362">
        <v>9.5578865999999991E-3</v>
      </c>
      <c r="E1362">
        <v>4.1924800000000002E-3</v>
      </c>
      <c r="F1362">
        <v>1.8805200000000001E-2</v>
      </c>
    </row>
    <row r="1363" spans="1:6" x14ac:dyDescent="0.2">
      <c r="A1363" t="s">
        <v>2369</v>
      </c>
      <c r="B1363" t="s">
        <v>789</v>
      </c>
      <c r="C1363" t="s">
        <v>790</v>
      </c>
      <c r="D1363">
        <v>2.65751711999999E-2</v>
      </c>
      <c r="E1363">
        <v>1.52951175E-2</v>
      </c>
      <c r="F1363">
        <v>4.22289125E-2</v>
      </c>
    </row>
    <row r="1364" spans="1:6" x14ac:dyDescent="0.2">
      <c r="A1364" t="s">
        <v>2370</v>
      </c>
      <c r="B1364" t="s">
        <v>1045</v>
      </c>
      <c r="C1364" t="s">
        <v>1046</v>
      </c>
      <c r="D1364">
        <v>0.15839743489999999</v>
      </c>
      <c r="E1364">
        <v>0.1047161475</v>
      </c>
      <c r="F1364">
        <v>0.226632689999999</v>
      </c>
    </row>
    <row r="1365" spans="1:6" x14ac:dyDescent="0.2">
      <c r="A1365" t="s">
        <v>2371</v>
      </c>
      <c r="B1365" t="s">
        <v>1048</v>
      </c>
      <c r="C1365" t="s">
        <v>1049</v>
      </c>
      <c r="D1365">
        <v>0.2039397084</v>
      </c>
      <c r="E1365">
        <v>0.13448814749999999</v>
      </c>
      <c r="F1365">
        <v>0.28766184750000001</v>
      </c>
    </row>
    <row r="1366" spans="1:6" x14ac:dyDescent="0.2">
      <c r="A1366" t="s">
        <v>2372</v>
      </c>
      <c r="B1366" t="s">
        <v>1051</v>
      </c>
      <c r="C1366" t="s">
        <v>1052</v>
      </c>
      <c r="D1366">
        <v>0.21483467019999899</v>
      </c>
      <c r="E1366">
        <v>0.14405489499999999</v>
      </c>
      <c r="F1366">
        <v>0.30661874249999999</v>
      </c>
    </row>
    <row r="1367" spans="1:6" x14ac:dyDescent="0.2">
      <c r="A1367" t="s">
        <v>2373</v>
      </c>
      <c r="B1367" t="s">
        <v>792</v>
      </c>
      <c r="C1367" t="s">
        <v>793</v>
      </c>
      <c r="D1367">
        <v>2.1431429099999899E-2</v>
      </c>
      <c r="E1367">
        <v>1.1755784999999999E-2</v>
      </c>
      <c r="F1367">
        <v>3.6158027499999898E-2</v>
      </c>
    </row>
    <row r="1368" spans="1:6" x14ac:dyDescent="0.2">
      <c r="A1368" t="s">
        <v>2374</v>
      </c>
      <c r="B1368" t="s">
        <v>795</v>
      </c>
      <c r="C1368" t="s">
        <v>796</v>
      </c>
      <c r="D1368">
        <v>7.3963035999999899E-2</v>
      </c>
      <c r="E1368">
        <v>4.8560812499999897E-2</v>
      </c>
      <c r="F1368">
        <v>0.1065795325</v>
      </c>
    </row>
    <row r="1369" spans="1:6" x14ac:dyDescent="0.2">
      <c r="A1369" t="s">
        <v>2375</v>
      </c>
      <c r="B1369" t="s">
        <v>1056</v>
      </c>
      <c r="C1369" t="s">
        <v>1057</v>
      </c>
      <c r="D1369">
        <v>0.26086708250000001</v>
      </c>
      <c r="E1369">
        <v>0.17492123749999999</v>
      </c>
      <c r="F1369">
        <v>0.3600558425</v>
      </c>
    </row>
    <row r="1370" spans="1:6" x14ac:dyDescent="0.2">
      <c r="A1370" t="s">
        <v>2376</v>
      </c>
      <c r="B1370" t="s">
        <v>1059</v>
      </c>
      <c r="C1370" t="s">
        <v>1060</v>
      </c>
      <c r="D1370">
        <v>0.27732069809999998</v>
      </c>
      <c r="E1370">
        <v>0.18206008500000001</v>
      </c>
      <c r="F1370">
        <v>0.38717259249999902</v>
      </c>
    </row>
    <row r="1371" spans="1:6" x14ac:dyDescent="0.2">
      <c r="A1371" t="s">
        <v>2377</v>
      </c>
      <c r="B1371" t="s">
        <v>1062</v>
      </c>
      <c r="C1371" t="s">
        <v>1063</v>
      </c>
      <c r="D1371">
        <v>0.31580135729999997</v>
      </c>
      <c r="E1371">
        <v>0.2122617</v>
      </c>
      <c r="F1371">
        <v>0.43527153749999897</v>
      </c>
    </row>
    <row r="1372" spans="1:6" x14ac:dyDescent="0.2">
      <c r="A1372" t="s">
        <v>2378</v>
      </c>
      <c r="B1372" t="s">
        <v>1078</v>
      </c>
      <c r="C1372" t="s">
        <v>1079</v>
      </c>
      <c r="D1372">
        <v>9.2486303049999996E-2</v>
      </c>
      <c r="E1372">
        <v>6.3713094999999997E-2</v>
      </c>
      <c r="F1372">
        <v>0.12911613750000001</v>
      </c>
    </row>
    <row r="1373" spans="1:6" x14ac:dyDescent="0.2">
      <c r="A1373" t="s">
        <v>2379</v>
      </c>
      <c r="B1373" t="s">
        <v>1081</v>
      </c>
      <c r="C1373" t="s">
        <v>1079</v>
      </c>
      <c r="D1373">
        <v>0.16741505925</v>
      </c>
      <c r="E1373">
        <v>0.11486844874999901</v>
      </c>
      <c r="F1373">
        <v>0.23069741124999901</v>
      </c>
    </row>
    <row r="1374" spans="1:6" x14ac:dyDescent="0.2">
      <c r="A1374" t="s">
        <v>2380</v>
      </c>
      <c r="B1374" t="s">
        <v>706</v>
      </c>
      <c r="C1374" t="s">
        <v>707</v>
      </c>
      <c r="D1374">
        <v>1.10162523999999E-2</v>
      </c>
      <c r="E1374">
        <v>5.2397625E-3</v>
      </c>
      <c r="F1374">
        <v>2.06195424999999E-2</v>
      </c>
    </row>
    <row r="1375" spans="1:6" x14ac:dyDescent="0.2">
      <c r="A1375" t="s">
        <v>2381</v>
      </c>
      <c r="B1375" t="s">
        <v>698</v>
      </c>
      <c r="D1375">
        <v>0</v>
      </c>
      <c r="E1375">
        <v>0</v>
      </c>
      <c r="F1375">
        <v>0</v>
      </c>
    </row>
    <row r="1376" spans="1:6" x14ac:dyDescent="0.2">
      <c r="A1376" t="s">
        <v>2382</v>
      </c>
      <c r="B1376" t="s">
        <v>2383</v>
      </c>
      <c r="D1376">
        <v>0.113372240199999</v>
      </c>
      <c r="E1376">
        <v>7.3619699999999996E-2</v>
      </c>
      <c r="F1376">
        <v>0.15750459749999901</v>
      </c>
    </row>
    <row r="1377" spans="1:6" x14ac:dyDescent="0.2">
      <c r="A1377" t="s">
        <v>2384</v>
      </c>
      <c r="B1377" t="s">
        <v>714</v>
      </c>
      <c r="C1377" t="s">
        <v>715</v>
      </c>
      <c r="D1377">
        <v>5.7864971999999903E-3</v>
      </c>
      <c r="E1377">
        <v>2.29985E-3</v>
      </c>
      <c r="F1377">
        <v>1.2109072499999899E-2</v>
      </c>
    </row>
    <row r="1378" spans="1:6" x14ac:dyDescent="0.2">
      <c r="A1378" t="s">
        <v>2385</v>
      </c>
      <c r="B1378" t="s">
        <v>700</v>
      </c>
      <c r="C1378" t="s">
        <v>701</v>
      </c>
      <c r="D1378">
        <v>5.0594945799999902E-2</v>
      </c>
      <c r="E1378">
        <v>3.2378222499999998E-2</v>
      </c>
      <c r="F1378">
        <v>7.4050449999999907E-2</v>
      </c>
    </row>
    <row r="1379" spans="1:6" x14ac:dyDescent="0.2">
      <c r="A1379" t="s">
        <v>2386</v>
      </c>
      <c r="B1379" t="s">
        <v>698</v>
      </c>
      <c r="D1379">
        <v>0</v>
      </c>
      <c r="E1379">
        <v>0</v>
      </c>
      <c r="F1379">
        <v>0</v>
      </c>
    </row>
    <row r="1380" spans="1:6" x14ac:dyDescent="0.2">
      <c r="A1380" t="s">
        <v>2387</v>
      </c>
      <c r="B1380" t="s">
        <v>2388</v>
      </c>
      <c r="C1380" t="s">
        <v>2389</v>
      </c>
      <c r="D1380">
        <v>0.11707429799999899</v>
      </c>
      <c r="E1380">
        <v>7.9707004999999997E-2</v>
      </c>
      <c r="F1380">
        <v>0.162751334999999</v>
      </c>
    </row>
    <row r="1381" spans="1:6" x14ac:dyDescent="0.2">
      <c r="A1381" t="s">
        <v>2390</v>
      </c>
      <c r="B1381" t="s">
        <v>2391</v>
      </c>
      <c r="C1381" t="s">
        <v>2392</v>
      </c>
      <c r="D1381">
        <v>0.31744633160000002</v>
      </c>
      <c r="E1381">
        <v>0.21568688750000001</v>
      </c>
      <c r="F1381">
        <v>0.43971226999999902</v>
      </c>
    </row>
    <row r="1382" spans="1:6" x14ac:dyDescent="0.2">
      <c r="A1382" t="s">
        <v>2393</v>
      </c>
      <c r="B1382" t="s">
        <v>2394</v>
      </c>
      <c r="C1382" t="s">
        <v>2395</v>
      </c>
      <c r="D1382">
        <v>0.58118364210000095</v>
      </c>
      <c r="E1382">
        <v>0.40329404000000002</v>
      </c>
      <c r="F1382">
        <v>0.73932043250000001</v>
      </c>
    </row>
    <row r="1383" spans="1:6" x14ac:dyDescent="0.2">
      <c r="A1383" t="s">
        <v>2396</v>
      </c>
      <c r="B1383" t="s">
        <v>698</v>
      </c>
      <c r="D1383">
        <v>0</v>
      </c>
      <c r="E1383">
        <v>0</v>
      </c>
      <c r="F1383">
        <v>0</v>
      </c>
    </row>
    <row r="1384" spans="1:6" x14ac:dyDescent="0.2">
      <c r="A1384" t="s">
        <v>2397</v>
      </c>
      <c r="B1384" t="s">
        <v>2398</v>
      </c>
      <c r="C1384" t="s">
        <v>2399</v>
      </c>
      <c r="D1384">
        <v>2.2650050500000001E-2</v>
      </c>
      <c r="E1384">
        <v>1.27067449999999E-2</v>
      </c>
      <c r="F1384">
        <v>3.731458E-2</v>
      </c>
    </row>
    <row r="1385" spans="1:6" x14ac:dyDescent="0.2">
      <c r="A1385" t="s">
        <v>2400</v>
      </c>
      <c r="B1385" t="s">
        <v>1025</v>
      </c>
      <c r="C1385" t="s">
        <v>1026</v>
      </c>
      <c r="D1385">
        <v>7.8670707099999806E-2</v>
      </c>
      <c r="E1385">
        <v>5.3842090000000002E-2</v>
      </c>
      <c r="F1385">
        <v>0.109519294999999</v>
      </c>
    </row>
    <row r="1386" spans="1:6" x14ac:dyDescent="0.2">
      <c r="A1386" t="s">
        <v>2401</v>
      </c>
      <c r="B1386" t="s">
        <v>2402</v>
      </c>
      <c r="C1386" t="s">
        <v>2403</v>
      </c>
      <c r="D1386">
        <v>0.164979408399999</v>
      </c>
      <c r="E1386">
        <v>0.112283675</v>
      </c>
      <c r="F1386">
        <v>0.232387175</v>
      </c>
    </row>
    <row r="1387" spans="1:6" x14ac:dyDescent="0.2">
      <c r="A1387" t="s">
        <v>2404</v>
      </c>
      <c r="B1387" t="s">
        <v>698</v>
      </c>
      <c r="D1387">
        <v>0</v>
      </c>
      <c r="E1387">
        <v>0</v>
      </c>
      <c r="F1387">
        <v>0</v>
      </c>
    </row>
    <row r="1388" spans="1:6" x14ac:dyDescent="0.2">
      <c r="A1388" t="s">
        <v>2405</v>
      </c>
      <c r="B1388" t="s">
        <v>2398</v>
      </c>
      <c r="C1388" t="s">
        <v>2399</v>
      </c>
      <c r="D1388">
        <v>2.2650050500000001E-2</v>
      </c>
      <c r="E1388">
        <v>1.27067449999999E-2</v>
      </c>
      <c r="F1388">
        <v>3.731458E-2</v>
      </c>
    </row>
    <row r="1389" spans="1:6" x14ac:dyDescent="0.2">
      <c r="A1389" t="s">
        <v>2406</v>
      </c>
      <c r="B1389" t="s">
        <v>1025</v>
      </c>
      <c r="C1389" t="s">
        <v>1026</v>
      </c>
      <c r="D1389">
        <v>7.8670707099999806E-2</v>
      </c>
      <c r="E1389">
        <v>5.3842090000000002E-2</v>
      </c>
      <c r="F1389">
        <v>0.109519294999999</v>
      </c>
    </row>
    <row r="1390" spans="1:6" x14ac:dyDescent="0.2">
      <c r="A1390" t="s">
        <v>2407</v>
      </c>
      <c r="B1390" t="s">
        <v>2402</v>
      </c>
      <c r="C1390" t="s">
        <v>2403</v>
      </c>
      <c r="D1390">
        <v>0.164979408399999</v>
      </c>
      <c r="E1390">
        <v>0.112283675</v>
      </c>
      <c r="F1390">
        <v>0.232387175</v>
      </c>
    </row>
    <row r="1391" spans="1:6" x14ac:dyDescent="0.2">
      <c r="A1391" t="s">
        <v>2408</v>
      </c>
      <c r="B1391" t="s">
        <v>698</v>
      </c>
      <c r="D1391">
        <v>0</v>
      </c>
      <c r="E1391">
        <v>0</v>
      </c>
      <c r="F1391">
        <v>0</v>
      </c>
    </row>
    <row r="1392" spans="1:6" x14ac:dyDescent="0.2">
      <c r="A1392" t="s">
        <v>2409</v>
      </c>
      <c r="B1392" t="s">
        <v>2398</v>
      </c>
      <c r="C1392" t="s">
        <v>2399</v>
      </c>
      <c r="D1392">
        <v>2.2650050500000001E-2</v>
      </c>
      <c r="E1392">
        <v>1.27067449999999E-2</v>
      </c>
      <c r="F1392">
        <v>3.731458E-2</v>
      </c>
    </row>
    <row r="1393" spans="1:6" x14ac:dyDescent="0.2">
      <c r="A1393" t="s">
        <v>2410</v>
      </c>
      <c r="B1393" t="s">
        <v>1025</v>
      </c>
      <c r="C1393" t="s">
        <v>1026</v>
      </c>
      <c r="D1393">
        <v>7.8670707099999806E-2</v>
      </c>
      <c r="E1393">
        <v>5.3842090000000002E-2</v>
      </c>
      <c r="F1393">
        <v>0.109519294999999</v>
      </c>
    </row>
    <row r="1394" spans="1:6" x14ac:dyDescent="0.2">
      <c r="A1394" t="s">
        <v>2411</v>
      </c>
      <c r="B1394" t="s">
        <v>2402</v>
      </c>
      <c r="C1394" t="s">
        <v>2403</v>
      </c>
      <c r="D1394">
        <v>0.164979408399999</v>
      </c>
      <c r="E1394">
        <v>0.112283675</v>
      </c>
      <c r="F1394">
        <v>0.232387175</v>
      </c>
    </row>
    <row r="1395" spans="1:6" x14ac:dyDescent="0.2">
      <c r="A1395" t="s">
        <v>2412</v>
      </c>
      <c r="B1395" t="s">
        <v>698</v>
      </c>
      <c r="D1395">
        <v>0</v>
      </c>
      <c r="E1395">
        <v>0</v>
      </c>
      <c r="F1395">
        <v>0</v>
      </c>
    </row>
    <row r="1396" spans="1:6" x14ac:dyDescent="0.2">
      <c r="A1396" t="s">
        <v>2413</v>
      </c>
      <c r="B1396" t="s">
        <v>2398</v>
      </c>
      <c r="C1396" t="s">
        <v>2399</v>
      </c>
      <c r="D1396">
        <v>2.2650050500000001E-2</v>
      </c>
      <c r="E1396">
        <v>1.27067449999999E-2</v>
      </c>
      <c r="F1396">
        <v>3.731458E-2</v>
      </c>
    </row>
    <row r="1397" spans="1:6" x14ac:dyDescent="0.2">
      <c r="A1397" t="s">
        <v>2414</v>
      </c>
      <c r="B1397" t="s">
        <v>1025</v>
      </c>
      <c r="C1397" t="s">
        <v>1026</v>
      </c>
      <c r="D1397">
        <v>7.8670707099999806E-2</v>
      </c>
      <c r="E1397">
        <v>5.3842090000000002E-2</v>
      </c>
      <c r="F1397">
        <v>0.109519294999999</v>
      </c>
    </row>
    <row r="1398" spans="1:6" x14ac:dyDescent="0.2">
      <c r="A1398" t="s">
        <v>2415</v>
      </c>
      <c r="B1398" t="s">
        <v>2402</v>
      </c>
      <c r="C1398" t="s">
        <v>2403</v>
      </c>
      <c r="D1398">
        <v>0.164979408399999</v>
      </c>
      <c r="E1398">
        <v>0.112283675</v>
      </c>
      <c r="F1398">
        <v>0.232387175</v>
      </c>
    </row>
    <row r="1399" spans="1:6" x14ac:dyDescent="0.2">
      <c r="A1399" t="s">
        <v>2416</v>
      </c>
      <c r="B1399" t="s">
        <v>698</v>
      </c>
      <c r="D1399">
        <v>0</v>
      </c>
      <c r="E1399">
        <v>0</v>
      </c>
      <c r="F1399">
        <v>0</v>
      </c>
    </row>
    <row r="1400" spans="1:6" x14ac:dyDescent="0.2">
      <c r="A1400" t="s">
        <v>2417</v>
      </c>
      <c r="B1400" t="s">
        <v>2418</v>
      </c>
      <c r="C1400" t="s">
        <v>2419</v>
      </c>
      <c r="D1400">
        <v>0.32498960099999902</v>
      </c>
      <c r="E1400">
        <v>0.21931443749999999</v>
      </c>
      <c r="F1400">
        <v>0.44643780499999902</v>
      </c>
    </row>
    <row r="1401" spans="1:6" x14ac:dyDescent="0.2">
      <c r="A1401" t="s">
        <v>2420</v>
      </c>
      <c r="B1401" t="s">
        <v>2421</v>
      </c>
      <c r="C1401" t="s">
        <v>2422</v>
      </c>
      <c r="D1401">
        <v>0.38411733789999902</v>
      </c>
      <c r="E1401">
        <v>0.2561167325</v>
      </c>
      <c r="F1401">
        <v>0.51772991749999997</v>
      </c>
    </row>
    <row r="1402" spans="1:6" x14ac:dyDescent="0.2">
      <c r="A1402" t="s">
        <v>2423</v>
      </c>
      <c r="B1402" t="s">
        <v>2423</v>
      </c>
      <c r="C1402" t="s">
        <v>648</v>
      </c>
      <c r="D1402">
        <v>1.9962998299999899E-2</v>
      </c>
      <c r="E1402">
        <v>1.08557675E-2</v>
      </c>
      <c r="F1402">
        <v>3.47695175E-2</v>
      </c>
    </row>
    <row r="1403" spans="1:6" x14ac:dyDescent="0.2">
      <c r="A1403" t="s">
        <v>2424</v>
      </c>
      <c r="B1403" t="s">
        <v>2424</v>
      </c>
      <c r="C1403" t="s">
        <v>648</v>
      </c>
      <c r="D1403">
        <v>5.39885172999999E-2</v>
      </c>
      <c r="E1403">
        <v>3.4603004999999999E-2</v>
      </c>
      <c r="F1403">
        <v>7.9486669999999995E-2</v>
      </c>
    </row>
    <row r="1404" spans="1:6" x14ac:dyDescent="0.2">
      <c r="A1404" t="s">
        <v>2425</v>
      </c>
      <c r="B1404" t="s">
        <v>2426</v>
      </c>
      <c r="C1404" t="s">
        <v>2427</v>
      </c>
      <c r="D1404">
        <v>0.272193404299999</v>
      </c>
      <c r="E1404">
        <v>0.18157837999999901</v>
      </c>
      <c r="F1404">
        <v>0.37254055749999898</v>
      </c>
    </row>
    <row r="1405" spans="1:6" x14ac:dyDescent="0.2">
      <c r="A1405" t="s">
        <v>2428</v>
      </c>
      <c r="B1405" t="s">
        <v>2429</v>
      </c>
      <c r="C1405" t="s">
        <v>2430</v>
      </c>
      <c r="D1405">
        <v>0.37217272280000002</v>
      </c>
      <c r="E1405">
        <v>0.25030506499999999</v>
      </c>
      <c r="F1405">
        <v>0.50564616750000002</v>
      </c>
    </row>
    <row r="1406" spans="1:6" x14ac:dyDescent="0.2">
      <c r="A1406" t="s">
        <v>2431</v>
      </c>
      <c r="B1406" t="s">
        <v>2432</v>
      </c>
      <c r="C1406" t="s">
        <v>2433</v>
      </c>
      <c r="D1406">
        <v>1.9962998299999899E-2</v>
      </c>
      <c r="E1406">
        <v>1.08557675E-2</v>
      </c>
      <c r="F1406">
        <v>3.47695175E-2</v>
      </c>
    </row>
    <row r="1407" spans="1:6" x14ac:dyDescent="0.2">
      <c r="A1407" t="s">
        <v>2434</v>
      </c>
      <c r="B1407" t="s">
        <v>2435</v>
      </c>
      <c r="C1407" t="s">
        <v>2436</v>
      </c>
      <c r="D1407">
        <v>5.39885172999999E-2</v>
      </c>
      <c r="E1407">
        <v>3.4603004999999999E-2</v>
      </c>
      <c r="F1407">
        <v>7.9486669999999995E-2</v>
      </c>
    </row>
    <row r="1408" spans="1:6" x14ac:dyDescent="0.2">
      <c r="A1408" t="s">
        <v>2437</v>
      </c>
      <c r="B1408" t="s">
        <v>2438</v>
      </c>
      <c r="C1408" t="s">
        <v>2439</v>
      </c>
      <c r="D1408">
        <v>5.27500209E-2</v>
      </c>
      <c r="E1408">
        <v>3.3573800000000001E-2</v>
      </c>
      <c r="F1408">
        <v>7.84352725E-2</v>
      </c>
    </row>
    <row r="1409" spans="1:6" x14ac:dyDescent="0.2">
      <c r="A1409" t="s">
        <v>2440</v>
      </c>
      <c r="B1409" t="s">
        <v>2441</v>
      </c>
      <c r="C1409" t="s">
        <v>2442</v>
      </c>
      <c r="D1409">
        <v>0.22943868649999999</v>
      </c>
      <c r="E1409">
        <v>0.15327389</v>
      </c>
      <c r="F1409">
        <v>0.31687214499999999</v>
      </c>
    </row>
    <row r="1410" spans="1:6" x14ac:dyDescent="0.2">
      <c r="A1410" t="s">
        <v>2443</v>
      </c>
      <c r="B1410" t="s">
        <v>2444</v>
      </c>
      <c r="C1410" t="s">
        <v>2445</v>
      </c>
      <c r="D1410">
        <v>0.1139587682</v>
      </c>
      <c r="E1410">
        <v>7.5418984999999994E-2</v>
      </c>
      <c r="F1410">
        <v>0.161827027499999</v>
      </c>
    </row>
    <row r="1411" spans="1:6" x14ac:dyDescent="0.2">
      <c r="A1411" t="s">
        <v>2446</v>
      </c>
      <c r="B1411" t="s">
        <v>2447</v>
      </c>
      <c r="C1411" t="s">
        <v>2448</v>
      </c>
      <c r="D1411">
        <v>0.30360109120000001</v>
      </c>
      <c r="E1411">
        <v>0.20247241999999999</v>
      </c>
      <c r="F1411">
        <v>0.41543309499999997</v>
      </c>
    </row>
    <row r="1412" spans="1:6" x14ac:dyDescent="0.2">
      <c r="A1412" t="s">
        <v>2449</v>
      </c>
      <c r="B1412" t="s">
        <v>2394</v>
      </c>
      <c r="C1412" t="s">
        <v>2395</v>
      </c>
      <c r="D1412">
        <v>0.58118364210000095</v>
      </c>
      <c r="E1412">
        <v>0.40329404000000002</v>
      </c>
      <c r="F1412">
        <v>0.73932043250000001</v>
      </c>
    </row>
    <row r="1413" spans="1:6" x14ac:dyDescent="0.2">
      <c r="A1413" t="s">
        <v>2450</v>
      </c>
      <c r="B1413" t="s">
        <v>2451</v>
      </c>
      <c r="C1413" t="s">
        <v>2452</v>
      </c>
      <c r="D1413">
        <v>0.29480950820000001</v>
      </c>
      <c r="E1413">
        <v>0.1961655175</v>
      </c>
      <c r="F1413">
        <v>0.40946830499999998</v>
      </c>
    </row>
    <row r="1414" spans="1:6" x14ac:dyDescent="0.2">
      <c r="A1414" t="s">
        <v>2453</v>
      </c>
      <c r="B1414" t="s">
        <v>698</v>
      </c>
      <c r="D1414">
        <v>0</v>
      </c>
      <c r="E1414">
        <v>0</v>
      </c>
      <c r="F1414">
        <v>0</v>
      </c>
    </row>
    <row r="1415" spans="1:6" x14ac:dyDescent="0.2">
      <c r="A1415" t="s">
        <v>2454</v>
      </c>
      <c r="B1415" t="s">
        <v>2398</v>
      </c>
      <c r="C1415" t="s">
        <v>2399</v>
      </c>
      <c r="D1415">
        <v>2.2650050500000001E-2</v>
      </c>
      <c r="E1415">
        <v>1.27067449999999E-2</v>
      </c>
      <c r="F1415">
        <v>3.731458E-2</v>
      </c>
    </row>
    <row r="1416" spans="1:6" x14ac:dyDescent="0.2">
      <c r="A1416" t="s">
        <v>2455</v>
      </c>
      <c r="B1416" t="s">
        <v>2402</v>
      </c>
      <c r="C1416" t="s">
        <v>2403</v>
      </c>
      <c r="D1416">
        <v>0.164979408399999</v>
      </c>
      <c r="E1416">
        <v>0.112283675</v>
      </c>
      <c r="F1416">
        <v>0.232387175</v>
      </c>
    </row>
    <row r="1417" spans="1:6" x14ac:dyDescent="0.2">
      <c r="A1417" t="s">
        <v>2456</v>
      </c>
      <c r="B1417" t="s">
        <v>2457</v>
      </c>
      <c r="C1417" t="s">
        <v>2458</v>
      </c>
      <c r="D1417">
        <v>2.83410989E-2</v>
      </c>
      <c r="E1417">
        <v>1.6622524999999999E-2</v>
      </c>
      <c r="F1417">
        <v>4.4844687500000001E-2</v>
      </c>
    </row>
    <row r="1418" spans="1:6" x14ac:dyDescent="0.2">
      <c r="A1418" t="s">
        <v>2459</v>
      </c>
      <c r="B1418" t="s">
        <v>2388</v>
      </c>
      <c r="C1418" t="s">
        <v>2389</v>
      </c>
      <c r="D1418">
        <v>0.11707429799999899</v>
      </c>
      <c r="E1418">
        <v>7.9707004999999997E-2</v>
      </c>
      <c r="F1418">
        <v>0.162751334999999</v>
      </c>
    </row>
    <row r="1419" spans="1:6" x14ac:dyDescent="0.2">
      <c r="A1419" t="s">
        <v>2460</v>
      </c>
      <c r="B1419" t="s">
        <v>2391</v>
      </c>
      <c r="C1419" t="s">
        <v>2392</v>
      </c>
      <c r="D1419">
        <v>0.31744633160000002</v>
      </c>
      <c r="E1419">
        <v>0.21568688750000001</v>
      </c>
      <c r="F1419">
        <v>0.43971226999999902</v>
      </c>
    </row>
    <row r="1420" spans="1:6" x14ac:dyDescent="0.2">
      <c r="A1420" t="s">
        <v>2461</v>
      </c>
      <c r="B1420" t="s">
        <v>2394</v>
      </c>
      <c r="C1420" t="s">
        <v>2395</v>
      </c>
      <c r="D1420">
        <v>0.58118364210000095</v>
      </c>
      <c r="E1420">
        <v>0.40329404000000002</v>
      </c>
      <c r="F1420">
        <v>0.73932043250000001</v>
      </c>
    </row>
    <row r="1421" spans="1:6" x14ac:dyDescent="0.2">
      <c r="A1421" t="s">
        <v>2462</v>
      </c>
      <c r="B1421" t="s">
        <v>698</v>
      </c>
      <c r="D1421">
        <v>0</v>
      </c>
      <c r="E1421">
        <v>0</v>
      </c>
      <c r="F1421">
        <v>0</v>
      </c>
    </row>
    <row r="1422" spans="1:6" x14ac:dyDescent="0.2">
      <c r="A1422" t="s">
        <v>2463</v>
      </c>
      <c r="B1422" t="s">
        <v>922</v>
      </c>
      <c r="C1422" t="s">
        <v>923</v>
      </c>
      <c r="D1422">
        <v>0.54166777129999999</v>
      </c>
      <c r="E1422">
        <v>0.37403827749999902</v>
      </c>
      <c r="F1422">
        <v>0.70224279499999998</v>
      </c>
    </row>
    <row r="1423" spans="1:6" x14ac:dyDescent="0.2">
      <c r="A1423" t="s">
        <v>2464</v>
      </c>
      <c r="B1423" t="s">
        <v>1429</v>
      </c>
      <c r="C1423" t="s">
        <v>1430</v>
      </c>
      <c r="D1423">
        <v>0.13913545869999999</v>
      </c>
      <c r="E1423">
        <v>9.4181122500000006E-2</v>
      </c>
      <c r="F1423">
        <v>0.19754553749999901</v>
      </c>
    </row>
    <row r="1424" spans="1:6" x14ac:dyDescent="0.2">
      <c r="A1424" t="s">
        <v>2465</v>
      </c>
      <c r="B1424" t="s">
        <v>1037</v>
      </c>
      <c r="C1424" t="s">
        <v>1038</v>
      </c>
      <c r="D1424">
        <v>1.0793008600000001E-2</v>
      </c>
      <c r="E1424">
        <v>5.1901200000000003E-3</v>
      </c>
      <c r="F1424">
        <v>2.02353999999999E-2</v>
      </c>
    </row>
    <row r="1425" spans="1:6" x14ac:dyDescent="0.2">
      <c r="A1425" t="s">
        <v>2466</v>
      </c>
      <c r="B1425" t="s">
        <v>1040</v>
      </c>
      <c r="C1425" t="s">
        <v>1041</v>
      </c>
      <c r="D1425">
        <v>4.25405801999999E-2</v>
      </c>
      <c r="E1425">
        <v>2.5978245000000001E-2</v>
      </c>
      <c r="F1425">
        <v>6.4453929999999895E-2</v>
      </c>
    </row>
    <row r="1426" spans="1:6" x14ac:dyDescent="0.2">
      <c r="A1426" t="s">
        <v>2467</v>
      </c>
      <c r="B1426" t="s">
        <v>2082</v>
      </c>
      <c r="C1426" t="s">
        <v>2083</v>
      </c>
      <c r="D1426">
        <v>0.100020868199999</v>
      </c>
      <c r="E1426">
        <v>6.6049517500000002E-2</v>
      </c>
      <c r="F1426">
        <v>0.14174874749999999</v>
      </c>
    </row>
    <row r="1427" spans="1:6" x14ac:dyDescent="0.2">
      <c r="A1427" t="s">
        <v>2468</v>
      </c>
      <c r="B1427" t="s">
        <v>2085</v>
      </c>
      <c r="C1427" t="s">
        <v>2086</v>
      </c>
      <c r="D1427">
        <v>0.1600574337</v>
      </c>
      <c r="E1427">
        <v>0.107062184999999</v>
      </c>
      <c r="F1427">
        <v>0.226226345</v>
      </c>
    </row>
    <row r="1428" spans="1:6" x14ac:dyDescent="0.2">
      <c r="A1428" t="s">
        <v>2469</v>
      </c>
      <c r="B1428" t="s">
        <v>2088</v>
      </c>
      <c r="C1428" t="s">
        <v>2089</v>
      </c>
      <c r="D1428">
        <v>0.20030707170000001</v>
      </c>
      <c r="E1428">
        <v>0.13325701249999999</v>
      </c>
      <c r="F1428">
        <v>0.28252101499999999</v>
      </c>
    </row>
    <row r="1429" spans="1:6" x14ac:dyDescent="0.2">
      <c r="A1429" t="s">
        <v>2470</v>
      </c>
      <c r="B1429" t="s">
        <v>1068</v>
      </c>
      <c r="C1429" t="s">
        <v>1069</v>
      </c>
      <c r="D1429">
        <v>1.0140717400000001E-2</v>
      </c>
      <c r="E1429">
        <v>4.8555075E-3</v>
      </c>
      <c r="F1429">
        <v>1.933766E-2</v>
      </c>
    </row>
    <row r="1430" spans="1:6" x14ac:dyDescent="0.2">
      <c r="A1430" t="s">
        <v>2471</v>
      </c>
      <c r="B1430" t="s">
        <v>863</v>
      </c>
      <c r="C1430" t="s">
        <v>864</v>
      </c>
      <c r="D1430">
        <v>6.08338594999999E-2</v>
      </c>
      <c r="E1430">
        <v>3.9587362499999897E-2</v>
      </c>
      <c r="F1430">
        <v>8.9085129999999998E-2</v>
      </c>
    </row>
    <row r="1431" spans="1:6" x14ac:dyDescent="0.2">
      <c r="A1431" t="s">
        <v>2472</v>
      </c>
      <c r="B1431" t="s">
        <v>872</v>
      </c>
      <c r="C1431" t="s">
        <v>873</v>
      </c>
      <c r="D1431">
        <v>0.40161053799999902</v>
      </c>
      <c r="E1431">
        <v>0.2682705675</v>
      </c>
      <c r="F1431">
        <v>0.54533271750000001</v>
      </c>
    </row>
    <row r="1432" spans="1:6" x14ac:dyDescent="0.2">
      <c r="A1432" t="s">
        <v>2473</v>
      </c>
      <c r="B1432" t="s">
        <v>1073</v>
      </c>
      <c r="C1432" t="s">
        <v>1074</v>
      </c>
      <c r="D1432">
        <v>3.1164678500000001E-2</v>
      </c>
      <c r="E1432">
        <v>1.8060440000000001E-2</v>
      </c>
      <c r="F1432">
        <v>4.9540897499999903E-2</v>
      </c>
    </row>
    <row r="1433" spans="1:6" x14ac:dyDescent="0.2">
      <c r="A1433" t="s">
        <v>2474</v>
      </c>
      <c r="B1433" t="s">
        <v>703</v>
      </c>
      <c r="C1433" t="s">
        <v>704</v>
      </c>
      <c r="D1433">
        <v>0.20294601349999999</v>
      </c>
      <c r="E1433">
        <v>0.13394816000000001</v>
      </c>
      <c r="F1433">
        <v>0.28958335000000002</v>
      </c>
    </row>
    <row r="1434" spans="1:6" x14ac:dyDescent="0.2">
      <c r="A1434" t="s">
        <v>2475</v>
      </c>
      <c r="B1434" t="s">
        <v>2476</v>
      </c>
      <c r="C1434" t="s">
        <v>648</v>
      </c>
      <c r="D1434">
        <v>0.48339527113636599</v>
      </c>
      <c r="E1434">
        <v>0.34608073529613098</v>
      </c>
      <c r="F1434">
        <v>0.62852979317949498</v>
      </c>
    </row>
    <row r="1435" spans="1:6" x14ac:dyDescent="0.2">
      <c r="A1435" t="s">
        <v>2477</v>
      </c>
      <c r="B1435" t="s">
        <v>2476</v>
      </c>
      <c r="C1435" t="s">
        <v>648</v>
      </c>
      <c r="D1435">
        <v>0.48339527113636599</v>
      </c>
      <c r="E1435">
        <v>0.34608073529613098</v>
      </c>
      <c r="F1435">
        <v>0.62852979317949498</v>
      </c>
    </row>
    <row r="1436" spans="1:6" x14ac:dyDescent="0.2">
      <c r="A1436" t="s">
        <v>2478</v>
      </c>
      <c r="B1436" t="s">
        <v>2476</v>
      </c>
      <c r="C1436" t="s">
        <v>648</v>
      </c>
      <c r="D1436">
        <v>0.48339527113636599</v>
      </c>
      <c r="E1436">
        <v>0.34608073529613098</v>
      </c>
      <c r="F1436">
        <v>0.62852979317949498</v>
      </c>
    </row>
    <row r="1437" spans="1:6" x14ac:dyDescent="0.2">
      <c r="A1437" t="s">
        <v>2479</v>
      </c>
      <c r="B1437" t="s">
        <v>2476</v>
      </c>
      <c r="C1437" t="s">
        <v>648</v>
      </c>
      <c r="D1437">
        <v>0.48339527113636599</v>
      </c>
      <c r="E1437">
        <v>0.34608073529613098</v>
      </c>
      <c r="F1437">
        <v>0.62852979317949498</v>
      </c>
    </row>
    <row r="1438" spans="1:6" x14ac:dyDescent="0.2">
      <c r="A1438" t="s">
        <v>2480</v>
      </c>
      <c r="B1438" t="s">
        <v>2476</v>
      </c>
      <c r="C1438" t="s">
        <v>648</v>
      </c>
      <c r="D1438">
        <v>0.48339527113636599</v>
      </c>
      <c r="E1438">
        <v>0.34608073529613098</v>
      </c>
      <c r="F1438">
        <v>0.62852979317949498</v>
      </c>
    </row>
    <row r="1439" spans="1:6" x14ac:dyDescent="0.2">
      <c r="A1439" t="s">
        <v>2481</v>
      </c>
      <c r="B1439" t="s">
        <v>698</v>
      </c>
      <c r="D1439">
        <v>0</v>
      </c>
      <c r="E1439">
        <v>0</v>
      </c>
      <c r="F1439">
        <v>0</v>
      </c>
    </row>
    <row r="1440" spans="1:6" x14ac:dyDescent="0.2">
      <c r="A1440" t="s">
        <v>2482</v>
      </c>
      <c r="B1440" t="s">
        <v>2483</v>
      </c>
      <c r="C1440" t="s">
        <v>648</v>
      </c>
      <c r="D1440">
        <v>0.50510678254499497</v>
      </c>
      <c r="E1440">
        <v>0.36739751133743698</v>
      </c>
      <c r="F1440">
        <v>0.64684719454420603</v>
      </c>
    </row>
    <row r="1441" spans="1:6" x14ac:dyDescent="0.2">
      <c r="A1441" t="s">
        <v>2484</v>
      </c>
      <c r="B1441" t="s">
        <v>2485</v>
      </c>
      <c r="C1441" t="s">
        <v>648</v>
      </c>
      <c r="D1441">
        <v>0.53402151021716304</v>
      </c>
      <c r="E1441">
        <v>0.39064647292552901</v>
      </c>
      <c r="F1441">
        <v>0.67543029358461504</v>
      </c>
    </row>
    <row r="1442" spans="1:6" x14ac:dyDescent="0.2">
      <c r="A1442" t="s">
        <v>2486</v>
      </c>
      <c r="B1442" t="s">
        <v>2487</v>
      </c>
      <c r="C1442" t="s">
        <v>648</v>
      </c>
      <c r="D1442">
        <v>0.56412908510083404</v>
      </c>
      <c r="E1442">
        <v>0.41816373895501202</v>
      </c>
      <c r="F1442">
        <v>0.70965194315136604</v>
      </c>
    </row>
    <row r="1443" spans="1:6" x14ac:dyDescent="0.2">
      <c r="A1443" t="s">
        <v>2488</v>
      </c>
      <c r="B1443" t="s">
        <v>2487</v>
      </c>
      <c r="C1443" t="s">
        <v>648</v>
      </c>
      <c r="D1443">
        <v>0.56412908510083404</v>
      </c>
      <c r="E1443">
        <v>0.41816373895501202</v>
      </c>
      <c r="F1443">
        <v>0.70965194315136604</v>
      </c>
    </row>
    <row r="1444" spans="1:6" x14ac:dyDescent="0.2">
      <c r="A1444" t="s">
        <v>2489</v>
      </c>
      <c r="B1444" t="s">
        <v>2490</v>
      </c>
      <c r="C1444" t="s">
        <v>648</v>
      </c>
      <c r="D1444">
        <v>0.42687234530632701</v>
      </c>
      <c r="E1444">
        <v>0.30031218656961101</v>
      </c>
      <c r="F1444">
        <v>0.56737767854370602</v>
      </c>
    </row>
    <row r="1445" spans="1:6" x14ac:dyDescent="0.2">
      <c r="A1445" t="s">
        <v>2491</v>
      </c>
      <c r="B1445" t="s">
        <v>2492</v>
      </c>
      <c r="C1445" t="s">
        <v>648</v>
      </c>
      <c r="D1445">
        <v>0.46054067651812602</v>
      </c>
      <c r="E1445">
        <v>0.32428886046942601</v>
      </c>
      <c r="F1445">
        <v>0.60338355371011099</v>
      </c>
    </row>
    <row r="1446" spans="1:6" x14ac:dyDescent="0.2">
      <c r="A1446" t="s">
        <v>2493</v>
      </c>
      <c r="B1446" t="s">
        <v>2494</v>
      </c>
      <c r="C1446" t="s">
        <v>648</v>
      </c>
      <c r="D1446">
        <v>0.495598284938366</v>
      </c>
      <c r="E1446">
        <v>0.35535750584875903</v>
      </c>
      <c r="F1446">
        <v>0.64103055684436505</v>
      </c>
    </row>
    <row r="1447" spans="1:6" x14ac:dyDescent="0.2">
      <c r="A1447" t="s">
        <v>2495</v>
      </c>
      <c r="B1447" t="s">
        <v>2496</v>
      </c>
      <c r="C1447" t="s">
        <v>648</v>
      </c>
      <c r="D1447">
        <v>0.14839902852508399</v>
      </c>
      <c r="E1447">
        <v>0.101002507700067</v>
      </c>
      <c r="F1447">
        <v>0.20639320297528599</v>
      </c>
    </row>
    <row r="1448" spans="1:6" x14ac:dyDescent="0.2">
      <c r="A1448" t="s">
        <v>2497</v>
      </c>
      <c r="B1448" t="s">
        <v>2498</v>
      </c>
      <c r="C1448" t="s">
        <v>648</v>
      </c>
      <c r="D1448">
        <v>0.17558986162374701</v>
      </c>
      <c r="E1448">
        <v>0.120083729764521</v>
      </c>
      <c r="F1448">
        <v>0.24237804390968401</v>
      </c>
    </row>
    <row r="1449" spans="1:6" x14ac:dyDescent="0.2">
      <c r="A1449" t="s">
        <v>2499</v>
      </c>
      <c r="B1449" t="s">
        <v>2500</v>
      </c>
      <c r="C1449" t="s">
        <v>648</v>
      </c>
      <c r="D1449">
        <v>0.22480791951137699</v>
      </c>
      <c r="E1449">
        <v>0.15552181212167501</v>
      </c>
      <c r="F1449">
        <v>0.30405925996742</v>
      </c>
    </row>
    <row r="1450" spans="1:6" x14ac:dyDescent="0.2">
      <c r="A1450" t="s">
        <v>2501</v>
      </c>
      <c r="B1450" t="s">
        <v>2502</v>
      </c>
      <c r="C1450" t="s">
        <v>648</v>
      </c>
      <c r="D1450">
        <v>0.27621283909531902</v>
      </c>
      <c r="E1450">
        <v>0.19412663537709801</v>
      </c>
      <c r="F1450">
        <v>0.37601640216495402</v>
      </c>
    </row>
    <row r="1451" spans="1:6" x14ac:dyDescent="0.2">
      <c r="A1451" t="s">
        <v>2503</v>
      </c>
      <c r="B1451" t="s">
        <v>2504</v>
      </c>
      <c r="C1451" t="s">
        <v>648</v>
      </c>
      <c r="D1451">
        <v>0.31071414210113502</v>
      </c>
      <c r="E1451">
        <v>0.216720659253578</v>
      </c>
      <c r="F1451">
        <v>0.41818206833267302</v>
      </c>
    </row>
    <row r="1452" spans="1:6" x14ac:dyDescent="0.2">
      <c r="A1452" t="s">
        <v>2505</v>
      </c>
      <c r="B1452" t="s">
        <v>2506</v>
      </c>
      <c r="C1452" t="s">
        <v>648</v>
      </c>
      <c r="D1452">
        <v>2.0809588381067699E-2</v>
      </c>
      <c r="E1452">
        <v>1.0076172835707499E-2</v>
      </c>
      <c r="F1452">
        <v>3.8535344698671203E-2</v>
      </c>
    </row>
    <row r="1453" spans="1:6" x14ac:dyDescent="0.2">
      <c r="A1453" t="s">
        <v>2507</v>
      </c>
      <c r="B1453" t="s">
        <v>2508</v>
      </c>
      <c r="C1453" t="s">
        <v>648</v>
      </c>
      <c r="D1453">
        <v>7.0936592370278995E-2</v>
      </c>
      <c r="E1453">
        <v>4.4891845896468399E-2</v>
      </c>
      <c r="F1453">
        <v>0.105848114213122</v>
      </c>
    </row>
    <row r="1454" spans="1:6" x14ac:dyDescent="0.2">
      <c r="A1454" t="s">
        <v>2509</v>
      </c>
      <c r="B1454" t="s">
        <v>2510</v>
      </c>
      <c r="C1454" t="s">
        <v>648</v>
      </c>
      <c r="D1454">
        <v>0.40812141670000401</v>
      </c>
      <c r="E1454">
        <v>0.27864661982625799</v>
      </c>
      <c r="F1454">
        <v>0.54958067881140305</v>
      </c>
    </row>
    <row r="1455" spans="1:6" x14ac:dyDescent="0.2">
      <c r="A1455" t="s">
        <v>2511</v>
      </c>
      <c r="B1455" t="s">
        <v>2512</v>
      </c>
      <c r="C1455" t="s">
        <v>648</v>
      </c>
      <c r="D1455">
        <v>0.100679216548761</v>
      </c>
      <c r="E1455">
        <v>6.5591807221744694E-2</v>
      </c>
      <c r="F1455">
        <v>0.14641800120534501</v>
      </c>
    </row>
    <row r="1456" spans="1:6" x14ac:dyDescent="0.2">
      <c r="A1456" t="s">
        <v>2513</v>
      </c>
      <c r="B1456" t="s">
        <v>2514</v>
      </c>
      <c r="C1456" t="s">
        <v>648</v>
      </c>
      <c r="D1456">
        <v>0.109115521479688</v>
      </c>
      <c r="E1456">
        <v>7.3270092802479897E-2</v>
      </c>
      <c r="F1456">
        <v>0.15356705784048499</v>
      </c>
    </row>
    <row r="1457" spans="1:6" x14ac:dyDescent="0.2">
      <c r="A1457" t="s">
        <v>2515</v>
      </c>
      <c r="B1457" t="s">
        <v>2516</v>
      </c>
      <c r="C1457" t="s">
        <v>648</v>
      </c>
      <c r="D1457">
        <v>0.16854999340987201</v>
      </c>
      <c r="E1457">
        <v>0.11328465947189501</v>
      </c>
      <c r="F1457">
        <v>0.23749545398097999</v>
      </c>
    </row>
    <row r="1458" spans="1:6" x14ac:dyDescent="0.2">
      <c r="A1458" t="s">
        <v>2517</v>
      </c>
      <c r="B1458" t="s">
        <v>2518</v>
      </c>
      <c r="C1458" t="s">
        <v>648</v>
      </c>
      <c r="D1458">
        <v>0.21086303894661301</v>
      </c>
      <c r="E1458">
        <v>0.145223487339916</v>
      </c>
      <c r="F1458">
        <v>0.29287453292129101</v>
      </c>
    </row>
    <row r="1459" spans="1:6" x14ac:dyDescent="0.2">
      <c r="A1459" t="s">
        <v>2519</v>
      </c>
      <c r="B1459" t="s">
        <v>2520</v>
      </c>
      <c r="C1459" t="s">
        <v>648</v>
      </c>
      <c r="D1459">
        <v>0.15699513125284201</v>
      </c>
      <c r="E1459">
        <v>0.10819502212134099</v>
      </c>
      <c r="F1459">
        <v>0.21790139670910699</v>
      </c>
    </row>
    <row r="1460" spans="1:6" x14ac:dyDescent="0.2">
      <c r="A1460" t="s">
        <v>2521</v>
      </c>
      <c r="B1460" t="s">
        <v>2522</v>
      </c>
      <c r="C1460" t="s">
        <v>648</v>
      </c>
      <c r="D1460">
        <v>0.19991944137193501</v>
      </c>
      <c r="E1460">
        <v>0.13854466430111001</v>
      </c>
      <c r="F1460">
        <v>0.27307890469313301</v>
      </c>
    </row>
    <row r="1461" spans="1:6" x14ac:dyDescent="0.2">
      <c r="A1461" t="s">
        <v>2523</v>
      </c>
      <c r="B1461" t="s">
        <v>2524</v>
      </c>
      <c r="C1461" t="s">
        <v>648</v>
      </c>
      <c r="D1461">
        <v>0.48899922133592999</v>
      </c>
      <c r="E1461">
        <v>0.35346143661088902</v>
      </c>
      <c r="F1461">
        <v>0.63161605329138704</v>
      </c>
    </row>
    <row r="1462" spans="1:6" x14ac:dyDescent="0.2">
      <c r="A1462" t="s">
        <v>2525</v>
      </c>
      <c r="B1462" t="s">
        <v>2526</v>
      </c>
      <c r="C1462" t="s">
        <v>648</v>
      </c>
      <c r="D1462">
        <v>0.183898578780819</v>
      </c>
      <c r="E1462">
        <v>0.12751916677720501</v>
      </c>
      <c r="F1462">
        <v>0.25318908834479398</v>
      </c>
    </row>
    <row r="1463" spans="1:6" x14ac:dyDescent="0.2">
      <c r="A1463" t="s">
        <v>2527</v>
      </c>
      <c r="B1463" t="s">
        <v>2528</v>
      </c>
      <c r="C1463" t="s">
        <v>648</v>
      </c>
      <c r="D1463">
        <v>0.27155896045927802</v>
      </c>
      <c r="E1463">
        <v>0.19121125639109199</v>
      </c>
      <c r="F1463">
        <v>0.363522428276705</v>
      </c>
    </row>
    <row r="1464" spans="1:6" x14ac:dyDescent="0.2">
      <c r="A1464" t="s">
        <v>2529</v>
      </c>
      <c r="B1464" t="s">
        <v>2530</v>
      </c>
      <c r="C1464" t="s">
        <v>648</v>
      </c>
      <c r="D1464">
        <v>0.23261701881340299</v>
      </c>
      <c r="E1464">
        <v>0.16137085011279401</v>
      </c>
      <c r="F1464">
        <v>0.314201406043494</v>
      </c>
    </row>
    <row r="1465" spans="1:6" x14ac:dyDescent="0.2">
      <c r="A1465" t="s">
        <v>2531</v>
      </c>
      <c r="B1465" t="s">
        <v>2532</v>
      </c>
      <c r="C1465" t="s">
        <v>648</v>
      </c>
      <c r="D1465">
        <v>0.27155896045927802</v>
      </c>
      <c r="E1465">
        <v>0.19121125639109199</v>
      </c>
      <c r="F1465">
        <v>0.363522428276705</v>
      </c>
    </row>
    <row r="1466" spans="1:6" x14ac:dyDescent="0.2">
      <c r="A1466" t="s">
        <v>2533</v>
      </c>
      <c r="B1466" t="s">
        <v>2534</v>
      </c>
      <c r="C1466" t="s">
        <v>648</v>
      </c>
      <c r="D1466">
        <v>0.28350805917211902</v>
      </c>
      <c r="E1466">
        <v>0.20068486457342899</v>
      </c>
      <c r="F1466">
        <v>0.38451862895382399</v>
      </c>
    </row>
    <row r="1467" spans="1:6" x14ac:dyDescent="0.2">
      <c r="A1467" t="s">
        <v>2535</v>
      </c>
      <c r="B1467" t="s">
        <v>2536</v>
      </c>
      <c r="C1467" t="s">
        <v>648</v>
      </c>
      <c r="D1467">
        <v>0.319777488161469</v>
      </c>
      <c r="E1467">
        <v>0.227692664466497</v>
      </c>
      <c r="F1467">
        <v>0.428562973834686</v>
      </c>
    </row>
    <row r="1468" spans="1:6" x14ac:dyDescent="0.2">
      <c r="A1468" t="s">
        <v>2537</v>
      </c>
      <c r="B1468" t="s">
        <v>2538</v>
      </c>
      <c r="C1468" t="s">
        <v>648</v>
      </c>
      <c r="D1468">
        <v>0.147837782535922</v>
      </c>
      <c r="E1468">
        <v>0.10039932743776001</v>
      </c>
      <c r="F1468">
        <v>0.206681909719483</v>
      </c>
    </row>
    <row r="1469" spans="1:6" x14ac:dyDescent="0.2">
      <c r="A1469" t="s">
        <v>2539</v>
      </c>
      <c r="B1469" t="s">
        <v>2540</v>
      </c>
      <c r="C1469" t="s">
        <v>648</v>
      </c>
      <c r="D1469">
        <v>0.19124543051054799</v>
      </c>
      <c r="E1469">
        <v>0.13166202325238599</v>
      </c>
      <c r="F1469">
        <v>0.26281946756930502</v>
      </c>
    </row>
    <row r="1470" spans="1:6" x14ac:dyDescent="0.2">
      <c r="A1470" t="s">
        <v>2541</v>
      </c>
      <c r="B1470" t="s">
        <v>2542</v>
      </c>
      <c r="C1470" t="s">
        <v>648</v>
      </c>
      <c r="D1470">
        <v>0.31767150372108199</v>
      </c>
      <c r="E1470">
        <v>0.22435143937525501</v>
      </c>
      <c r="F1470">
        <v>0.42636239459750003</v>
      </c>
    </row>
    <row r="1471" spans="1:6" x14ac:dyDescent="0.2">
      <c r="A1471" t="s">
        <v>2543</v>
      </c>
      <c r="B1471" t="s">
        <v>1068</v>
      </c>
      <c r="C1471" t="s">
        <v>1069</v>
      </c>
      <c r="D1471">
        <v>1.0140717400000001E-2</v>
      </c>
      <c r="E1471">
        <v>4.8555075E-3</v>
      </c>
      <c r="F1471">
        <v>1.933766E-2</v>
      </c>
    </row>
    <row r="1472" spans="1:6" x14ac:dyDescent="0.2">
      <c r="A1472" t="s">
        <v>2544</v>
      </c>
      <c r="B1472" t="s">
        <v>863</v>
      </c>
      <c r="C1472" t="s">
        <v>864</v>
      </c>
      <c r="D1472">
        <v>6.08338594999999E-2</v>
      </c>
      <c r="E1472">
        <v>3.9587362499999897E-2</v>
      </c>
      <c r="F1472">
        <v>8.9085129999999998E-2</v>
      </c>
    </row>
    <row r="1473" spans="1:6" x14ac:dyDescent="0.2">
      <c r="A1473" t="s">
        <v>2545</v>
      </c>
      <c r="B1473" t="s">
        <v>872</v>
      </c>
      <c r="C1473" t="s">
        <v>873</v>
      </c>
      <c r="D1473">
        <v>0.40161053799999902</v>
      </c>
      <c r="E1473">
        <v>0.2682705675</v>
      </c>
      <c r="F1473">
        <v>0.54533271750000001</v>
      </c>
    </row>
    <row r="1474" spans="1:6" x14ac:dyDescent="0.2">
      <c r="A1474" t="s">
        <v>2546</v>
      </c>
      <c r="B1474" t="s">
        <v>1073</v>
      </c>
      <c r="C1474" t="s">
        <v>1074</v>
      </c>
      <c r="D1474">
        <v>3.1164678500000001E-2</v>
      </c>
      <c r="E1474">
        <v>1.8060440000000001E-2</v>
      </c>
      <c r="F1474">
        <v>4.9540897499999903E-2</v>
      </c>
    </row>
    <row r="1475" spans="1:6" x14ac:dyDescent="0.2">
      <c r="A1475" t="s">
        <v>2547</v>
      </c>
      <c r="B1475" t="s">
        <v>703</v>
      </c>
      <c r="C1475" t="s">
        <v>704</v>
      </c>
      <c r="D1475">
        <v>0.20294601349999999</v>
      </c>
      <c r="E1475">
        <v>0.13394816000000001</v>
      </c>
      <c r="F1475">
        <v>0.28958335000000002</v>
      </c>
    </row>
    <row r="1476" spans="1:6" x14ac:dyDescent="0.2">
      <c r="A1476" t="s">
        <v>2548</v>
      </c>
      <c r="B1476" t="s">
        <v>2476</v>
      </c>
      <c r="C1476" t="s">
        <v>648</v>
      </c>
      <c r="D1476">
        <v>0.48339527113636599</v>
      </c>
      <c r="E1476">
        <v>0.34608073529613098</v>
      </c>
      <c r="F1476">
        <v>0.62852979317949498</v>
      </c>
    </row>
    <row r="1477" spans="1:6" x14ac:dyDescent="0.2">
      <c r="A1477" t="s">
        <v>2549</v>
      </c>
      <c r="B1477" t="s">
        <v>2483</v>
      </c>
      <c r="C1477" t="s">
        <v>648</v>
      </c>
      <c r="D1477">
        <v>0.50510678254499497</v>
      </c>
      <c r="E1477">
        <v>0.36739751133743698</v>
      </c>
      <c r="F1477">
        <v>0.64684719454420603</v>
      </c>
    </row>
    <row r="1478" spans="1:6" x14ac:dyDescent="0.2">
      <c r="A1478" t="s">
        <v>2550</v>
      </c>
      <c r="B1478" t="s">
        <v>2485</v>
      </c>
      <c r="C1478" t="s">
        <v>648</v>
      </c>
      <c r="D1478">
        <v>0.53402151021716304</v>
      </c>
      <c r="E1478">
        <v>0.39064647292552901</v>
      </c>
      <c r="F1478">
        <v>0.67543029358461504</v>
      </c>
    </row>
    <row r="1479" spans="1:6" x14ac:dyDescent="0.2">
      <c r="A1479" t="s">
        <v>2551</v>
      </c>
      <c r="B1479" t="s">
        <v>2487</v>
      </c>
      <c r="C1479" t="s">
        <v>648</v>
      </c>
      <c r="D1479">
        <v>0.56412908510083404</v>
      </c>
      <c r="E1479">
        <v>0.41816373895501202</v>
      </c>
      <c r="F1479">
        <v>0.70965194315136604</v>
      </c>
    </row>
    <row r="1480" spans="1:6" x14ac:dyDescent="0.2">
      <c r="A1480" t="s">
        <v>2552</v>
      </c>
      <c r="B1480" t="s">
        <v>2553</v>
      </c>
      <c r="C1480" t="s">
        <v>648</v>
      </c>
      <c r="D1480">
        <v>0.58438009278135505</v>
      </c>
      <c r="E1480">
        <v>0.434611141486276</v>
      </c>
      <c r="F1480">
        <v>0.72973591929067005</v>
      </c>
    </row>
    <row r="1481" spans="1:6" x14ac:dyDescent="0.2">
      <c r="A1481" t="s">
        <v>2554</v>
      </c>
      <c r="B1481" t="s">
        <v>2490</v>
      </c>
      <c r="C1481" t="s">
        <v>648</v>
      </c>
      <c r="D1481">
        <v>0.42687234530632701</v>
      </c>
      <c r="E1481">
        <v>0.30031218656961101</v>
      </c>
      <c r="F1481">
        <v>0.56737767854370602</v>
      </c>
    </row>
    <row r="1482" spans="1:6" x14ac:dyDescent="0.2">
      <c r="A1482" t="s">
        <v>2555</v>
      </c>
      <c r="B1482" t="s">
        <v>2492</v>
      </c>
      <c r="C1482" t="s">
        <v>648</v>
      </c>
      <c r="D1482">
        <v>0.46054067651812602</v>
      </c>
      <c r="E1482">
        <v>0.32428886046942601</v>
      </c>
      <c r="F1482">
        <v>0.60338355371011099</v>
      </c>
    </row>
    <row r="1483" spans="1:6" x14ac:dyDescent="0.2">
      <c r="A1483" t="s">
        <v>2556</v>
      </c>
      <c r="B1483" t="s">
        <v>2494</v>
      </c>
      <c r="C1483" t="s">
        <v>648</v>
      </c>
      <c r="D1483">
        <v>0.495598284938366</v>
      </c>
      <c r="E1483">
        <v>0.35535750584875903</v>
      </c>
      <c r="F1483">
        <v>0.64103055684436505</v>
      </c>
    </row>
    <row r="1484" spans="1:6" x14ac:dyDescent="0.2">
      <c r="A1484" t="s">
        <v>2557</v>
      </c>
      <c r="B1484" t="s">
        <v>2558</v>
      </c>
      <c r="C1484" t="s">
        <v>648</v>
      </c>
      <c r="D1484">
        <v>0.51915528706833503</v>
      </c>
      <c r="E1484">
        <v>0.369631500633537</v>
      </c>
      <c r="F1484">
        <v>0.66843499971564801</v>
      </c>
    </row>
    <row r="1485" spans="1:6" x14ac:dyDescent="0.2">
      <c r="A1485" t="s">
        <v>2559</v>
      </c>
      <c r="B1485" t="s">
        <v>2506</v>
      </c>
      <c r="C1485" t="s">
        <v>648</v>
      </c>
      <c r="D1485">
        <v>2.0809588381067699E-2</v>
      </c>
      <c r="E1485">
        <v>1.0076172835707499E-2</v>
      </c>
      <c r="F1485">
        <v>3.8535344698671203E-2</v>
      </c>
    </row>
    <row r="1486" spans="1:6" x14ac:dyDescent="0.2">
      <c r="A1486" t="s">
        <v>2560</v>
      </c>
      <c r="B1486" t="s">
        <v>2508</v>
      </c>
      <c r="C1486" t="s">
        <v>648</v>
      </c>
      <c r="D1486">
        <v>7.0936592370278995E-2</v>
      </c>
      <c r="E1486">
        <v>4.4891845896468399E-2</v>
      </c>
      <c r="F1486">
        <v>0.105848114213122</v>
      </c>
    </row>
    <row r="1487" spans="1:6" x14ac:dyDescent="0.2">
      <c r="A1487" t="s">
        <v>2561</v>
      </c>
      <c r="B1487" t="s">
        <v>2510</v>
      </c>
      <c r="C1487" t="s">
        <v>648</v>
      </c>
      <c r="D1487">
        <v>0.40812141670000401</v>
      </c>
      <c r="E1487">
        <v>0.27864661982625799</v>
      </c>
      <c r="F1487">
        <v>0.54958067881140305</v>
      </c>
    </row>
    <row r="1488" spans="1:6" x14ac:dyDescent="0.2">
      <c r="A1488" t="s">
        <v>2562</v>
      </c>
      <c r="B1488" t="s">
        <v>2512</v>
      </c>
      <c r="C1488" t="s">
        <v>648</v>
      </c>
      <c r="D1488">
        <v>0.100679216548761</v>
      </c>
      <c r="E1488">
        <v>6.5591807221744694E-2</v>
      </c>
      <c r="F1488">
        <v>0.14641800120534501</v>
      </c>
    </row>
    <row r="1489" spans="1:6" x14ac:dyDescent="0.2">
      <c r="A1489" t="s">
        <v>2563</v>
      </c>
      <c r="B1489" t="s">
        <v>2514</v>
      </c>
      <c r="C1489" t="s">
        <v>648</v>
      </c>
      <c r="D1489">
        <v>0.109115521479688</v>
      </c>
      <c r="E1489">
        <v>7.3270092802479897E-2</v>
      </c>
      <c r="F1489">
        <v>0.15356705784048499</v>
      </c>
    </row>
    <row r="1490" spans="1:6" x14ac:dyDescent="0.2">
      <c r="A1490" t="s">
        <v>2564</v>
      </c>
      <c r="B1490" t="s">
        <v>2516</v>
      </c>
      <c r="C1490" t="s">
        <v>648</v>
      </c>
      <c r="D1490">
        <v>0.16854999340987201</v>
      </c>
      <c r="E1490">
        <v>0.11328465947189501</v>
      </c>
      <c r="F1490">
        <v>0.23749545398097999</v>
      </c>
    </row>
    <row r="1491" spans="1:6" x14ac:dyDescent="0.2">
      <c r="A1491" t="s">
        <v>2565</v>
      </c>
      <c r="B1491" t="s">
        <v>2518</v>
      </c>
      <c r="C1491" t="s">
        <v>648</v>
      </c>
      <c r="D1491">
        <v>0.21086303894661301</v>
      </c>
      <c r="E1491">
        <v>0.145223487339916</v>
      </c>
      <c r="F1491">
        <v>0.29287453292129101</v>
      </c>
    </row>
    <row r="1492" spans="1:6" x14ac:dyDescent="0.2">
      <c r="A1492" t="s">
        <v>2566</v>
      </c>
      <c r="B1492" t="s">
        <v>2520</v>
      </c>
      <c r="C1492" t="s">
        <v>648</v>
      </c>
      <c r="D1492">
        <v>0.15699513125284201</v>
      </c>
      <c r="E1492">
        <v>0.10819502212134099</v>
      </c>
      <c r="F1492">
        <v>0.21790139670910699</v>
      </c>
    </row>
    <row r="1493" spans="1:6" x14ac:dyDescent="0.2">
      <c r="A1493" t="s">
        <v>2567</v>
      </c>
      <c r="B1493" t="s">
        <v>2522</v>
      </c>
      <c r="C1493" t="s">
        <v>648</v>
      </c>
      <c r="D1493">
        <v>0.19991944137193501</v>
      </c>
      <c r="E1493">
        <v>0.13854466430111001</v>
      </c>
      <c r="F1493">
        <v>0.27307890469313301</v>
      </c>
    </row>
    <row r="1494" spans="1:6" x14ac:dyDescent="0.2">
      <c r="A1494" t="s">
        <v>2568</v>
      </c>
      <c r="B1494" t="s">
        <v>2524</v>
      </c>
      <c r="C1494" t="s">
        <v>648</v>
      </c>
      <c r="D1494">
        <v>0.48899922133592999</v>
      </c>
      <c r="E1494">
        <v>0.35346143661088902</v>
      </c>
      <c r="F1494">
        <v>0.63161605329138704</v>
      </c>
    </row>
    <row r="1495" spans="1:6" x14ac:dyDescent="0.2">
      <c r="A1495" t="s">
        <v>2569</v>
      </c>
      <c r="B1495" t="s">
        <v>2526</v>
      </c>
      <c r="C1495" t="s">
        <v>648</v>
      </c>
      <c r="D1495">
        <v>0.183898578780819</v>
      </c>
      <c r="E1495">
        <v>0.12751916677720501</v>
      </c>
      <c r="F1495">
        <v>0.25318908834479398</v>
      </c>
    </row>
    <row r="1496" spans="1:6" x14ac:dyDescent="0.2">
      <c r="A1496" t="s">
        <v>2570</v>
      </c>
      <c r="B1496" t="s">
        <v>2528</v>
      </c>
      <c r="C1496" t="s">
        <v>648</v>
      </c>
      <c r="D1496">
        <v>0.27155896045927802</v>
      </c>
      <c r="E1496">
        <v>0.19121125639109199</v>
      </c>
      <c r="F1496">
        <v>0.363522428276705</v>
      </c>
    </row>
    <row r="1497" spans="1:6" x14ac:dyDescent="0.2">
      <c r="A1497" t="s">
        <v>2571</v>
      </c>
      <c r="B1497" t="s">
        <v>2530</v>
      </c>
      <c r="C1497" t="s">
        <v>648</v>
      </c>
      <c r="D1497">
        <v>0.23261701881340299</v>
      </c>
      <c r="E1497">
        <v>0.16137085011279401</v>
      </c>
      <c r="F1497">
        <v>0.314201406043494</v>
      </c>
    </row>
    <row r="1498" spans="1:6" x14ac:dyDescent="0.2">
      <c r="A1498" t="s">
        <v>2572</v>
      </c>
      <c r="B1498" t="s">
        <v>2532</v>
      </c>
      <c r="C1498" t="s">
        <v>648</v>
      </c>
      <c r="D1498">
        <v>0.27155896045927802</v>
      </c>
      <c r="E1498">
        <v>0.19121125639109199</v>
      </c>
      <c r="F1498">
        <v>0.363522428276705</v>
      </c>
    </row>
    <row r="1499" spans="1:6" x14ac:dyDescent="0.2">
      <c r="A1499" t="s">
        <v>2573</v>
      </c>
      <c r="B1499" t="s">
        <v>2534</v>
      </c>
      <c r="C1499" t="s">
        <v>648</v>
      </c>
      <c r="D1499">
        <v>0.28350805917211902</v>
      </c>
      <c r="E1499">
        <v>0.20068486457342899</v>
      </c>
      <c r="F1499">
        <v>0.38451862895382399</v>
      </c>
    </row>
    <row r="1500" spans="1:6" x14ac:dyDescent="0.2">
      <c r="A1500" t="s">
        <v>2574</v>
      </c>
      <c r="B1500" t="s">
        <v>2536</v>
      </c>
      <c r="C1500" t="s">
        <v>648</v>
      </c>
      <c r="D1500">
        <v>0.319777488161469</v>
      </c>
      <c r="E1500">
        <v>0.227692664466497</v>
      </c>
      <c r="F1500">
        <v>0.428562973834686</v>
      </c>
    </row>
    <row r="1501" spans="1:6" x14ac:dyDescent="0.2">
      <c r="A1501" t="s">
        <v>2575</v>
      </c>
      <c r="B1501" t="s">
        <v>2538</v>
      </c>
      <c r="C1501" t="s">
        <v>648</v>
      </c>
      <c r="D1501">
        <v>0.147837782535922</v>
      </c>
      <c r="E1501">
        <v>0.10039932743776001</v>
      </c>
      <c r="F1501">
        <v>0.206681909719483</v>
      </c>
    </row>
    <row r="1502" spans="1:6" x14ac:dyDescent="0.2">
      <c r="A1502" t="s">
        <v>2576</v>
      </c>
      <c r="B1502" t="s">
        <v>2540</v>
      </c>
      <c r="C1502" t="s">
        <v>648</v>
      </c>
      <c r="D1502">
        <v>0.19124543051054799</v>
      </c>
      <c r="E1502">
        <v>0.13166202325238599</v>
      </c>
      <c r="F1502">
        <v>0.26281946756930502</v>
      </c>
    </row>
    <row r="1503" spans="1:6" x14ac:dyDescent="0.2">
      <c r="A1503" t="s">
        <v>2577</v>
      </c>
      <c r="B1503" t="s">
        <v>2542</v>
      </c>
      <c r="C1503" t="s">
        <v>648</v>
      </c>
      <c r="D1503">
        <v>0.31767150372108199</v>
      </c>
      <c r="E1503">
        <v>0.22435143937525501</v>
      </c>
      <c r="F1503">
        <v>0.42636239459750003</v>
      </c>
    </row>
    <row r="1504" spans="1:6" x14ac:dyDescent="0.2">
      <c r="A1504" t="s">
        <v>2578</v>
      </c>
      <c r="B1504" t="s">
        <v>2579</v>
      </c>
      <c r="C1504" t="s">
        <v>648</v>
      </c>
      <c r="D1504">
        <v>0.20840421489713501</v>
      </c>
      <c r="E1504">
        <v>0.14153071234940101</v>
      </c>
      <c r="F1504">
        <v>0.289286008140412</v>
      </c>
    </row>
    <row r="1505" spans="1:6" x14ac:dyDescent="0.2">
      <c r="A1505" t="s">
        <v>2580</v>
      </c>
      <c r="B1505" t="s">
        <v>2581</v>
      </c>
      <c r="C1505" t="s">
        <v>648</v>
      </c>
      <c r="D1505">
        <v>0.248632837180573</v>
      </c>
      <c r="E1505">
        <v>0.17399163179848701</v>
      </c>
      <c r="F1505">
        <v>0.33785564397749301</v>
      </c>
    </row>
    <row r="1506" spans="1:6" x14ac:dyDescent="0.2">
      <c r="A1506" t="s">
        <v>2582</v>
      </c>
      <c r="B1506" t="s">
        <v>2583</v>
      </c>
      <c r="C1506" t="s">
        <v>648</v>
      </c>
      <c r="D1506">
        <v>0.35216353678432999</v>
      </c>
      <c r="E1506">
        <v>0.25373397878199999</v>
      </c>
      <c r="F1506">
        <v>0.46512162338915197</v>
      </c>
    </row>
    <row r="1507" spans="1:6" x14ac:dyDescent="0.2">
      <c r="A1507" t="s">
        <v>2584</v>
      </c>
      <c r="B1507" t="s">
        <v>2585</v>
      </c>
      <c r="C1507" t="s">
        <v>2586</v>
      </c>
      <c r="D1507">
        <v>6.0814388803672001E-2</v>
      </c>
      <c r="E1507">
        <v>2.3912576027214399E-2</v>
      </c>
      <c r="F1507">
        <v>0.10686210505664299</v>
      </c>
    </row>
    <row r="1508" spans="1:6" x14ac:dyDescent="0.2">
      <c r="A1508" t="s">
        <v>2587</v>
      </c>
      <c r="B1508" t="s">
        <v>2588</v>
      </c>
      <c r="C1508" t="s">
        <v>648</v>
      </c>
      <c r="D1508">
        <v>9.9739118360256396E-2</v>
      </c>
      <c r="E1508">
        <v>6.0189492234025199E-2</v>
      </c>
      <c r="F1508">
        <v>0.146840123216636</v>
      </c>
    </row>
    <row r="1509" spans="1:6" x14ac:dyDescent="0.2">
      <c r="A1509" t="s">
        <v>2589</v>
      </c>
      <c r="B1509" t="s">
        <v>2590</v>
      </c>
      <c r="C1509" t="s">
        <v>648</v>
      </c>
      <c r="D1509">
        <v>0.12810417897889501</v>
      </c>
      <c r="E1509">
        <v>8.4041963996242294E-2</v>
      </c>
      <c r="F1509">
        <v>0.178070136116012</v>
      </c>
    </row>
    <row r="1510" spans="1:6" x14ac:dyDescent="0.2">
      <c r="A1510" t="s">
        <v>2591</v>
      </c>
      <c r="B1510" t="s">
        <v>2592</v>
      </c>
      <c r="C1510" t="s">
        <v>648</v>
      </c>
      <c r="D1510">
        <v>0.22897576486061</v>
      </c>
      <c r="E1510">
        <v>0.161692641181614</v>
      </c>
      <c r="F1510">
        <v>0.30363217545797699</v>
      </c>
    </row>
    <row r="1511" spans="1:6" x14ac:dyDescent="0.2">
      <c r="A1511" t="s">
        <v>2593</v>
      </c>
      <c r="B1511" t="s">
        <v>2594</v>
      </c>
      <c r="C1511" t="s">
        <v>648</v>
      </c>
      <c r="D1511">
        <v>0.109426792893646</v>
      </c>
      <c r="E1511">
        <v>6.8117601966706104E-2</v>
      </c>
      <c r="F1511">
        <v>0.15781181399949601</v>
      </c>
    </row>
    <row r="1512" spans="1:6" x14ac:dyDescent="0.2">
      <c r="A1512" t="s">
        <v>2593</v>
      </c>
      <c r="B1512" t="s">
        <v>2594</v>
      </c>
      <c r="C1512" t="s">
        <v>648</v>
      </c>
      <c r="D1512">
        <v>0.109426792893646</v>
      </c>
      <c r="E1512">
        <v>6.8117601966706104E-2</v>
      </c>
      <c r="F1512">
        <v>0.15781181399949601</v>
      </c>
    </row>
    <row r="1513" spans="1:6" x14ac:dyDescent="0.2">
      <c r="A1513" t="s">
        <v>2595</v>
      </c>
      <c r="B1513" t="s">
        <v>2596</v>
      </c>
      <c r="C1513" t="s">
        <v>648</v>
      </c>
      <c r="D1513">
        <v>0.137481972912012</v>
      </c>
      <c r="E1513">
        <v>9.2193469943263703E-2</v>
      </c>
      <c r="F1513">
        <v>0.19029522164014701</v>
      </c>
    </row>
    <row r="1514" spans="1:6" x14ac:dyDescent="0.2">
      <c r="A1514" t="s">
        <v>2595</v>
      </c>
      <c r="B1514" t="s">
        <v>2596</v>
      </c>
      <c r="C1514" t="s">
        <v>648</v>
      </c>
      <c r="D1514">
        <v>0.137481972912012</v>
      </c>
      <c r="E1514">
        <v>9.2193469943263703E-2</v>
      </c>
      <c r="F1514">
        <v>0.19029522164014701</v>
      </c>
    </row>
    <row r="1515" spans="1:6" x14ac:dyDescent="0.2">
      <c r="A1515" t="s">
        <v>2597</v>
      </c>
      <c r="B1515" t="s">
        <v>2598</v>
      </c>
      <c r="C1515" t="s">
        <v>648</v>
      </c>
      <c r="D1515">
        <v>0.23727952763370999</v>
      </c>
      <c r="E1515">
        <v>0.168942796030502</v>
      </c>
      <c r="F1515">
        <v>0.31329887403897799</v>
      </c>
    </row>
    <row r="1516" spans="1:6" x14ac:dyDescent="0.2">
      <c r="A1516" t="s">
        <v>2597</v>
      </c>
      <c r="B1516" t="s">
        <v>2598</v>
      </c>
      <c r="C1516" t="s">
        <v>648</v>
      </c>
      <c r="D1516">
        <v>0.23727952763370999</v>
      </c>
      <c r="E1516">
        <v>0.168942796030502</v>
      </c>
      <c r="F1516">
        <v>0.31329887403897799</v>
      </c>
    </row>
    <row r="1517" spans="1:6" x14ac:dyDescent="0.2">
      <c r="A1517" t="s">
        <v>2599</v>
      </c>
      <c r="B1517" t="s">
        <v>2600</v>
      </c>
      <c r="C1517" t="s">
        <v>648</v>
      </c>
      <c r="D1517">
        <v>0.13795459846219699</v>
      </c>
      <c r="E1517">
        <v>9.1217411160529102E-2</v>
      </c>
      <c r="F1517">
        <v>0.19264140849908901</v>
      </c>
    </row>
    <row r="1518" spans="1:6" x14ac:dyDescent="0.2">
      <c r="A1518" t="s">
        <v>2599</v>
      </c>
      <c r="B1518" t="s">
        <v>2600</v>
      </c>
      <c r="C1518" t="s">
        <v>648</v>
      </c>
      <c r="D1518">
        <v>0.13795459846219699</v>
      </c>
      <c r="E1518">
        <v>9.1217411160529102E-2</v>
      </c>
      <c r="F1518">
        <v>0.19264140849908901</v>
      </c>
    </row>
    <row r="1519" spans="1:6" x14ac:dyDescent="0.2">
      <c r="A1519" t="s">
        <v>2601</v>
      </c>
      <c r="B1519" t="s">
        <v>2602</v>
      </c>
      <c r="C1519" t="s">
        <v>648</v>
      </c>
      <c r="D1519">
        <v>0.16507934217759501</v>
      </c>
      <c r="E1519">
        <v>0.113680650965976</v>
      </c>
      <c r="F1519">
        <v>0.225675095772986</v>
      </c>
    </row>
    <row r="1520" spans="1:6" x14ac:dyDescent="0.2">
      <c r="A1520" t="s">
        <v>2601</v>
      </c>
      <c r="B1520" t="s">
        <v>2602</v>
      </c>
      <c r="C1520" t="s">
        <v>648</v>
      </c>
      <c r="D1520">
        <v>0.16507934217759501</v>
      </c>
      <c r="E1520">
        <v>0.113680650965976</v>
      </c>
      <c r="F1520">
        <v>0.225675095772986</v>
      </c>
    </row>
    <row r="1521" spans="1:6" x14ac:dyDescent="0.2">
      <c r="A1521" t="s">
        <v>2603</v>
      </c>
      <c r="B1521" t="s">
        <v>2604</v>
      </c>
      <c r="C1521" t="s">
        <v>648</v>
      </c>
      <c r="D1521">
        <v>0.26159814066557702</v>
      </c>
      <c r="E1521">
        <v>0.18935334255594599</v>
      </c>
      <c r="F1521">
        <v>0.340562393377912</v>
      </c>
    </row>
    <row r="1522" spans="1:6" x14ac:dyDescent="0.2">
      <c r="A1522" t="s">
        <v>2603</v>
      </c>
      <c r="B1522" t="s">
        <v>2604</v>
      </c>
      <c r="C1522" t="s">
        <v>648</v>
      </c>
      <c r="D1522">
        <v>0.26159814066557702</v>
      </c>
      <c r="E1522">
        <v>0.18935334255594599</v>
      </c>
      <c r="F1522">
        <v>0.340562393377912</v>
      </c>
    </row>
    <row r="1523" spans="1:6" x14ac:dyDescent="0.2">
      <c r="A1523" t="s">
        <v>2605</v>
      </c>
      <c r="B1523" t="s">
        <v>2606</v>
      </c>
      <c r="C1523" t="s">
        <v>648</v>
      </c>
      <c r="D1523">
        <v>0.18964300546632601</v>
      </c>
      <c r="E1523">
        <v>0.13183672200763299</v>
      </c>
      <c r="F1523">
        <v>0.25610874024448799</v>
      </c>
    </row>
    <row r="1524" spans="1:6" x14ac:dyDescent="0.2">
      <c r="A1524" t="s">
        <v>2605</v>
      </c>
      <c r="B1524" t="s">
        <v>2606</v>
      </c>
      <c r="C1524" t="s">
        <v>648</v>
      </c>
      <c r="D1524">
        <v>0.18964300546632601</v>
      </c>
      <c r="E1524">
        <v>0.13183672200763299</v>
      </c>
      <c r="F1524">
        <v>0.25610874024448799</v>
      </c>
    </row>
    <row r="1525" spans="1:6" x14ac:dyDescent="0.2">
      <c r="A1525" t="s">
        <v>2607</v>
      </c>
      <c r="B1525" t="s">
        <v>2608</v>
      </c>
      <c r="C1525" t="s">
        <v>648</v>
      </c>
      <c r="D1525">
        <v>0.215076306628736</v>
      </c>
      <c r="E1525">
        <v>0.15261780470137101</v>
      </c>
      <c r="F1525">
        <v>0.28549904757533601</v>
      </c>
    </row>
    <row r="1526" spans="1:6" x14ac:dyDescent="0.2">
      <c r="A1526" t="s">
        <v>2607</v>
      </c>
      <c r="B1526" t="s">
        <v>2608</v>
      </c>
      <c r="C1526" t="s">
        <v>648</v>
      </c>
      <c r="D1526">
        <v>0.215076306628736</v>
      </c>
      <c r="E1526">
        <v>0.15261780470137101</v>
      </c>
      <c r="F1526">
        <v>0.28549904757533601</v>
      </c>
    </row>
    <row r="1527" spans="1:6" x14ac:dyDescent="0.2">
      <c r="A1527" t="s">
        <v>2609</v>
      </c>
      <c r="B1527" t="s">
        <v>2610</v>
      </c>
      <c r="C1527" t="s">
        <v>648</v>
      </c>
      <c r="D1527">
        <v>0.30557357073797597</v>
      </c>
      <c r="E1527">
        <v>0.223103812527645</v>
      </c>
      <c r="F1527">
        <v>0.395754518169602</v>
      </c>
    </row>
    <row r="1528" spans="1:6" x14ac:dyDescent="0.2">
      <c r="A1528" t="s">
        <v>2609</v>
      </c>
      <c r="B1528" t="s">
        <v>2610</v>
      </c>
      <c r="C1528" t="s">
        <v>648</v>
      </c>
      <c r="D1528">
        <v>0.30557357073797597</v>
      </c>
      <c r="E1528">
        <v>0.223103812527645</v>
      </c>
      <c r="F1528">
        <v>0.395754518169602</v>
      </c>
    </row>
    <row r="1529" spans="1:6" x14ac:dyDescent="0.2">
      <c r="A1529" t="s">
        <v>2611</v>
      </c>
      <c r="B1529" t="s">
        <v>2612</v>
      </c>
      <c r="C1529" t="s">
        <v>648</v>
      </c>
      <c r="D1529">
        <v>0.24366106412591301</v>
      </c>
      <c r="E1529">
        <v>0.176324700407062</v>
      </c>
      <c r="F1529">
        <v>0.318702397073586</v>
      </c>
    </row>
    <row r="1530" spans="1:6" x14ac:dyDescent="0.2">
      <c r="A1530" t="s">
        <v>2611</v>
      </c>
      <c r="B1530" t="s">
        <v>2612</v>
      </c>
      <c r="C1530" t="s">
        <v>648</v>
      </c>
      <c r="D1530">
        <v>0.24366106412591301</v>
      </c>
      <c r="E1530">
        <v>0.176324700407062</v>
      </c>
      <c r="F1530">
        <v>0.318702397073586</v>
      </c>
    </row>
    <row r="1531" spans="1:6" x14ac:dyDescent="0.2">
      <c r="A1531" t="s">
        <v>2613</v>
      </c>
      <c r="B1531" t="s">
        <v>2614</v>
      </c>
      <c r="C1531" t="s">
        <v>648</v>
      </c>
      <c r="D1531">
        <v>0.26732210608507501</v>
      </c>
      <c r="E1531">
        <v>0.194333531099455</v>
      </c>
      <c r="F1531">
        <v>0.34922583284553799</v>
      </c>
    </row>
    <row r="1532" spans="1:6" x14ac:dyDescent="0.2">
      <c r="A1532" t="s">
        <v>2613</v>
      </c>
      <c r="B1532" t="s">
        <v>2614</v>
      </c>
      <c r="C1532" t="s">
        <v>648</v>
      </c>
      <c r="D1532">
        <v>0.26732210608507501</v>
      </c>
      <c r="E1532">
        <v>0.194333531099455</v>
      </c>
      <c r="F1532">
        <v>0.34922583284553799</v>
      </c>
    </row>
    <row r="1533" spans="1:6" x14ac:dyDescent="0.2">
      <c r="A1533" t="s">
        <v>2615</v>
      </c>
      <c r="B1533" t="s">
        <v>2616</v>
      </c>
      <c r="C1533" t="s">
        <v>648</v>
      </c>
      <c r="D1533">
        <v>0.35149758919801199</v>
      </c>
      <c r="E1533">
        <v>0.25829193951708201</v>
      </c>
      <c r="F1533">
        <v>0.45527744210608201</v>
      </c>
    </row>
    <row r="1534" spans="1:6" x14ac:dyDescent="0.2">
      <c r="A1534" t="s">
        <v>2615</v>
      </c>
      <c r="B1534" t="s">
        <v>2616</v>
      </c>
      <c r="C1534" t="s">
        <v>648</v>
      </c>
      <c r="D1534">
        <v>0.35149758919801199</v>
      </c>
      <c r="E1534">
        <v>0.25829193951708201</v>
      </c>
      <c r="F1534">
        <v>0.45527744210608201</v>
      </c>
    </row>
    <row r="1535" spans="1:6" x14ac:dyDescent="0.2">
      <c r="A1535" t="s">
        <v>2617</v>
      </c>
      <c r="B1535" t="s">
        <v>2618</v>
      </c>
      <c r="C1535" t="s">
        <v>648</v>
      </c>
      <c r="D1535">
        <v>0.27988910145600499</v>
      </c>
      <c r="E1535">
        <v>0.206107452513074</v>
      </c>
      <c r="F1535">
        <v>0.369398696031361</v>
      </c>
    </row>
    <row r="1536" spans="1:6" x14ac:dyDescent="0.2">
      <c r="A1536" t="s">
        <v>2617</v>
      </c>
      <c r="B1536" t="s">
        <v>2618</v>
      </c>
      <c r="C1536" t="s">
        <v>648</v>
      </c>
      <c r="D1536">
        <v>0.27988910145600499</v>
      </c>
      <c r="E1536">
        <v>0.206107452513074</v>
      </c>
      <c r="F1536">
        <v>0.369398696031361</v>
      </c>
    </row>
    <row r="1537" spans="1:6" x14ac:dyDescent="0.2">
      <c r="A1537" t="s">
        <v>2619</v>
      </c>
      <c r="B1537" t="s">
        <v>2620</v>
      </c>
      <c r="C1537" t="s">
        <v>648</v>
      </c>
      <c r="D1537">
        <v>0.30237079963526597</v>
      </c>
      <c r="E1537">
        <v>0.22193505298723201</v>
      </c>
      <c r="F1537">
        <v>0.39514015484222997</v>
      </c>
    </row>
    <row r="1538" spans="1:6" x14ac:dyDescent="0.2">
      <c r="A1538" t="s">
        <v>2619</v>
      </c>
      <c r="B1538" t="s">
        <v>2620</v>
      </c>
      <c r="C1538" t="s">
        <v>648</v>
      </c>
      <c r="D1538">
        <v>0.30237079963526597</v>
      </c>
      <c r="E1538">
        <v>0.22193505298723201</v>
      </c>
      <c r="F1538">
        <v>0.39514015484222997</v>
      </c>
    </row>
    <row r="1539" spans="1:6" x14ac:dyDescent="0.2">
      <c r="A1539" t="s">
        <v>2621</v>
      </c>
      <c r="B1539" t="s">
        <v>2622</v>
      </c>
      <c r="C1539" t="s">
        <v>648</v>
      </c>
      <c r="D1539">
        <v>0.38232698643035101</v>
      </c>
      <c r="E1539">
        <v>0.28210886120820899</v>
      </c>
      <c r="F1539">
        <v>0.49462478510011998</v>
      </c>
    </row>
    <row r="1540" spans="1:6" x14ac:dyDescent="0.2">
      <c r="A1540" t="s">
        <v>2621</v>
      </c>
      <c r="B1540" t="s">
        <v>2622</v>
      </c>
      <c r="C1540" t="s">
        <v>648</v>
      </c>
      <c r="D1540">
        <v>0.38232698643035101</v>
      </c>
      <c r="E1540">
        <v>0.28210886120820899</v>
      </c>
      <c r="F1540">
        <v>0.49462478510011998</v>
      </c>
    </row>
    <row r="1541" spans="1:6" x14ac:dyDescent="0.2">
      <c r="A1541" t="s">
        <v>2623</v>
      </c>
      <c r="B1541" t="s">
        <v>2624</v>
      </c>
      <c r="C1541" t="s">
        <v>648</v>
      </c>
      <c r="D1541">
        <v>7.0950113734209397E-2</v>
      </c>
      <c r="E1541">
        <v>3.3402817236394003E-2</v>
      </c>
      <c r="F1541">
        <v>0.116938444805247</v>
      </c>
    </row>
    <row r="1542" spans="1:6" x14ac:dyDescent="0.2">
      <c r="A1542" t="s">
        <v>2625</v>
      </c>
      <c r="B1542" t="s">
        <v>2626</v>
      </c>
      <c r="C1542" t="s">
        <v>648</v>
      </c>
      <c r="D1542">
        <v>0.100761875305934</v>
      </c>
      <c r="E1542">
        <v>6.0740628028239901E-2</v>
      </c>
      <c r="F1542">
        <v>0.14900305077601</v>
      </c>
    </row>
    <row r="1543" spans="1:6" x14ac:dyDescent="0.2">
      <c r="A1543" t="s">
        <v>2627</v>
      </c>
      <c r="B1543" t="s">
        <v>2628</v>
      </c>
      <c r="C1543" t="s">
        <v>648</v>
      </c>
      <c r="D1543">
        <v>0.15473785558450601</v>
      </c>
      <c r="E1543">
        <v>0.104661500044936</v>
      </c>
      <c r="F1543">
        <v>0.21097456911391199</v>
      </c>
    </row>
    <row r="1544" spans="1:6" x14ac:dyDescent="0.2">
      <c r="A1544" t="s">
        <v>2629</v>
      </c>
      <c r="B1544" t="s">
        <v>2630</v>
      </c>
      <c r="C1544" t="s">
        <v>648</v>
      </c>
      <c r="D1544">
        <v>0.21112984364049101</v>
      </c>
      <c r="E1544">
        <v>0.148295220306848</v>
      </c>
      <c r="F1544">
        <v>0.28050699784379002</v>
      </c>
    </row>
    <row r="1545" spans="1:6" x14ac:dyDescent="0.2">
      <c r="A1545" t="s">
        <v>2631</v>
      </c>
      <c r="B1545" t="s">
        <v>2632</v>
      </c>
      <c r="C1545" t="s">
        <v>648</v>
      </c>
      <c r="D1545">
        <v>0.248928374202847</v>
      </c>
      <c r="E1545">
        <v>0.17587789470915799</v>
      </c>
      <c r="F1545">
        <v>0.32768477011460001</v>
      </c>
    </row>
    <row r="1546" spans="1:6" x14ac:dyDescent="0.2">
      <c r="A1546" t="s">
        <v>2633</v>
      </c>
      <c r="B1546" t="s">
        <v>2634</v>
      </c>
      <c r="C1546" t="s">
        <v>648</v>
      </c>
      <c r="D1546">
        <v>0.10683962207452</v>
      </c>
      <c r="E1546">
        <v>6.6589324771667305E-2</v>
      </c>
      <c r="F1546">
        <v>0.15570243501491299</v>
      </c>
    </row>
    <row r="1547" spans="1:6" x14ac:dyDescent="0.2">
      <c r="A1547" t="s">
        <v>2635</v>
      </c>
      <c r="B1547" t="s">
        <v>2636</v>
      </c>
      <c r="C1547" t="s">
        <v>648</v>
      </c>
      <c r="D1547">
        <v>0.116448447432206</v>
      </c>
      <c r="E1547">
        <v>7.4250464146367504E-2</v>
      </c>
      <c r="F1547">
        <v>0.168844760935567</v>
      </c>
    </row>
    <row r="1548" spans="1:6" x14ac:dyDescent="0.2">
      <c r="A1548" t="s">
        <v>2635</v>
      </c>
      <c r="B1548" t="s">
        <v>2636</v>
      </c>
      <c r="C1548" t="s">
        <v>648</v>
      </c>
      <c r="D1548">
        <v>0.116448447432206</v>
      </c>
      <c r="E1548">
        <v>7.4250464146367504E-2</v>
      </c>
      <c r="F1548">
        <v>0.168844760935567</v>
      </c>
    </row>
    <row r="1549" spans="1:6" x14ac:dyDescent="0.2">
      <c r="A1549" t="s">
        <v>2637</v>
      </c>
      <c r="B1549" t="s">
        <v>2638</v>
      </c>
      <c r="C1549" t="s">
        <v>648</v>
      </c>
      <c r="D1549">
        <v>0.14474289612401101</v>
      </c>
      <c r="E1549">
        <v>9.7638490644870499E-2</v>
      </c>
      <c r="F1549">
        <v>0.200325254642547</v>
      </c>
    </row>
    <row r="1550" spans="1:6" x14ac:dyDescent="0.2">
      <c r="A1550" t="s">
        <v>2637</v>
      </c>
      <c r="B1550" t="s">
        <v>2638</v>
      </c>
      <c r="C1550" t="s">
        <v>648</v>
      </c>
      <c r="D1550">
        <v>0.14474289612401101</v>
      </c>
      <c r="E1550">
        <v>9.7638490644870499E-2</v>
      </c>
      <c r="F1550">
        <v>0.200325254642547</v>
      </c>
    </row>
    <row r="1551" spans="1:6" x14ac:dyDescent="0.2">
      <c r="A1551" t="s">
        <v>2639</v>
      </c>
      <c r="B1551" t="s">
        <v>2640</v>
      </c>
      <c r="C1551" t="s">
        <v>648</v>
      </c>
      <c r="D1551">
        <v>0.196010168827008</v>
      </c>
      <c r="E1551">
        <v>0.13730379534550699</v>
      </c>
      <c r="F1551">
        <v>0.26361965175409902</v>
      </c>
    </row>
    <row r="1552" spans="1:6" x14ac:dyDescent="0.2">
      <c r="A1552" t="s">
        <v>2639</v>
      </c>
      <c r="B1552" t="s">
        <v>2640</v>
      </c>
      <c r="C1552" t="s">
        <v>648</v>
      </c>
      <c r="D1552">
        <v>0.196010168827008</v>
      </c>
      <c r="E1552">
        <v>0.13730379534550699</v>
      </c>
      <c r="F1552">
        <v>0.26361965175409902</v>
      </c>
    </row>
    <row r="1553" spans="1:6" x14ac:dyDescent="0.2">
      <c r="A1553" t="s">
        <v>2641</v>
      </c>
      <c r="B1553" t="s">
        <v>2642</v>
      </c>
      <c r="C1553" t="s">
        <v>648</v>
      </c>
      <c r="D1553">
        <v>0.24958788798432999</v>
      </c>
      <c r="E1553">
        <v>0.17813894687147899</v>
      </c>
      <c r="F1553">
        <v>0.32595451480308002</v>
      </c>
    </row>
    <row r="1554" spans="1:6" x14ac:dyDescent="0.2">
      <c r="A1554" t="s">
        <v>2641</v>
      </c>
      <c r="B1554" t="s">
        <v>2642</v>
      </c>
      <c r="C1554" t="s">
        <v>648</v>
      </c>
      <c r="D1554">
        <v>0.24958788798432999</v>
      </c>
      <c r="E1554">
        <v>0.17813894687147899</v>
      </c>
      <c r="F1554">
        <v>0.32595451480308002</v>
      </c>
    </row>
    <row r="1555" spans="1:6" x14ac:dyDescent="0.2">
      <c r="A1555" t="s">
        <v>2643</v>
      </c>
      <c r="B1555" t="s">
        <v>2644</v>
      </c>
      <c r="C1555" t="s">
        <v>648</v>
      </c>
      <c r="D1555">
        <v>0.285521051528702</v>
      </c>
      <c r="E1555">
        <v>0.20994826986026899</v>
      </c>
      <c r="F1555">
        <v>0.37472521878596099</v>
      </c>
    </row>
    <row r="1556" spans="1:6" x14ac:dyDescent="0.2">
      <c r="A1556" t="s">
        <v>2643</v>
      </c>
      <c r="B1556" t="s">
        <v>2644</v>
      </c>
      <c r="C1556" t="s">
        <v>648</v>
      </c>
      <c r="D1556">
        <v>0.285521051528702</v>
      </c>
      <c r="E1556">
        <v>0.20994826986026899</v>
      </c>
      <c r="F1556">
        <v>0.37472521878596099</v>
      </c>
    </row>
    <row r="1557" spans="1:6" x14ac:dyDescent="0.2">
      <c r="A1557" t="s">
        <v>2645</v>
      </c>
      <c r="B1557" t="s">
        <v>2585</v>
      </c>
      <c r="C1557" t="s">
        <v>2586</v>
      </c>
      <c r="D1557">
        <v>6.0814388803672001E-2</v>
      </c>
      <c r="E1557">
        <v>2.3912576027214399E-2</v>
      </c>
      <c r="F1557">
        <v>0.10686210505664299</v>
      </c>
    </row>
    <row r="1558" spans="1:6" x14ac:dyDescent="0.2">
      <c r="A1558" t="s">
        <v>2646</v>
      </c>
      <c r="B1558" t="s">
        <v>2624</v>
      </c>
      <c r="C1558" t="s">
        <v>648</v>
      </c>
      <c r="D1558">
        <v>7.0950113734209397E-2</v>
      </c>
      <c r="E1558">
        <v>3.3402817236394003E-2</v>
      </c>
      <c r="F1558">
        <v>0.116938444805247</v>
      </c>
    </row>
    <row r="1559" spans="1:6" x14ac:dyDescent="0.2">
      <c r="A1559" t="s">
        <v>2647</v>
      </c>
      <c r="B1559" t="s">
        <v>2626</v>
      </c>
      <c r="C1559" t="s">
        <v>648</v>
      </c>
      <c r="D1559">
        <v>0.100761875305934</v>
      </c>
      <c r="E1559">
        <v>6.0740628028239901E-2</v>
      </c>
      <c r="F1559">
        <v>0.14900305077601</v>
      </c>
    </row>
    <row r="1560" spans="1:6" x14ac:dyDescent="0.2">
      <c r="A1560" t="s">
        <v>2648</v>
      </c>
      <c r="B1560" t="s">
        <v>2628</v>
      </c>
      <c r="C1560" t="s">
        <v>648</v>
      </c>
      <c r="D1560">
        <v>0.15473785558450601</v>
      </c>
      <c r="E1560">
        <v>0.104661500044936</v>
      </c>
      <c r="F1560">
        <v>0.21097456911391199</v>
      </c>
    </row>
    <row r="1561" spans="1:6" x14ac:dyDescent="0.2">
      <c r="A1561" t="s">
        <v>2649</v>
      </c>
      <c r="B1561" t="s">
        <v>2630</v>
      </c>
      <c r="C1561" t="s">
        <v>648</v>
      </c>
      <c r="D1561">
        <v>0.21112984364049101</v>
      </c>
      <c r="E1561">
        <v>0.148295220306848</v>
      </c>
      <c r="F1561">
        <v>0.28050699784379002</v>
      </c>
    </row>
    <row r="1562" spans="1:6" x14ac:dyDescent="0.2">
      <c r="A1562" t="s">
        <v>2650</v>
      </c>
      <c r="B1562" t="s">
        <v>2632</v>
      </c>
      <c r="C1562" t="s">
        <v>648</v>
      </c>
      <c r="D1562">
        <v>0.248928374202847</v>
      </c>
      <c r="E1562">
        <v>0.17587789470915799</v>
      </c>
      <c r="F1562">
        <v>0.32768477011460001</v>
      </c>
    </row>
    <row r="1563" spans="1:6" x14ac:dyDescent="0.2">
      <c r="A1563" t="s">
        <v>2651</v>
      </c>
      <c r="B1563" t="s">
        <v>2585</v>
      </c>
      <c r="C1563" t="s">
        <v>2586</v>
      </c>
      <c r="D1563">
        <v>6.0814388803672001E-2</v>
      </c>
      <c r="E1563">
        <v>2.3912576027214399E-2</v>
      </c>
      <c r="F1563">
        <v>0.10686210505664299</v>
      </c>
    </row>
    <row r="1564" spans="1:6" x14ac:dyDescent="0.2">
      <c r="A1564" t="s">
        <v>2652</v>
      </c>
      <c r="B1564" t="s">
        <v>2588</v>
      </c>
      <c r="C1564" t="s">
        <v>648</v>
      </c>
      <c r="D1564">
        <v>9.9739118360256396E-2</v>
      </c>
      <c r="E1564">
        <v>6.0189492234025199E-2</v>
      </c>
      <c r="F1564">
        <v>0.146840123216636</v>
      </c>
    </row>
    <row r="1565" spans="1:6" x14ac:dyDescent="0.2">
      <c r="A1565" t="s">
        <v>2653</v>
      </c>
      <c r="B1565" t="s">
        <v>2590</v>
      </c>
      <c r="C1565" t="s">
        <v>648</v>
      </c>
      <c r="D1565">
        <v>0.12810417897889501</v>
      </c>
      <c r="E1565">
        <v>8.4041963996242294E-2</v>
      </c>
      <c r="F1565">
        <v>0.178070136116012</v>
      </c>
    </row>
    <row r="1566" spans="1:6" x14ac:dyDescent="0.2">
      <c r="A1566" t="s">
        <v>2654</v>
      </c>
      <c r="B1566" t="s">
        <v>2592</v>
      </c>
      <c r="C1566" t="s">
        <v>648</v>
      </c>
      <c r="D1566">
        <v>0.22897576486061</v>
      </c>
      <c r="E1566">
        <v>0.161692641181614</v>
      </c>
      <c r="F1566">
        <v>0.30363217545797699</v>
      </c>
    </row>
    <row r="1567" spans="1:6" x14ac:dyDescent="0.2">
      <c r="A1567" t="s">
        <v>2655</v>
      </c>
      <c r="B1567" t="s">
        <v>2594</v>
      </c>
      <c r="C1567" t="s">
        <v>648</v>
      </c>
      <c r="D1567">
        <v>0.109426792893646</v>
      </c>
      <c r="E1567">
        <v>6.8117601966706104E-2</v>
      </c>
      <c r="F1567">
        <v>0.15781181399949601</v>
      </c>
    </row>
    <row r="1568" spans="1:6" x14ac:dyDescent="0.2">
      <c r="A1568" t="s">
        <v>2655</v>
      </c>
      <c r="B1568" t="s">
        <v>2594</v>
      </c>
      <c r="C1568" t="s">
        <v>648</v>
      </c>
      <c r="D1568">
        <v>0.109426792893646</v>
      </c>
      <c r="E1568">
        <v>6.8117601966706104E-2</v>
      </c>
      <c r="F1568">
        <v>0.15781181399949601</v>
      </c>
    </row>
    <row r="1569" spans="1:6" x14ac:dyDescent="0.2">
      <c r="A1569" t="s">
        <v>2656</v>
      </c>
      <c r="B1569" t="s">
        <v>2596</v>
      </c>
      <c r="C1569" t="s">
        <v>648</v>
      </c>
      <c r="D1569">
        <v>0.137481972912012</v>
      </c>
      <c r="E1569">
        <v>9.2193469943263703E-2</v>
      </c>
      <c r="F1569">
        <v>0.19029522164014701</v>
      </c>
    </row>
    <row r="1570" spans="1:6" x14ac:dyDescent="0.2">
      <c r="A1570" t="s">
        <v>2656</v>
      </c>
      <c r="B1570" t="s">
        <v>2596</v>
      </c>
      <c r="C1570" t="s">
        <v>648</v>
      </c>
      <c r="D1570">
        <v>0.137481972912012</v>
      </c>
      <c r="E1570">
        <v>9.2193469943263703E-2</v>
      </c>
      <c r="F1570">
        <v>0.19029522164014701</v>
      </c>
    </row>
    <row r="1571" spans="1:6" x14ac:dyDescent="0.2">
      <c r="A1571" t="s">
        <v>2657</v>
      </c>
      <c r="B1571" t="s">
        <v>2598</v>
      </c>
      <c r="C1571" t="s">
        <v>648</v>
      </c>
      <c r="D1571">
        <v>0.23727952763370999</v>
      </c>
      <c r="E1571">
        <v>0.168942796030502</v>
      </c>
      <c r="F1571">
        <v>0.31329887403897799</v>
      </c>
    </row>
    <row r="1572" spans="1:6" x14ac:dyDescent="0.2">
      <c r="A1572" t="s">
        <v>2657</v>
      </c>
      <c r="B1572" t="s">
        <v>2598</v>
      </c>
      <c r="C1572" t="s">
        <v>648</v>
      </c>
      <c r="D1572">
        <v>0.23727952763370999</v>
      </c>
      <c r="E1572">
        <v>0.168942796030502</v>
      </c>
      <c r="F1572">
        <v>0.31329887403897799</v>
      </c>
    </row>
    <row r="1573" spans="1:6" x14ac:dyDescent="0.2">
      <c r="A1573" t="s">
        <v>2658</v>
      </c>
      <c r="B1573" t="s">
        <v>2600</v>
      </c>
      <c r="C1573" t="s">
        <v>648</v>
      </c>
      <c r="D1573">
        <v>0.13795459846219699</v>
      </c>
      <c r="E1573">
        <v>9.1217411160529102E-2</v>
      </c>
      <c r="F1573">
        <v>0.19264140849908901</v>
      </c>
    </row>
    <row r="1574" spans="1:6" x14ac:dyDescent="0.2">
      <c r="A1574" t="s">
        <v>2658</v>
      </c>
      <c r="B1574" t="s">
        <v>2600</v>
      </c>
      <c r="C1574" t="s">
        <v>648</v>
      </c>
      <c r="D1574">
        <v>0.13795459846219699</v>
      </c>
      <c r="E1574">
        <v>9.1217411160529102E-2</v>
      </c>
      <c r="F1574">
        <v>0.19264140849908901</v>
      </c>
    </row>
    <row r="1575" spans="1:6" x14ac:dyDescent="0.2">
      <c r="A1575" t="s">
        <v>2659</v>
      </c>
      <c r="B1575" t="s">
        <v>2602</v>
      </c>
      <c r="C1575" t="s">
        <v>648</v>
      </c>
      <c r="D1575">
        <v>0.16507934217759501</v>
      </c>
      <c r="E1575">
        <v>0.113680650965976</v>
      </c>
      <c r="F1575">
        <v>0.225675095772986</v>
      </c>
    </row>
    <row r="1576" spans="1:6" x14ac:dyDescent="0.2">
      <c r="A1576" t="s">
        <v>2659</v>
      </c>
      <c r="B1576" t="s">
        <v>2602</v>
      </c>
      <c r="C1576" t="s">
        <v>648</v>
      </c>
      <c r="D1576">
        <v>0.16507934217759501</v>
      </c>
      <c r="E1576">
        <v>0.113680650965976</v>
      </c>
      <c r="F1576">
        <v>0.225675095772986</v>
      </c>
    </row>
    <row r="1577" spans="1:6" x14ac:dyDescent="0.2">
      <c r="A1577" t="s">
        <v>2660</v>
      </c>
      <c r="B1577" t="s">
        <v>2604</v>
      </c>
      <c r="C1577" t="s">
        <v>648</v>
      </c>
      <c r="D1577">
        <v>0.26159814066557702</v>
      </c>
      <c r="E1577">
        <v>0.18935334255594599</v>
      </c>
      <c r="F1577">
        <v>0.340562393377912</v>
      </c>
    </row>
    <row r="1578" spans="1:6" x14ac:dyDescent="0.2">
      <c r="A1578" t="s">
        <v>2660</v>
      </c>
      <c r="B1578" t="s">
        <v>2604</v>
      </c>
      <c r="C1578" t="s">
        <v>648</v>
      </c>
      <c r="D1578">
        <v>0.26159814066557702</v>
      </c>
      <c r="E1578">
        <v>0.18935334255594599</v>
      </c>
      <c r="F1578">
        <v>0.340562393377912</v>
      </c>
    </row>
    <row r="1579" spans="1:6" x14ac:dyDescent="0.2">
      <c r="A1579" t="s">
        <v>2661</v>
      </c>
      <c r="B1579" t="s">
        <v>2606</v>
      </c>
      <c r="C1579" t="s">
        <v>648</v>
      </c>
      <c r="D1579">
        <v>0.18964300546632601</v>
      </c>
      <c r="E1579">
        <v>0.13183672200763299</v>
      </c>
      <c r="F1579">
        <v>0.25610874024448799</v>
      </c>
    </row>
    <row r="1580" spans="1:6" x14ac:dyDescent="0.2">
      <c r="A1580" t="s">
        <v>2661</v>
      </c>
      <c r="B1580" t="s">
        <v>2606</v>
      </c>
      <c r="C1580" t="s">
        <v>648</v>
      </c>
      <c r="D1580">
        <v>0.18964300546632601</v>
      </c>
      <c r="E1580">
        <v>0.13183672200763299</v>
      </c>
      <c r="F1580">
        <v>0.25610874024448799</v>
      </c>
    </row>
    <row r="1581" spans="1:6" x14ac:dyDescent="0.2">
      <c r="A1581" t="s">
        <v>2662</v>
      </c>
      <c r="B1581" t="s">
        <v>2608</v>
      </c>
      <c r="C1581" t="s">
        <v>648</v>
      </c>
      <c r="D1581">
        <v>0.215076306628736</v>
      </c>
      <c r="E1581">
        <v>0.15261780470137101</v>
      </c>
      <c r="F1581">
        <v>0.28549904757533601</v>
      </c>
    </row>
    <row r="1582" spans="1:6" x14ac:dyDescent="0.2">
      <c r="A1582" t="s">
        <v>2662</v>
      </c>
      <c r="B1582" t="s">
        <v>2608</v>
      </c>
      <c r="C1582" t="s">
        <v>648</v>
      </c>
      <c r="D1582">
        <v>0.215076306628736</v>
      </c>
      <c r="E1582">
        <v>0.15261780470137101</v>
      </c>
      <c r="F1582">
        <v>0.28549904757533601</v>
      </c>
    </row>
    <row r="1583" spans="1:6" x14ac:dyDescent="0.2">
      <c r="A1583" t="s">
        <v>2663</v>
      </c>
      <c r="B1583" t="s">
        <v>2610</v>
      </c>
      <c r="C1583" t="s">
        <v>648</v>
      </c>
      <c r="D1583">
        <v>0.30557357073797597</v>
      </c>
      <c r="E1583">
        <v>0.223103812527645</v>
      </c>
      <c r="F1583">
        <v>0.395754518169602</v>
      </c>
    </row>
    <row r="1584" spans="1:6" x14ac:dyDescent="0.2">
      <c r="A1584" t="s">
        <v>2663</v>
      </c>
      <c r="B1584" t="s">
        <v>2610</v>
      </c>
      <c r="C1584" t="s">
        <v>648</v>
      </c>
      <c r="D1584">
        <v>0.30557357073797597</v>
      </c>
      <c r="E1584">
        <v>0.223103812527645</v>
      </c>
      <c r="F1584">
        <v>0.395754518169602</v>
      </c>
    </row>
    <row r="1585" spans="1:6" x14ac:dyDescent="0.2">
      <c r="A1585" t="s">
        <v>2664</v>
      </c>
      <c r="B1585" t="s">
        <v>2612</v>
      </c>
      <c r="C1585" t="s">
        <v>648</v>
      </c>
      <c r="D1585">
        <v>0.24366106412591301</v>
      </c>
      <c r="E1585">
        <v>0.176324700407062</v>
      </c>
      <c r="F1585">
        <v>0.318702397073586</v>
      </c>
    </row>
    <row r="1586" spans="1:6" x14ac:dyDescent="0.2">
      <c r="A1586" t="s">
        <v>2664</v>
      </c>
      <c r="B1586" t="s">
        <v>2612</v>
      </c>
      <c r="C1586" t="s">
        <v>648</v>
      </c>
      <c r="D1586">
        <v>0.24366106412591301</v>
      </c>
      <c r="E1586">
        <v>0.176324700407062</v>
      </c>
      <c r="F1586">
        <v>0.318702397073586</v>
      </c>
    </row>
    <row r="1587" spans="1:6" x14ac:dyDescent="0.2">
      <c r="A1587" t="s">
        <v>2665</v>
      </c>
      <c r="B1587" t="s">
        <v>2614</v>
      </c>
      <c r="C1587" t="s">
        <v>648</v>
      </c>
      <c r="D1587">
        <v>0.26732210608507501</v>
      </c>
      <c r="E1587">
        <v>0.194333531099455</v>
      </c>
      <c r="F1587">
        <v>0.34922583284553799</v>
      </c>
    </row>
    <row r="1588" spans="1:6" x14ac:dyDescent="0.2">
      <c r="A1588" t="s">
        <v>2665</v>
      </c>
      <c r="B1588" t="s">
        <v>2614</v>
      </c>
      <c r="C1588" t="s">
        <v>648</v>
      </c>
      <c r="D1588">
        <v>0.26732210608507501</v>
      </c>
      <c r="E1588">
        <v>0.194333531099455</v>
      </c>
      <c r="F1588">
        <v>0.34922583284553799</v>
      </c>
    </row>
    <row r="1589" spans="1:6" x14ac:dyDescent="0.2">
      <c r="A1589" t="s">
        <v>2666</v>
      </c>
      <c r="B1589" t="s">
        <v>2616</v>
      </c>
      <c r="C1589" t="s">
        <v>648</v>
      </c>
      <c r="D1589">
        <v>0.35149758919801199</v>
      </c>
      <c r="E1589">
        <v>0.25829193951708201</v>
      </c>
      <c r="F1589">
        <v>0.45527744210608201</v>
      </c>
    </row>
    <row r="1590" spans="1:6" x14ac:dyDescent="0.2">
      <c r="A1590" t="s">
        <v>2666</v>
      </c>
      <c r="B1590" t="s">
        <v>2616</v>
      </c>
      <c r="C1590" t="s">
        <v>648</v>
      </c>
      <c r="D1590">
        <v>0.35149758919801199</v>
      </c>
      <c r="E1590">
        <v>0.25829193951708201</v>
      </c>
      <c r="F1590">
        <v>0.45527744210608201</v>
      </c>
    </row>
    <row r="1591" spans="1:6" x14ac:dyDescent="0.2">
      <c r="A1591" t="s">
        <v>2667</v>
      </c>
      <c r="B1591" t="s">
        <v>2618</v>
      </c>
      <c r="C1591" t="s">
        <v>648</v>
      </c>
      <c r="D1591">
        <v>0.27988910145600499</v>
      </c>
      <c r="E1591">
        <v>0.206107452513074</v>
      </c>
      <c r="F1591">
        <v>0.369398696031361</v>
      </c>
    </row>
    <row r="1592" spans="1:6" x14ac:dyDescent="0.2">
      <c r="A1592" t="s">
        <v>2667</v>
      </c>
      <c r="B1592" t="s">
        <v>2618</v>
      </c>
      <c r="C1592" t="s">
        <v>648</v>
      </c>
      <c r="D1592">
        <v>0.27988910145600499</v>
      </c>
      <c r="E1592">
        <v>0.206107452513074</v>
      </c>
      <c r="F1592">
        <v>0.369398696031361</v>
      </c>
    </row>
    <row r="1593" spans="1:6" x14ac:dyDescent="0.2">
      <c r="A1593" t="s">
        <v>2668</v>
      </c>
      <c r="B1593" t="s">
        <v>2620</v>
      </c>
      <c r="C1593" t="s">
        <v>648</v>
      </c>
      <c r="D1593">
        <v>0.30237079963526597</v>
      </c>
      <c r="E1593">
        <v>0.22193505298723201</v>
      </c>
      <c r="F1593">
        <v>0.39514015484222997</v>
      </c>
    </row>
    <row r="1594" spans="1:6" x14ac:dyDescent="0.2">
      <c r="A1594" t="s">
        <v>2668</v>
      </c>
      <c r="B1594" t="s">
        <v>2620</v>
      </c>
      <c r="C1594" t="s">
        <v>648</v>
      </c>
      <c r="D1594">
        <v>0.30237079963526597</v>
      </c>
      <c r="E1594">
        <v>0.22193505298723201</v>
      </c>
      <c r="F1594">
        <v>0.39514015484222997</v>
      </c>
    </row>
    <row r="1595" spans="1:6" x14ac:dyDescent="0.2">
      <c r="A1595" t="s">
        <v>2669</v>
      </c>
      <c r="B1595" t="s">
        <v>2622</v>
      </c>
      <c r="C1595" t="s">
        <v>648</v>
      </c>
      <c r="D1595">
        <v>0.38232698643035101</v>
      </c>
      <c r="E1595">
        <v>0.28210886120820899</v>
      </c>
      <c r="F1595">
        <v>0.49462478510011998</v>
      </c>
    </row>
    <row r="1596" spans="1:6" x14ac:dyDescent="0.2">
      <c r="A1596" t="s">
        <v>2669</v>
      </c>
      <c r="B1596" t="s">
        <v>2622</v>
      </c>
      <c r="C1596" t="s">
        <v>648</v>
      </c>
      <c r="D1596">
        <v>0.38232698643035101</v>
      </c>
      <c r="E1596">
        <v>0.28210886120820899</v>
      </c>
      <c r="F1596">
        <v>0.49462478510011998</v>
      </c>
    </row>
    <row r="1597" spans="1:6" x14ac:dyDescent="0.2">
      <c r="A1597" t="s">
        <v>2670</v>
      </c>
      <c r="B1597" t="s">
        <v>2624</v>
      </c>
      <c r="C1597" t="s">
        <v>648</v>
      </c>
      <c r="D1597">
        <v>7.0950113734209397E-2</v>
      </c>
      <c r="E1597">
        <v>3.3402817236394003E-2</v>
      </c>
      <c r="F1597">
        <v>0.116938444805247</v>
      </c>
    </row>
    <row r="1598" spans="1:6" x14ac:dyDescent="0.2">
      <c r="A1598" t="s">
        <v>2671</v>
      </c>
      <c r="B1598" t="s">
        <v>2626</v>
      </c>
      <c r="C1598" t="s">
        <v>648</v>
      </c>
      <c r="D1598">
        <v>0.100761875305934</v>
      </c>
      <c r="E1598">
        <v>6.0740628028239901E-2</v>
      </c>
      <c r="F1598">
        <v>0.14900305077601</v>
      </c>
    </row>
    <row r="1599" spans="1:6" x14ac:dyDescent="0.2">
      <c r="A1599" t="s">
        <v>2672</v>
      </c>
      <c r="B1599" t="s">
        <v>2628</v>
      </c>
      <c r="C1599" t="s">
        <v>648</v>
      </c>
      <c r="D1599">
        <v>0.15473785558450601</v>
      </c>
      <c r="E1599">
        <v>0.104661500044936</v>
      </c>
      <c r="F1599">
        <v>0.21097456911391199</v>
      </c>
    </row>
    <row r="1600" spans="1:6" x14ac:dyDescent="0.2">
      <c r="A1600" t="s">
        <v>2673</v>
      </c>
      <c r="B1600" t="s">
        <v>2630</v>
      </c>
      <c r="C1600" t="s">
        <v>648</v>
      </c>
      <c r="D1600">
        <v>0.21112984364049101</v>
      </c>
      <c r="E1600">
        <v>0.148295220306848</v>
      </c>
      <c r="F1600">
        <v>0.28050699784379002</v>
      </c>
    </row>
    <row r="1601" spans="1:6" x14ac:dyDescent="0.2">
      <c r="A1601" t="s">
        <v>2674</v>
      </c>
      <c r="B1601" t="s">
        <v>2632</v>
      </c>
      <c r="C1601" t="s">
        <v>648</v>
      </c>
      <c r="D1601">
        <v>0.248928374202847</v>
      </c>
      <c r="E1601">
        <v>0.17587789470915799</v>
      </c>
      <c r="F1601">
        <v>0.32768477011460001</v>
      </c>
    </row>
    <row r="1602" spans="1:6" x14ac:dyDescent="0.2">
      <c r="A1602" t="s">
        <v>2675</v>
      </c>
      <c r="B1602" t="s">
        <v>2634</v>
      </c>
      <c r="C1602" t="s">
        <v>648</v>
      </c>
      <c r="D1602">
        <v>0.10683962207452</v>
      </c>
      <c r="E1602">
        <v>6.6589324771667305E-2</v>
      </c>
      <c r="F1602">
        <v>0.15570243501491299</v>
      </c>
    </row>
    <row r="1603" spans="1:6" x14ac:dyDescent="0.2">
      <c r="A1603" t="s">
        <v>2676</v>
      </c>
      <c r="B1603" t="s">
        <v>2636</v>
      </c>
      <c r="C1603" t="s">
        <v>648</v>
      </c>
      <c r="D1603">
        <v>0.116448447432206</v>
      </c>
      <c r="E1603">
        <v>7.4250464146367504E-2</v>
      </c>
      <c r="F1603">
        <v>0.168844760935567</v>
      </c>
    </row>
    <row r="1604" spans="1:6" x14ac:dyDescent="0.2">
      <c r="A1604" t="s">
        <v>2676</v>
      </c>
      <c r="B1604" t="s">
        <v>2636</v>
      </c>
      <c r="C1604" t="s">
        <v>648</v>
      </c>
      <c r="D1604">
        <v>0.116448447432206</v>
      </c>
      <c r="E1604">
        <v>7.4250464146367504E-2</v>
      </c>
      <c r="F1604">
        <v>0.168844760935567</v>
      </c>
    </row>
    <row r="1605" spans="1:6" x14ac:dyDescent="0.2">
      <c r="A1605" t="s">
        <v>2677</v>
      </c>
      <c r="B1605" t="s">
        <v>2638</v>
      </c>
      <c r="C1605" t="s">
        <v>648</v>
      </c>
      <c r="D1605">
        <v>0.14474289612401101</v>
      </c>
      <c r="E1605">
        <v>9.7638490644870499E-2</v>
      </c>
      <c r="F1605">
        <v>0.200325254642547</v>
      </c>
    </row>
    <row r="1606" spans="1:6" x14ac:dyDescent="0.2">
      <c r="A1606" t="s">
        <v>2677</v>
      </c>
      <c r="B1606" t="s">
        <v>2638</v>
      </c>
      <c r="C1606" t="s">
        <v>648</v>
      </c>
      <c r="D1606">
        <v>0.14474289612401101</v>
      </c>
      <c r="E1606">
        <v>9.7638490644870499E-2</v>
      </c>
      <c r="F1606">
        <v>0.200325254642547</v>
      </c>
    </row>
    <row r="1607" spans="1:6" x14ac:dyDescent="0.2">
      <c r="A1607" t="s">
        <v>2678</v>
      </c>
      <c r="B1607" t="s">
        <v>2640</v>
      </c>
      <c r="C1607" t="s">
        <v>648</v>
      </c>
      <c r="D1607">
        <v>0.196010168827008</v>
      </c>
      <c r="E1607">
        <v>0.13730379534550699</v>
      </c>
      <c r="F1607">
        <v>0.26361965175409902</v>
      </c>
    </row>
    <row r="1608" spans="1:6" x14ac:dyDescent="0.2">
      <c r="A1608" t="s">
        <v>2678</v>
      </c>
      <c r="B1608" t="s">
        <v>2640</v>
      </c>
      <c r="C1608" t="s">
        <v>648</v>
      </c>
      <c r="D1608">
        <v>0.196010168827008</v>
      </c>
      <c r="E1608">
        <v>0.13730379534550699</v>
      </c>
      <c r="F1608">
        <v>0.26361965175409902</v>
      </c>
    </row>
    <row r="1609" spans="1:6" x14ac:dyDescent="0.2">
      <c r="A1609" t="s">
        <v>2679</v>
      </c>
      <c r="B1609" t="s">
        <v>2642</v>
      </c>
      <c r="C1609" t="s">
        <v>648</v>
      </c>
      <c r="D1609">
        <v>0.24958788798432999</v>
      </c>
      <c r="E1609">
        <v>0.17813894687147899</v>
      </c>
      <c r="F1609">
        <v>0.32595451480308002</v>
      </c>
    </row>
    <row r="1610" spans="1:6" x14ac:dyDescent="0.2">
      <c r="A1610" t="s">
        <v>2679</v>
      </c>
      <c r="B1610" t="s">
        <v>2642</v>
      </c>
      <c r="C1610" t="s">
        <v>648</v>
      </c>
      <c r="D1610">
        <v>0.24958788798432999</v>
      </c>
      <c r="E1610">
        <v>0.17813894687147899</v>
      </c>
      <c r="F1610">
        <v>0.32595451480308002</v>
      </c>
    </row>
    <row r="1611" spans="1:6" x14ac:dyDescent="0.2">
      <c r="A1611" t="s">
        <v>2680</v>
      </c>
      <c r="B1611" t="s">
        <v>2644</v>
      </c>
      <c r="C1611" t="s">
        <v>648</v>
      </c>
      <c r="D1611">
        <v>0.285521051528702</v>
      </c>
      <c r="E1611">
        <v>0.20994826986026899</v>
      </c>
      <c r="F1611">
        <v>0.37472521878596099</v>
      </c>
    </row>
    <row r="1612" spans="1:6" x14ac:dyDescent="0.2">
      <c r="A1612" t="s">
        <v>2680</v>
      </c>
      <c r="B1612" t="s">
        <v>2644</v>
      </c>
      <c r="C1612" t="s">
        <v>648</v>
      </c>
      <c r="D1612">
        <v>0.285521051528702</v>
      </c>
      <c r="E1612">
        <v>0.20994826986026899</v>
      </c>
      <c r="F1612">
        <v>0.37472521878596099</v>
      </c>
    </row>
    <row r="1613" spans="1:6" x14ac:dyDescent="0.2">
      <c r="A1613" t="s">
        <v>2681</v>
      </c>
      <c r="B1613" t="s">
        <v>2585</v>
      </c>
      <c r="C1613" t="s">
        <v>2586</v>
      </c>
      <c r="D1613">
        <v>6.0814388803672001E-2</v>
      </c>
      <c r="E1613">
        <v>2.3912576027214399E-2</v>
      </c>
      <c r="F1613">
        <v>0.10686210505664299</v>
      </c>
    </row>
    <row r="1614" spans="1:6" x14ac:dyDescent="0.2">
      <c r="A1614" t="s">
        <v>2682</v>
      </c>
      <c r="B1614" t="s">
        <v>2588</v>
      </c>
      <c r="C1614" t="s">
        <v>648</v>
      </c>
      <c r="D1614">
        <v>9.9739118360256396E-2</v>
      </c>
      <c r="E1614">
        <v>6.0189492234025199E-2</v>
      </c>
      <c r="F1614">
        <v>0.146840123216636</v>
      </c>
    </row>
    <row r="1615" spans="1:6" x14ac:dyDescent="0.2">
      <c r="A1615" t="s">
        <v>2683</v>
      </c>
      <c r="B1615" t="s">
        <v>2590</v>
      </c>
      <c r="C1615" t="s">
        <v>648</v>
      </c>
      <c r="D1615">
        <v>0.12810417897889501</v>
      </c>
      <c r="E1615">
        <v>8.4041963996242294E-2</v>
      </c>
      <c r="F1615">
        <v>0.178070136116012</v>
      </c>
    </row>
    <row r="1616" spans="1:6" x14ac:dyDescent="0.2">
      <c r="A1616" t="s">
        <v>2684</v>
      </c>
      <c r="B1616" t="s">
        <v>2592</v>
      </c>
      <c r="C1616" t="s">
        <v>648</v>
      </c>
      <c r="D1616">
        <v>0.22897576486061</v>
      </c>
      <c r="E1616">
        <v>0.161692641181614</v>
      </c>
      <c r="F1616">
        <v>0.30363217545797699</v>
      </c>
    </row>
    <row r="1617" spans="1:6" x14ac:dyDescent="0.2">
      <c r="A1617" t="s">
        <v>2685</v>
      </c>
      <c r="B1617" t="s">
        <v>2594</v>
      </c>
      <c r="C1617" t="s">
        <v>648</v>
      </c>
      <c r="D1617">
        <v>0.109426792893646</v>
      </c>
      <c r="E1617">
        <v>6.8117601966706104E-2</v>
      </c>
      <c r="F1617">
        <v>0.15781181399949601</v>
      </c>
    </row>
    <row r="1618" spans="1:6" x14ac:dyDescent="0.2">
      <c r="A1618" t="s">
        <v>2685</v>
      </c>
      <c r="B1618" t="s">
        <v>2594</v>
      </c>
      <c r="C1618" t="s">
        <v>648</v>
      </c>
      <c r="D1618">
        <v>0.109426792893646</v>
      </c>
      <c r="E1618">
        <v>6.8117601966706104E-2</v>
      </c>
      <c r="F1618">
        <v>0.15781181399949601</v>
      </c>
    </row>
    <row r="1619" spans="1:6" x14ac:dyDescent="0.2">
      <c r="A1619" t="s">
        <v>2686</v>
      </c>
      <c r="B1619" t="s">
        <v>2596</v>
      </c>
      <c r="C1619" t="s">
        <v>648</v>
      </c>
      <c r="D1619">
        <v>0.137481972912012</v>
      </c>
      <c r="E1619">
        <v>9.2193469943263703E-2</v>
      </c>
      <c r="F1619">
        <v>0.19029522164014701</v>
      </c>
    </row>
    <row r="1620" spans="1:6" x14ac:dyDescent="0.2">
      <c r="A1620" t="s">
        <v>2686</v>
      </c>
      <c r="B1620" t="s">
        <v>2596</v>
      </c>
      <c r="C1620" t="s">
        <v>648</v>
      </c>
      <c r="D1620">
        <v>0.137481972912012</v>
      </c>
      <c r="E1620">
        <v>9.2193469943263703E-2</v>
      </c>
      <c r="F1620">
        <v>0.19029522164014701</v>
      </c>
    </row>
    <row r="1621" spans="1:6" x14ac:dyDescent="0.2">
      <c r="A1621" t="s">
        <v>2687</v>
      </c>
      <c r="B1621" t="s">
        <v>2598</v>
      </c>
      <c r="C1621" t="s">
        <v>648</v>
      </c>
      <c r="D1621">
        <v>0.23727952763370999</v>
      </c>
      <c r="E1621">
        <v>0.168942796030502</v>
      </c>
      <c r="F1621">
        <v>0.31329887403897799</v>
      </c>
    </row>
    <row r="1622" spans="1:6" x14ac:dyDescent="0.2">
      <c r="A1622" t="s">
        <v>2687</v>
      </c>
      <c r="B1622" t="s">
        <v>2598</v>
      </c>
      <c r="C1622" t="s">
        <v>648</v>
      </c>
      <c r="D1622">
        <v>0.23727952763370999</v>
      </c>
      <c r="E1622">
        <v>0.168942796030502</v>
      </c>
      <c r="F1622">
        <v>0.31329887403897799</v>
      </c>
    </row>
    <row r="1623" spans="1:6" x14ac:dyDescent="0.2">
      <c r="A1623" t="s">
        <v>2688</v>
      </c>
      <c r="B1623" t="s">
        <v>2600</v>
      </c>
      <c r="C1623" t="s">
        <v>648</v>
      </c>
      <c r="D1623">
        <v>0.13795459846219699</v>
      </c>
      <c r="E1623">
        <v>9.1217411160529102E-2</v>
      </c>
      <c r="F1623">
        <v>0.19264140849908901</v>
      </c>
    </row>
    <row r="1624" spans="1:6" x14ac:dyDescent="0.2">
      <c r="A1624" t="s">
        <v>2688</v>
      </c>
      <c r="B1624" t="s">
        <v>2600</v>
      </c>
      <c r="C1624" t="s">
        <v>648</v>
      </c>
      <c r="D1624">
        <v>0.13795459846219699</v>
      </c>
      <c r="E1624">
        <v>9.1217411160529102E-2</v>
      </c>
      <c r="F1624">
        <v>0.19264140849908901</v>
      </c>
    </row>
    <row r="1625" spans="1:6" x14ac:dyDescent="0.2">
      <c r="A1625" t="s">
        <v>2689</v>
      </c>
      <c r="B1625" t="s">
        <v>2602</v>
      </c>
      <c r="C1625" t="s">
        <v>648</v>
      </c>
      <c r="D1625">
        <v>0.16507934217759501</v>
      </c>
      <c r="E1625">
        <v>0.113680650965976</v>
      </c>
      <c r="F1625">
        <v>0.225675095772986</v>
      </c>
    </row>
    <row r="1626" spans="1:6" x14ac:dyDescent="0.2">
      <c r="A1626" t="s">
        <v>2689</v>
      </c>
      <c r="B1626" t="s">
        <v>2602</v>
      </c>
      <c r="C1626" t="s">
        <v>648</v>
      </c>
      <c r="D1626">
        <v>0.16507934217759501</v>
      </c>
      <c r="E1626">
        <v>0.113680650965976</v>
      </c>
      <c r="F1626">
        <v>0.225675095772986</v>
      </c>
    </row>
    <row r="1627" spans="1:6" x14ac:dyDescent="0.2">
      <c r="A1627" t="s">
        <v>2690</v>
      </c>
      <c r="B1627" t="s">
        <v>2604</v>
      </c>
      <c r="C1627" t="s">
        <v>648</v>
      </c>
      <c r="D1627">
        <v>0.26159814066557702</v>
      </c>
      <c r="E1627">
        <v>0.18935334255594599</v>
      </c>
      <c r="F1627">
        <v>0.340562393377912</v>
      </c>
    </row>
    <row r="1628" spans="1:6" x14ac:dyDescent="0.2">
      <c r="A1628" t="s">
        <v>2690</v>
      </c>
      <c r="B1628" t="s">
        <v>2604</v>
      </c>
      <c r="C1628" t="s">
        <v>648</v>
      </c>
      <c r="D1628">
        <v>0.26159814066557702</v>
      </c>
      <c r="E1628">
        <v>0.18935334255594599</v>
      </c>
      <c r="F1628">
        <v>0.340562393377912</v>
      </c>
    </row>
    <row r="1629" spans="1:6" x14ac:dyDescent="0.2">
      <c r="A1629" t="s">
        <v>2691</v>
      </c>
      <c r="B1629" t="s">
        <v>2606</v>
      </c>
      <c r="C1629" t="s">
        <v>648</v>
      </c>
      <c r="D1629">
        <v>0.18964300546632601</v>
      </c>
      <c r="E1629">
        <v>0.13183672200763299</v>
      </c>
      <c r="F1629">
        <v>0.25610874024448799</v>
      </c>
    </row>
    <row r="1630" spans="1:6" x14ac:dyDescent="0.2">
      <c r="A1630" t="s">
        <v>2691</v>
      </c>
      <c r="B1630" t="s">
        <v>2606</v>
      </c>
      <c r="C1630" t="s">
        <v>648</v>
      </c>
      <c r="D1630">
        <v>0.18964300546632601</v>
      </c>
      <c r="E1630">
        <v>0.13183672200763299</v>
      </c>
      <c r="F1630">
        <v>0.25610874024448799</v>
      </c>
    </row>
    <row r="1631" spans="1:6" x14ac:dyDescent="0.2">
      <c r="A1631" t="s">
        <v>2692</v>
      </c>
      <c r="B1631" t="s">
        <v>2608</v>
      </c>
      <c r="C1631" t="s">
        <v>648</v>
      </c>
      <c r="D1631">
        <v>0.215076306628736</v>
      </c>
      <c r="E1631">
        <v>0.15261780470137101</v>
      </c>
      <c r="F1631">
        <v>0.28549904757533601</v>
      </c>
    </row>
    <row r="1632" spans="1:6" x14ac:dyDescent="0.2">
      <c r="A1632" t="s">
        <v>2692</v>
      </c>
      <c r="B1632" t="s">
        <v>2608</v>
      </c>
      <c r="C1632" t="s">
        <v>648</v>
      </c>
      <c r="D1632">
        <v>0.215076306628736</v>
      </c>
      <c r="E1632">
        <v>0.15261780470137101</v>
      </c>
      <c r="F1632">
        <v>0.28549904757533601</v>
      </c>
    </row>
    <row r="1633" spans="1:6" x14ac:dyDescent="0.2">
      <c r="A1633" t="s">
        <v>2693</v>
      </c>
      <c r="B1633" t="s">
        <v>2610</v>
      </c>
      <c r="C1633" t="s">
        <v>648</v>
      </c>
      <c r="D1633">
        <v>0.30557357073797597</v>
      </c>
      <c r="E1633">
        <v>0.223103812527645</v>
      </c>
      <c r="F1633">
        <v>0.395754518169602</v>
      </c>
    </row>
    <row r="1634" spans="1:6" x14ac:dyDescent="0.2">
      <c r="A1634" t="s">
        <v>2693</v>
      </c>
      <c r="B1634" t="s">
        <v>2610</v>
      </c>
      <c r="C1634" t="s">
        <v>648</v>
      </c>
      <c r="D1634">
        <v>0.30557357073797597</v>
      </c>
      <c r="E1634">
        <v>0.223103812527645</v>
      </c>
      <c r="F1634">
        <v>0.395754518169602</v>
      </c>
    </row>
    <row r="1635" spans="1:6" x14ac:dyDescent="0.2">
      <c r="A1635" t="s">
        <v>2694</v>
      </c>
      <c r="B1635" t="s">
        <v>2612</v>
      </c>
      <c r="C1635" t="s">
        <v>648</v>
      </c>
      <c r="D1635">
        <v>0.24366106412591301</v>
      </c>
      <c r="E1635">
        <v>0.176324700407062</v>
      </c>
      <c r="F1635">
        <v>0.318702397073586</v>
      </c>
    </row>
    <row r="1636" spans="1:6" x14ac:dyDescent="0.2">
      <c r="A1636" t="s">
        <v>2694</v>
      </c>
      <c r="B1636" t="s">
        <v>2612</v>
      </c>
      <c r="C1636" t="s">
        <v>648</v>
      </c>
      <c r="D1636">
        <v>0.24366106412591301</v>
      </c>
      <c r="E1636">
        <v>0.176324700407062</v>
      </c>
      <c r="F1636">
        <v>0.318702397073586</v>
      </c>
    </row>
    <row r="1637" spans="1:6" x14ac:dyDescent="0.2">
      <c r="A1637" t="s">
        <v>2695</v>
      </c>
      <c r="B1637" t="s">
        <v>2614</v>
      </c>
      <c r="C1637" t="s">
        <v>648</v>
      </c>
      <c r="D1637">
        <v>0.26732210608507501</v>
      </c>
      <c r="E1637">
        <v>0.194333531099455</v>
      </c>
      <c r="F1637">
        <v>0.34922583284553799</v>
      </c>
    </row>
    <row r="1638" spans="1:6" x14ac:dyDescent="0.2">
      <c r="A1638" t="s">
        <v>2695</v>
      </c>
      <c r="B1638" t="s">
        <v>2614</v>
      </c>
      <c r="C1638" t="s">
        <v>648</v>
      </c>
      <c r="D1638">
        <v>0.26732210608507501</v>
      </c>
      <c r="E1638">
        <v>0.194333531099455</v>
      </c>
      <c r="F1638">
        <v>0.34922583284553799</v>
      </c>
    </row>
    <row r="1639" spans="1:6" x14ac:dyDescent="0.2">
      <c r="A1639" t="s">
        <v>2696</v>
      </c>
      <c r="B1639" t="s">
        <v>2616</v>
      </c>
      <c r="C1639" t="s">
        <v>648</v>
      </c>
      <c r="D1639">
        <v>0.35149758919801199</v>
      </c>
      <c r="E1639">
        <v>0.25829193951708201</v>
      </c>
      <c r="F1639">
        <v>0.45527744210608201</v>
      </c>
    </row>
    <row r="1640" spans="1:6" x14ac:dyDescent="0.2">
      <c r="A1640" t="s">
        <v>2696</v>
      </c>
      <c r="B1640" t="s">
        <v>2616</v>
      </c>
      <c r="C1640" t="s">
        <v>648</v>
      </c>
      <c r="D1640">
        <v>0.35149758919801199</v>
      </c>
      <c r="E1640">
        <v>0.25829193951708201</v>
      </c>
      <c r="F1640">
        <v>0.45527744210608201</v>
      </c>
    </row>
    <row r="1641" spans="1:6" x14ac:dyDescent="0.2">
      <c r="A1641" t="s">
        <v>2697</v>
      </c>
      <c r="B1641" t="s">
        <v>2618</v>
      </c>
      <c r="C1641" t="s">
        <v>648</v>
      </c>
      <c r="D1641">
        <v>0.27988910145600499</v>
      </c>
      <c r="E1641">
        <v>0.206107452513074</v>
      </c>
      <c r="F1641">
        <v>0.369398696031361</v>
      </c>
    </row>
    <row r="1642" spans="1:6" x14ac:dyDescent="0.2">
      <c r="A1642" t="s">
        <v>2697</v>
      </c>
      <c r="B1642" t="s">
        <v>2618</v>
      </c>
      <c r="C1642" t="s">
        <v>648</v>
      </c>
      <c r="D1642">
        <v>0.27988910145600499</v>
      </c>
      <c r="E1642">
        <v>0.206107452513074</v>
      </c>
      <c r="F1642">
        <v>0.369398696031361</v>
      </c>
    </row>
    <row r="1643" spans="1:6" x14ac:dyDescent="0.2">
      <c r="A1643" t="s">
        <v>2698</v>
      </c>
      <c r="B1643" t="s">
        <v>2620</v>
      </c>
      <c r="C1643" t="s">
        <v>648</v>
      </c>
      <c r="D1643">
        <v>0.30237079963526597</v>
      </c>
      <c r="E1643">
        <v>0.22193505298723201</v>
      </c>
      <c r="F1643">
        <v>0.39514015484222997</v>
      </c>
    </row>
    <row r="1644" spans="1:6" x14ac:dyDescent="0.2">
      <c r="A1644" t="s">
        <v>2698</v>
      </c>
      <c r="B1644" t="s">
        <v>2620</v>
      </c>
      <c r="C1644" t="s">
        <v>648</v>
      </c>
      <c r="D1644">
        <v>0.30237079963526597</v>
      </c>
      <c r="E1644">
        <v>0.22193505298723201</v>
      </c>
      <c r="F1644">
        <v>0.39514015484222997</v>
      </c>
    </row>
    <row r="1645" spans="1:6" x14ac:dyDescent="0.2">
      <c r="A1645" t="s">
        <v>2699</v>
      </c>
      <c r="B1645" t="s">
        <v>2622</v>
      </c>
      <c r="C1645" t="s">
        <v>648</v>
      </c>
      <c r="D1645">
        <v>0.38232698643035101</v>
      </c>
      <c r="E1645">
        <v>0.28210886120820899</v>
      </c>
      <c r="F1645">
        <v>0.49462478510011998</v>
      </c>
    </row>
    <row r="1646" spans="1:6" x14ac:dyDescent="0.2">
      <c r="A1646" t="s">
        <v>2699</v>
      </c>
      <c r="B1646" t="s">
        <v>2622</v>
      </c>
      <c r="C1646" t="s">
        <v>648</v>
      </c>
      <c r="D1646">
        <v>0.38232698643035101</v>
      </c>
      <c r="E1646">
        <v>0.28210886120820899</v>
      </c>
      <c r="F1646">
        <v>0.49462478510011998</v>
      </c>
    </row>
    <row r="1647" spans="1:6" x14ac:dyDescent="0.2">
      <c r="A1647" t="s">
        <v>2700</v>
      </c>
      <c r="B1647" t="s">
        <v>2624</v>
      </c>
      <c r="C1647" t="s">
        <v>648</v>
      </c>
      <c r="D1647">
        <v>7.0950113734209397E-2</v>
      </c>
      <c r="E1647">
        <v>3.3402817236394003E-2</v>
      </c>
      <c r="F1647">
        <v>0.116938444805247</v>
      </c>
    </row>
    <row r="1648" spans="1:6" x14ac:dyDescent="0.2">
      <c r="A1648" t="s">
        <v>2701</v>
      </c>
      <c r="B1648" t="s">
        <v>2626</v>
      </c>
      <c r="C1648" t="s">
        <v>648</v>
      </c>
      <c r="D1648">
        <v>0.100761875305934</v>
      </c>
      <c r="E1648">
        <v>6.0740628028239901E-2</v>
      </c>
      <c r="F1648">
        <v>0.14900305077601</v>
      </c>
    </row>
    <row r="1649" spans="1:6" x14ac:dyDescent="0.2">
      <c r="A1649" t="s">
        <v>2702</v>
      </c>
      <c r="B1649" t="s">
        <v>2628</v>
      </c>
      <c r="C1649" t="s">
        <v>648</v>
      </c>
      <c r="D1649">
        <v>0.15473785558450601</v>
      </c>
      <c r="E1649">
        <v>0.104661500044936</v>
      </c>
      <c r="F1649">
        <v>0.21097456911391199</v>
      </c>
    </row>
    <row r="1650" spans="1:6" x14ac:dyDescent="0.2">
      <c r="A1650" t="s">
        <v>2703</v>
      </c>
      <c r="B1650" t="s">
        <v>2630</v>
      </c>
      <c r="C1650" t="s">
        <v>648</v>
      </c>
      <c r="D1650">
        <v>0.21112984364049101</v>
      </c>
      <c r="E1650">
        <v>0.148295220306848</v>
      </c>
      <c r="F1650">
        <v>0.28050699784379002</v>
      </c>
    </row>
    <row r="1651" spans="1:6" x14ac:dyDescent="0.2">
      <c r="A1651" t="s">
        <v>2704</v>
      </c>
      <c r="B1651" t="s">
        <v>2632</v>
      </c>
      <c r="C1651" t="s">
        <v>648</v>
      </c>
      <c r="D1651">
        <v>0.248928374202847</v>
      </c>
      <c r="E1651">
        <v>0.17587789470915799</v>
      </c>
      <c r="F1651">
        <v>0.32768477011460001</v>
      </c>
    </row>
    <row r="1652" spans="1:6" x14ac:dyDescent="0.2">
      <c r="A1652" t="s">
        <v>2705</v>
      </c>
      <c r="B1652" t="s">
        <v>2634</v>
      </c>
      <c r="C1652" t="s">
        <v>648</v>
      </c>
      <c r="D1652">
        <v>0.10683962207452</v>
      </c>
      <c r="E1652">
        <v>6.6589324771667305E-2</v>
      </c>
      <c r="F1652">
        <v>0.15570243501491299</v>
      </c>
    </row>
    <row r="1653" spans="1:6" x14ac:dyDescent="0.2">
      <c r="A1653" t="s">
        <v>2706</v>
      </c>
      <c r="B1653" t="s">
        <v>2636</v>
      </c>
      <c r="C1653" t="s">
        <v>648</v>
      </c>
      <c r="D1653">
        <v>0.116448447432206</v>
      </c>
      <c r="E1653">
        <v>7.4250464146367504E-2</v>
      </c>
      <c r="F1653">
        <v>0.168844760935567</v>
      </c>
    </row>
    <row r="1654" spans="1:6" x14ac:dyDescent="0.2">
      <c r="A1654" t="s">
        <v>2706</v>
      </c>
      <c r="B1654" t="s">
        <v>2636</v>
      </c>
      <c r="C1654" t="s">
        <v>648</v>
      </c>
      <c r="D1654">
        <v>0.116448447432206</v>
      </c>
      <c r="E1654">
        <v>7.4250464146367504E-2</v>
      </c>
      <c r="F1654">
        <v>0.168844760935567</v>
      </c>
    </row>
    <row r="1655" spans="1:6" x14ac:dyDescent="0.2">
      <c r="A1655" t="s">
        <v>2707</v>
      </c>
      <c r="B1655" t="s">
        <v>2638</v>
      </c>
      <c r="C1655" t="s">
        <v>648</v>
      </c>
      <c r="D1655">
        <v>0.14474289612401101</v>
      </c>
      <c r="E1655">
        <v>9.7638490644870499E-2</v>
      </c>
      <c r="F1655">
        <v>0.200325254642547</v>
      </c>
    </row>
    <row r="1656" spans="1:6" x14ac:dyDescent="0.2">
      <c r="A1656" t="s">
        <v>2707</v>
      </c>
      <c r="B1656" t="s">
        <v>2638</v>
      </c>
      <c r="C1656" t="s">
        <v>648</v>
      </c>
      <c r="D1656">
        <v>0.14474289612401101</v>
      </c>
      <c r="E1656">
        <v>9.7638490644870499E-2</v>
      </c>
      <c r="F1656">
        <v>0.200325254642547</v>
      </c>
    </row>
    <row r="1657" spans="1:6" x14ac:dyDescent="0.2">
      <c r="A1657" t="s">
        <v>2708</v>
      </c>
      <c r="B1657" t="s">
        <v>2640</v>
      </c>
      <c r="C1657" t="s">
        <v>648</v>
      </c>
      <c r="D1657">
        <v>0.196010168827008</v>
      </c>
      <c r="E1657">
        <v>0.13730379534550699</v>
      </c>
      <c r="F1657">
        <v>0.26361965175409902</v>
      </c>
    </row>
    <row r="1658" spans="1:6" x14ac:dyDescent="0.2">
      <c r="A1658" t="s">
        <v>2708</v>
      </c>
      <c r="B1658" t="s">
        <v>2640</v>
      </c>
      <c r="C1658" t="s">
        <v>648</v>
      </c>
      <c r="D1658">
        <v>0.196010168827008</v>
      </c>
      <c r="E1658">
        <v>0.13730379534550699</v>
      </c>
      <c r="F1658">
        <v>0.26361965175409902</v>
      </c>
    </row>
    <row r="1659" spans="1:6" x14ac:dyDescent="0.2">
      <c r="A1659" t="s">
        <v>2709</v>
      </c>
      <c r="B1659" t="s">
        <v>2642</v>
      </c>
      <c r="C1659" t="s">
        <v>648</v>
      </c>
      <c r="D1659">
        <v>0.24958788798432999</v>
      </c>
      <c r="E1659">
        <v>0.17813894687147899</v>
      </c>
      <c r="F1659">
        <v>0.32595451480308002</v>
      </c>
    </row>
    <row r="1660" spans="1:6" x14ac:dyDescent="0.2">
      <c r="A1660" t="s">
        <v>2709</v>
      </c>
      <c r="B1660" t="s">
        <v>2642</v>
      </c>
      <c r="C1660" t="s">
        <v>648</v>
      </c>
      <c r="D1660">
        <v>0.24958788798432999</v>
      </c>
      <c r="E1660">
        <v>0.17813894687147899</v>
      </c>
      <c r="F1660">
        <v>0.32595451480308002</v>
      </c>
    </row>
    <row r="1661" spans="1:6" x14ac:dyDescent="0.2">
      <c r="A1661" t="s">
        <v>2710</v>
      </c>
      <c r="B1661" t="s">
        <v>2644</v>
      </c>
      <c r="C1661" t="s">
        <v>648</v>
      </c>
      <c r="D1661">
        <v>0.285521051528702</v>
      </c>
      <c r="E1661">
        <v>0.20994826986026899</v>
      </c>
      <c r="F1661">
        <v>0.37472521878596099</v>
      </c>
    </row>
    <row r="1662" spans="1:6" x14ac:dyDescent="0.2">
      <c r="A1662" t="s">
        <v>2710</v>
      </c>
      <c r="B1662" t="s">
        <v>2644</v>
      </c>
      <c r="C1662" t="s">
        <v>648</v>
      </c>
      <c r="D1662">
        <v>0.285521051528702</v>
      </c>
      <c r="E1662">
        <v>0.20994826986026899</v>
      </c>
      <c r="F1662">
        <v>0.37472521878596099</v>
      </c>
    </row>
    <row r="1663" spans="1:6" x14ac:dyDescent="0.2">
      <c r="A1663" t="s">
        <v>2711</v>
      </c>
      <c r="B1663" t="s">
        <v>2585</v>
      </c>
      <c r="C1663" t="s">
        <v>2586</v>
      </c>
      <c r="D1663">
        <v>6.0814388803672001E-2</v>
      </c>
      <c r="E1663">
        <v>2.3912576027214399E-2</v>
      </c>
      <c r="F1663">
        <v>0.10686210505664299</v>
      </c>
    </row>
    <row r="1664" spans="1:6" x14ac:dyDescent="0.2">
      <c r="A1664" t="s">
        <v>2712</v>
      </c>
      <c r="B1664" t="s">
        <v>698</v>
      </c>
      <c r="D1664">
        <v>0</v>
      </c>
      <c r="E1664">
        <v>0</v>
      </c>
      <c r="F1664">
        <v>0</v>
      </c>
    </row>
    <row r="1665" spans="1:6" x14ac:dyDescent="0.2">
      <c r="A1665" t="s">
        <v>2713</v>
      </c>
      <c r="B1665" t="s">
        <v>2588</v>
      </c>
      <c r="C1665" t="s">
        <v>648</v>
      </c>
      <c r="D1665">
        <v>9.9739118360256396E-2</v>
      </c>
      <c r="E1665">
        <v>6.0189492234025199E-2</v>
      </c>
      <c r="F1665">
        <v>0.146840123216636</v>
      </c>
    </row>
    <row r="1666" spans="1:6" x14ac:dyDescent="0.2">
      <c r="A1666" t="s">
        <v>2714</v>
      </c>
      <c r="B1666" t="s">
        <v>2590</v>
      </c>
      <c r="C1666" t="s">
        <v>648</v>
      </c>
      <c r="D1666">
        <v>0.12810417897889501</v>
      </c>
      <c r="E1666">
        <v>8.4041963996242294E-2</v>
      </c>
      <c r="F1666">
        <v>0.178070136116012</v>
      </c>
    </row>
    <row r="1667" spans="1:6" x14ac:dyDescent="0.2">
      <c r="A1667" t="s">
        <v>2715</v>
      </c>
      <c r="B1667" t="s">
        <v>2592</v>
      </c>
      <c r="C1667" t="s">
        <v>648</v>
      </c>
      <c r="D1667">
        <v>0.22897576486061</v>
      </c>
      <c r="E1667">
        <v>0.161692641181614</v>
      </c>
      <c r="F1667">
        <v>0.30363217545797699</v>
      </c>
    </row>
    <row r="1668" spans="1:6" x14ac:dyDescent="0.2">
      <c r="A1668" t="s">
        <v>2716</v>
      </c>
      <c r="B1668" t="s">
        <v>2594</v>
      </c>
      <c r="C1668" t="s">
        <v>648</v>
      </c>
      <c r="D1668">
        <v>0.109426792893646</v>
      </c>
      <c r="E1668">
        <v>6.8117601966706104E-2</v>
      </c>
      <c r="F1668">
        <v>0.15781181399949601</v>
      </c>
    </row>
    <row r="1669" spans="1:6" x14ac:dyDescent="0.2">
      <c r="A1669" t="s">
        <v>2716</v>
      </c>
      <c r="B1669" t="s">
        <v>2594</v>
      </c>
      <c r="C1669" t="s">
        <v>648</v>
      </c>
      <c r="D1669">
        <v>0.109426792893646</v>
      </c>
      <c r="E1669">
        <v>6.8117601966706104E-2</v>
      </c>
      <c r="F1669">
        <v>0.15781181399949601</v>
      </c>
    </row>
    <row r="1670" spans="1:6" x14ac:dyDescent="0.2">
      <c r="A1670" t="s">
        <v>2717</v>
      </c>
      <c r="B1670" t="s">
        <v>2596</v>
      </c>
      <c r="C1670" t="s">
        <v>648</v>
      </c>
      <c r="D1670">
        <v>0.137481972912012</v>
      </c>
      <c r="E1670">
        <v>9.2193469943263703E-2</v>
      </c>
      <c r="F1670">
        <v>0.19029522164014701</v>
      </c>
    </row>
    <row r="1671" spans="1:6" x14ac:dyDescent="0.2">
      <c r="A1671" t="s">
        <v>2717</v>
      </c>
      <c r="B1671" t="s">
        <v>2596</v>
      </c>
      <c r="C1671" t="s">
        <v>648</v>
      </c>
      <c r="D1671">
        <v>0.137481972912012</v>
      </c>
      <c r="E1671">
        <v>9.2193469943263703E-2</v>
      </c>
      <c r="F1671">
        <v>0.19029522164014701</v>
      </c>
    </row>
    <row r="1672" spans="1:6" x14ac:dyDescent="0.2">
      <c r="A1672" t="s">
        <v>2718</v>
      </c>
      <c r="B1672" t="s">
        <v>2598</v>
      </c>
      <c r="C1672" t="s">
        <v>648</v>
      </c>
      <c r="D1672">
        <v>0.23727952763370999</v>
      </c>
      <c r="E1672">
        <v>0.168942796030502</v>
      </c>
      <c r="F1672">
        <v>0.31329887403897799</v>
      </c>
    </row>
    <row r="1673" spans="1:6" x14ac:dyDescent="0.2">
      <c r="A1673" t="s">
        <v>2718</v>
      </c>
      <c r="B1673" t="s">
        <v>2598</v>
      </c>
      <c r="C1673" t="s">
        <v>648</v>
      </c>
      <c r="D1673">
        <v>0.23727952763370999</v>
      </c>
      <c r="E1673">
        <v>0.168942796030502</v>
      </c>
      <c r="F1673">
        <v>0.31329887403897799</v>
      </c>
    </row>
    <row r="1674" spans="1:6" x14ac:dyDescent="0.2">
      <c r="A1674" t="s">
        <v>2719</v>
      </c>
      <c r="B1674" t="s">
        <v>2600</v>
      </c>
      <c r="C1674" t="s">
        <v>648</v>
      </c>
      <c r="D1674">
        <v>0.13795459846219699</v>
      </c>
      <c r="E1674">
        <v>9.1217411160529102E-2</v>
      </c>
      <c r="F1674">
        <v>0.19264140849908901</v>
      </c>
    </row>
    <row r="1675" spans="1:6" x14ac:dyDescent="0.2">
      <c r="A1675" t="s">
        <v>2719</v>
      </c>
      <c r="B1675" t="s">
        <v>2600</v>
      </c>
      <c r="C1675" t="s">
        <v>648</v>
      </c>
      <c r="D1675">
        <v>0.13795459846219699</v>
      </c>
      <c r="E1675">
        <v>9.1217411160529102E-2</v>
      </c>
      <c r="F1675">
        <v>0.19264140849908901</v>
      </c>
    </row>
    <row r="1676" spans="1:6" x14ac:dyDescent="0.2">
      <c r="A1676" t="s">
        <v>2720</v>
      </c>
      <c r="B1676" t="s">
        <v>2602</v>
      </c>
      <c r="C1676" t="s">
        <v>648</v>
      </c>
      <c r="D1676">
        <v>0.16507934217759501</v>
      </c>
      <c r="E1676">
        <v>0.113680650965976</v>
      </c>
      <c r="F1676">
        <v>0.225675095772986</v>
      </c>
    </row>
    <row r="1677" spans="1:6" x14ac:dyDescent="0.2">
      <c r="A1677" t="s">
        <v>2720</v>
      </c>
      <c r="B1677" t="s">
        <v>2602</v>
      </c>
      <c r="C1677" t="s">
        <v>648</v>
      </c>
      <c r="D1677">
        <v>0.16507934217759501</v>
      </c>
      <c r="E1677">
        <v>0.113680650965976</v>
      </c>
      <c r="F1677">
        <v>0.225675095772986</v>
      </c>
    </row>
    <row r="1678" spans="1:6" x14ac:dyDescent="0.2">
      <c r="A1678" t="s">
        <v>2721</v>
      </c>
      <c r="B1678" t="s">
        <v>2604</v>
      </c>
      <c r="C1678" t="s">
        <v>648</v>
      </c>
      <c r="D1678">
        <v>0.26159814066557702</v>
      </c>
      <c r="E1678">
        <v>0.18935334255594599</v>
      </c>
      <c r="F1678">
        <v>0.340562393377912</v>
      </c>
    </row>
    <row r="1679" spans="1:6" x14ac:dyDescent="0.2">
      <c r="A1679" t="s">
        <v>2721</v>
      </c>
      <c r="B1679" t="s">
        <v>2604</v>
      </c>
      <c r="C1679" t="s">
        <v>648</v>
      </c>
      <c r="D1679">
        <v>0.26159814066557702</v>
      </c>
      <c r="E1679">
        <v>0.18935334255594599</v>
      </c>
      <c r="F1679">
        <v>0.340562393377912</v>
      </c>
    </row>
    <row r="1680" spans="1:6" x14ac:dyDescent="0.2">
      <c r="A1680" t="s">
        <v>2722</v>
      </c>
      <c r="B1680" t="s">
        <v>2606</v>
      </c>
      <c r="C1680" t="s">
        <v>648</v>
      </c>
      <c r="D1680">
        <v>0.18964300546632601</v>
      </c>
      <c r="E1680">
        <v>0.13183672200763299</v>
      </c>
      <c r="F1680">
        <v>0.25610874024448799</v>
      </c>
    </row>
    <row r="1681" spans="1:6" x14ac:dyDescent="0.2">
      <c r="A1681" t="s">
        <v>2722</v>
      </c>
      <c r="B1681" t="s">
        <v>2606</v>
      </c>
      <c r="C1681" t="s">
        <v>648</v>
      </c>
      <c r="D1681">
        <v>0.18964300546632601</v>
      </c>
      <c r="E1681">
        <v>0.13183672200763299</v>
      </c>
      <c r="F1681">
        <v>0.25610874024448799</v>
      </c>
    </row>
    <row r="1682" spans="1:6" x14ac:dyDescent="0.2">
      <c r="A1682" t="s">
        <v>2723</v>
      </c>
      <c r="B1682" t="s">
        <v>2608</v>
      </c>
      <c r="C1682" t="s">
        <v>648</v>
      </c>
      <c r="D1682">
        <v>0.215076306628736</v>
      </c>
      <c r="E1682">
        <v>0.15261780470137101</v>
      </c>
      <c r="F1682">
        <v>0.28549904757533601</v>
      </c>
    </row>
    <row r="1683" spans="1:6" x14ac:dyDescent="0.2">
      <c r="A1683" t="s">
        <v>2723</v>
      </c>
      <c r="B1683" t="s">
        <v>2608</v>
      </c>
      <c r="C1683" t="s">
        <v>648</v>
      </c>
      <c r="D1683">
        <v>0.215076306628736</v>
      </c>
      <c r="E1683">
        <v>0.15261780470137101</v>
      </c>
      <c r="F1683">
        <v>0.28549904757533601</v>
      </c>
    </row>
    <row r="1684" spans="1:6" x14ac:dyDescent="0.2">
      <c r="A1684" t="s">
        <v>2724</v>
      </c>
      <c r="B1684" t="s">
        <v>2610</v>
      </c>
      <c r="C1684" t="s">
        <v>648</v>
      </c>
      <c r="D1684">
        <v>0.30557357073797597</v>
      </c>
      <c r="E1684">
        <v>0.223103812527645</v>
      </c>
      <c r="F1684">
        <v>0.395754518169602</v>
      </c>
    </row>
    <row r="1685" spans="1:6" x14ac:dyDescent="0.2">
      <c r="A1685" t="s">
        <v>2724</v>
      </c>
      <c r="B1685" t="s">
        <v>2610</v>
      </c>
      <c r="C1685" t="s">
        <v>648</v>
      </c>
      <c r="D1685">
        <v>0.30557357073797597</v>
      </c>
      <c r="E1685">
        <v>0.223103812527645</v>
      </c>
      <c r="F1685">
        <v>0.395754518169602</v>
      </c>
    </row>
    <row r="1686" spans="1:6" x14ac:dyDescent="0.2">
      <c r="A1686" t="s">
        <v>2725</v>
      </c>
      <c r="B1686" t="s">
        <v>2612</v>
      </c>
      <c r="C1686" t="s">
        <v>648</v>
      </c>
      <c r="D1686">
        <v>0.24366106412591301</v>
      </c>
      <c r="E1686">
        <v>0.176324700407062</v>
      </c>
      <c r="F1686">
        <v>0.318702397073586</v>
      </c>
    </row>
    <row r="1687" spans="1:6" x14ac:dyDescent="0.2">
      <c r="A1687" t="s">
        <v>2725</v>
      </c>
      <c r="B1687" t="s">
        <v>2612</v>
      </c>
      <c r="C1687" t="s">
        <v>648</v>
      </c>
      <c r="D1687">
        <v>0.24366106412591301</v>
      </c>
      <c r="E1687">
        <v>0.176324700407062</v>
      </c>
      <c r="F1687">
        <v>0.318702397073586</v>
      </c>
    </row>
    <row r="1688" spans="1:6" x14ac:dyDescent="0.2">
      <c r="A1688" t="s">
        <v>2726</v>
      </c>
      <c r="B1688" t="s">
        <v>2614</v>
      </c>
      <c r="C1688" t="s">
        <v>648</v>
      </c>
      <c r="D1688">
        <v>0.26732210608507501</v>
      </c>
      <c r="E1688">
        <v>0.194333531099455</v>
      </c>
      <c r="F1688">
        <v>0.34922583284553799</v>
      </c>
    </row>
    <row r="1689" spans="1:6" x14ac:dyDescent="0.2">
      <c r="A1689" t="s">
        <v>2726</v>
      </c>
      <c r="B1689" t="s">
        <v>2614</v>
      </c>
      <c r="C1689" t="s">
        <v>648</v>
      </c>
      <c r="D1689">
        <v>0.26732210608507501</v>
      </c>
      <c r="E1689">
        <v>0.194333531099455</v>
      </c>
      <c r="F1689">
        <v>0.34922583284553799</v>
      </c>
    </row>
    <row r="1690" spans="1:6" x14ac:dyDescent="0.2">
      <c r="A1690" t="s">
        <v>2727</v>
      </c>
      <c r="B1690" t="s">
        <v>2616</v>
      </c>
      <c r="C1690" t="s">
        <v>648</v>
      </c>
      <c r="D1690">
        <v>0.35149758919801199</v>
      </c>
      <c r="E1690">
        <v>0.25829193951708201</v>
      </c>
      <c r="F1690">
        <v>0.45527744210608201</v>
      </c>
    </row>
    <row r="1691" spans="1:6" x14ac:dyDescent="0.2">
      <c r="A1691" t="s">
        <v>2727</v>
      </c>
      <c r="B1691" t="s">
        <v>2616</v>
      </c>
      <c r="C1691" t="s">
        <v>648</v>
      </c>
      <c r="D1691">
        <v>0.35149758919801199</v>
      </c>
      <c r="E1691">
        <v>0.25829193951708201</v>
      </c>
      <c r="F1691">
        <v>0.45527744210608201</v>
      </c>
    </row>
    <row r="1692" spans="1:6" x14ac:dyDescent="0.2">
      <c r="A1692" t="s">
        <v>2728</v>
      </c>
      <c r="B1692" t="s">
        <v>2618</v>
      </c>
      <c r="C1692" t="s">
        <v>648</v>
      </c>
      <c r="D1692">
        <v>0.27988910145600499</v>
      </c>
      <c r="E1692">
        <v>0.206107452513074</v>
      </c>
      <c r="F1692">
        <v>0.369398696031361</v>
      </c>
    </row>
    <row r="1693" spans="1:6" x14ac:dyDescent="0.2">
      <c r="A1693" t="s">
        <v>2728</v>
      </c>
      <c r="B1693" t="s">
        <v>2618</v>
      </c>
      <c r="C1693" t="s">
        <v>648</v>
      </c>
      <c r="D1693">
        <v>0.27988910145600499</v>
      </c>
      <c r="E1693">
        <v>0.206107452513074</v>
      </c>
      <c r="F1693">
        <v>0.369398696031361</v>
      </c>
    </row>
    <row r="1694" spans="1:6" x14ac:dyDescent="0.2">
      <c r="A1694" t="s">
        <v>2729</v>
      </c>
      <c r="B1694" t="s">
        <v>2620</v>
      </c>
      <c r="C1694" t="s">
        <v>648</v>
      </c>
      <c r="D1694">
        <v>0.30237079963526597</v>
      </c>
      <c r="E1694">
        <v>0.22193505298723201</v>
      </c>
      <c r="F1694">
        <v>0.39514015484222997</v>
      </c>
    </row>
    <row r="1695" spans="1:6" x14ac:dyDescent="0.2">
      <c r="A1695" t="s">
        <v>2729</v>
      </c>
      <c r="B1695" t="s">
        <v>2620</v>
      </c>
      <c r="C1695" t="s">
        <v>648</v>
      </c>
      <c r="D1695">
        <v>0.30237079963526597</v>
      </c>
      <c r="E1695">
        <v>0.22193505298723201</v>
      </c>
      <c r="F1695">
        <v>0.39514015484222997</v>
      </c>
    </row>
    <row r="1696" spans="1:6" x14ac:dyDescent="0.2">
      <c r="A1696" t="s">
        <v>2730</v>
      </c>
      <c r="B1696" t="s">
        <v>2622</v>
      </c>
      <c r="C1696" t="s">
        <v>648</v>
      </c>
      <c r="D1696">
        <v>0.38232698643035101</v>
      </c>
      <c r="E1696">
        <v>0.28210886120820899</v>
      </c>
      <c r="F1696">
        <v>0.49462478510011998</v>
      </c>
    </row>
    <row r="1697" spans="1:6" x14ac:dyDescent="0.2">
      <c r="A1697" t="s">
        <v>2730</v>
      </c>
      <c r="B1697" t="s">
        <v>2622</v>
      </c>
      <c r="C1697" t="s">
        <v>648</v>
      </c>
      <c r="D1697">
        <v>0.38232698643035101</v>
      </c>
      <c r="E1697">
        <v>0.28210886120820899</v>
      </c>
      <c r="F1697">
        <v>0.49462478510011998</v>
      </c>
    </row>
    <row r="1698" spans="1:6" x14ac:dyDescent="0.2">
      <c r="A1698" t="s">
        <v>2731</v>
      </c>
      <c r="B1698" t="s">
        <v>2624</v>
      </c>
      <c r="C1698" t="s">
        <v>648</v>
      </c>
      <c r="D1698">
        <v>7.0950113734209397E-2</v>
      </c>
      <c r="E1698">
        <v>3.3402817236394003E-2</v>
      </c>
      <c r="F1698">
        <v>0.116938444805247</v>
      </c>
    </row>
    <row r="1699" spans="1:6" x14ac:dyDescent="0.2">
      <c r="A1699" t="s">
        <v>2732</v>
      </c>
      <c r="B1699" t="s">
        <v>2626</v>
      </c>
      <c r="C1699" t="s">
        <v>648</v>
      </c>
      <c r="D1699">
        <v>0.100761875305934</v>
      </c>
      <c r="E1699">
        <v>6.0740628028239901E-2</v>
      </c>
      <c r="F1699">
        <v>0.14900305077601</v>
      </c>
    </row>
    <row r="1700" spans="1:6" x14ac:dyDescent="0.2">
      <c r="A1700" t="s">
        <v>2733</v>
      </c>
      <c r="B1700" t="s">
        <v>2628</v>
      </c>
      <c r="C1700" t="s">
        <v>648</v>
      </c>
      <c r="D1700">
        <v>0.15473785558450601</v>
      </c>
      <c r="E1700">
        <v>0.104661500044936</v>
      </c>
      <c r="F1700">
        <v>0.21097456911391199</v>
      </c>
    </row>
    <row r="1701" spans="1:6" x14ac:dyDescent="0.2">
      <c r="A1701" t="s">
        <v>2734</v>
      </c>
      <c r="B1701" t="s">
        <v>2630</v>
      </c>
      <c r="C1701" t="s">
        <v>648</v>
      </c>
      <c r="D1701">
        <v>0.21112984364049101</v>
      </c>
      <c r="E1701">
        <v>0.148295220306848</v>
      </c>
      <c r="F1701">
        <v>0.28050699784379002</v>
      </c>
    </row>
    <row r="1702" spans="1:6" x14ac:dyDescent="0.2">
      <c r="A1702" t="s">
        <v>2735</v>
      </c>
      <c r="B1702" t="s">
        <v>2632</v>
      </c>
      <c r="C1702" t="s">
        <v>648</v>
      </c>
      <c r="D1702">
        <v>0.248928374202847</v>
      </c>
      <c r="E1702">
        <v>0.17587789470915799</v>
      </c>
      <c r="F1702">
        <v>0.32768477011460001</v>
      </c>
    </row>
    <row r="1703" spans="1:6" x14ac:dyDescent="0.2">
      <c r="A1703" t="s">
        <v>2736</v>
      </c>
      <c r="B1703" t="s">
        <v>2634</v>
      </c>
      <c r="C1703" t="s">
        <v>648</v>
      </c>
      <c r="D1703">
        <v>0.10683962207452</v>
      </c>
      <c r="E1703">
        <v>6.6589324771667305E-2</v>
      </c>
      <c r="F1703">
        <v>0.15570243501491299</v>
      </c>
    </row>
    <row r="1704" spans="1:6" x14ac:dyDescent="0.2">
      <c r="A1704" t="s">
        <v>2737</v>
      </c>
      <c r="B1704" t="s">
        <v>2636</v>
      </c>
      <c r="C1704" t="s">
        <v>648</v>
      </c>
      <c r="D1704">
        <v>0.116448447432206</v>
      </c>
      <c r="E1704">
        <v>7.4250464146367504E-2</v>
      </c>
      <c r="F1704">
        <v>0.168844760935567</v>
      </c>
    </row>
    <row r="1705" spans="1:6" x14ac:dyDescent="0.2">
      <c r="A1705" t="s">
        <v>2737</v>
      </c>
      <c r="B1705" t="s">
        <v>2636</v>
      </c>
      <c r="C1705" t="s">
        <v>648</v>
      </c>
      <c r="D1705">
        <v>0.116448447432206</v>
      </c>
      <c r="E1705">
        <v>7.4250464146367504E-2</v>
      </c>
      <c r="F1705">
        <v>0.168844760935567</v>
      </c>
    </row>
    <row r="1706" spans="1:6" x14ac:dyDescent="0.2">
      <c r="A1706" t="s">
        <v>2738</v>
      </c>
      <c r="B1706" t="s">
        <v>2638</v>
      </c>
      <c r="C1706" t="s">
        <v>648</v>
      </c>
      <c r="D1706">
        <v>0.14474289612401101</v>
      </c>
      <c r="E1706">
        <v>9.7638490644870499E-2</v>
      </c>
      <c r="F1706">
        <v>0.200325254642547</v>
      </c>
    </row>
    <row r="1707" spans="1:6" x14ac:dyDescent="0.2">
      <c r="A1707" t="s">
        <v>2738</v>
      </c>
      <c r="B1707" t="s">
        <v>2638</v>
      </c>
      <c r="C1707" t="s">
        <v>648</v>
      </c>
      <c r="D1707">
        <v>0.14474289612401101</v>
      </c>
      <c r="E1707">
        <v>9.7638490644870499E-2</v>
      </c>
      <c r="F1707">
        <v>0.200325254642547</v>
      </c>
    </row>
    <row r="1708" spans="1:6" x14ac:dyDescent="0.2">
      <c r="A1708" t="s">
        <v>2739</v>
      </c>
      <c r="B1708" t="s">
        <v>2640</v>
      </c>
      <c r="C1708" t="s">
        <v>648</v>
      </c>
      <c r="D1708">
        <v>0.196010168827008</v>
      </c>
      <c r="E1708">
        <v>0.13730379534550699</v>
      </c>
      <c r="F1708">
        <v>0.26361965175409902</v>
      </c>
    </row>
    <row r="1709" spans="1:6" x14ac:dyDescent="0.2">
      <c r="A1709" t="s">
        <v>2739</v>
      </c>
      <c r="B1709" t="s">
        <v>2640</v>
      </c>
      <c r="C1709" t="s">
        <v>648</v>
      </c>
      <c r="D1709">
        <v>0.196010168827008</v>
      </c>
      <c r="E1709">
        <v>0.13730379534550699</v>
      </c>
      <c r="F1709">
        <v>0.26361965175409902</v>
      </c>
    </row>
    <row r="1710" spans="1:6" x14ac:dyDescent="0.2">
      <c r="A1710" t="s">
        <v>2740</v>
      </c>
      <c r="B1710" t="s">
        <v>2642</v>
      </c>
      <c r="C1710" t="s">
        <v>648</v>
      </c>
      <c r="D1710">
        <v>0.24958788798432999</v>
      </c>
      <c r="E1710">
        <v>0.17813894687147899</v>
      </c>
      <c r="F1710">
        <v>0.32595451480308002</v>
      </c>
    </row>
    <row r="1711" spans="1:6" x14ac:dyDescent="0.2">
      <c r="A1711" t="s">
        <v>2740</v>
      </c>
      <c r="B1711" t="s">
        <v>2642</v>
      </c>
      <c r="C1711" t="s">
        <v>648</v>
      </c>
      <c r="D1711">
        <v>0.24958788798432999</v>
      </c>
      <c r="E1711">
        <v>0.17813894687147899</v>
      </c>
      <c r="F1711">
        <v>0.32595451480308002</v>
      </c>
    </row>
    <row r="1712" spans="1:6" x14ac:dyDescent="0.2">
      <c r="A1712" t="s">
        <v>2741</v>
      </c>
      <c r="B1712" t="s">
        <v>2644</v>
      </c>
      <c r="C1712" t="s">
        <v>648</v>
      </c>
      <c r="D1712">
        <v>0.285521051528702</v>
      </c>
      <c r="E1712">
        <v>0.20994826986026899</v>
      </c>
      <c r="F1712">
        <v>0.37472521878596099</v>
      </c>
    </row>
    <row r="1713" spans="1:6" x14ac:dyDescent="0.2">
      <c r="A1713" t="s">
        <v>2741</v>
      </c>
      <c r="B1713" t="s">
        <v>2644</v>
      </c>
      <c r="C1713" t="s">
        <v>648</v>
      </c>
      <c r="D1713">
        <v>0.285521051528702</v>
      </c>
      <c r="E1713">
        <v>0.20994826986026899</v>
      </c>
      <c r="F1713">
        <v>0.37472521878596099</v>
      </c>
    </row>
    <row r="1714" spans="1:6" x14ac:dyDescent="0.2">
      <c r="A1714" t="s">
        <v>2742</v>
      </c>
      <c r="B1714" t="s">
        <v>706</v>
      </c>
      <c r="C1714" t="s">
        <v>707</v>
      </c>
      <c r="D1714">
        <v>1.10162523999999E-2</v>
      </c>
      <c r="E1714">
        <v>5.2397625E-3</v>
      </c>
      <c r="F1714">
        <v>2.06195424999999E-2</v>
      </c>
    </row>
    <row r="1715" spans="1:6" x14ac:dyDescent="0.2">
      <c r="A1715" t="s">
        <v>2743</v>
      </c>
      <c r="B1715" t="s">
        <v>916</v>
      </c>
      <c r="C1715" t="s">
        <v>917</v>
      </c>
      <c r="D1715">
        <v>6.6991753799999998E-2</v>
      </c>
      <c r="E1715">
        <v>4.4417720000000001E-2</v>
      </c>
      <c r="F1715">
        <v>9.5900522499999905E-2</v>
      </c>
    </row>
    <row r="1716" spans="1:6" x14ac:dyDescent="0.2">
      <c r="A1716" t="s">
        <v>2744</v>
      </c>
      <c r="B1716" t="s">
        <v>2745</v>
      </c>
      <c r="C1716" t="s">
        <v>648</v>
      </c>
      <c r="D1716">
        <v>0.11453832471488801</v>
      </c>
      <c r="E1716">
        <v>7.5532963632199607E-2</v>
      </c>
      <c r="F1716">
        <v>0.16446567367732601</v>
      </c>
    </row>
    <row r="1717" spans="1:6" x14ac:dyDescent="0.2">
      <c r="A1717" t="s">
        <v>2746</v>
      </c>
      <c r="B1717" t="s">
        <v>1911</v>
      </c>
      <c r="C1717" t="s">
        <v>1912</v>
      </c>
      <c r="D1717">
        <v>6.9140862800000105E-2</v>
      </c>
      <c r="E1717">
        <v>4.5942015000000003E-2</v>
      </c>
      <c r="F1717">
        <v>9.8852454999999895E-2</v>
      </c>
    </row>
    <row r="1718" spans="1:6" x14ac:dyDescent="0.2">
      <c r="A1718" t="s">
        <v>2747</v>
      </c>
      <c r="B1718" t="s">
        <v>1914</v>
      </c>
      <c r="C1718" t="s">
        <v>1915</v>
      </c>
      <c r="D1718">
        <v>0.376894274299999</v>
      </c>
      <c r="E1718">
        <v>0.25230419249999902</v>
      </c>
      <c r="F1718">
        <v>0.50846592999999995</v>
      </c>
    </row>
    <row r="1719" spans="1:6" x14ac:dyDescent="0.2">
      <c r="A1719" t="s">
        <v>2748</v>
      </c>
      <c r="B1719" t="s">
        <v>1917</v>
      </c>
      <c r="C1719" t="s">
        <v>1918</v>
      </c>
      <c r="D1719">
        <v>0.44857371099999999</v>
      </c>
      <c r="E1719">
        <v>0.30386179999999902</v>
      </c>
      <c r="F1719">
        <v>0.5945717425</v>
      </c>
    </row>
    <row r="1720" spans="1:6" x14ac:dyDescent="0.2">
      <c r="A1720" t="s">
        <v>2749</v>
      </c>
      <c r="B1720" t="s">
        <v>1037</v>
      </c>
      <c r="C1720" t="s">
        <v>1038</v>
      </c>
      <c r="D1720">
        <v>1.0793008600000001E-2</v>
      </c>
      <c r="E1720">
        <v>5.1901200000000003E-3</v>
      </c>
      <c r="F1720">
        <v>2.02353999999999E-2</v>
      </c>
    </row>
    <row r="1721" spans="1:6" x14ac:dyDescent="0.2">
      <c r="A1721" t="s">
        <v>2750</v>
      </c>
      <c r="B1721" t="s">
        <v>1040</v>
      </c>
      <c r="C1721" t="s">
        <v>1041</v>
      </c>
      <c r="D1721">
        <v>4.25405801999999E-2</v>
      </c>
      <c r="E1721">
        <v>2.5978245000000001E-2</v>
      </c>
      <c r="F1721">
        <v>6.4453929999999895E-2</v>
      </c>
    </row>
    <row r="1722" spans="1:6" x14ac:dyDescent="0.2">
      <c r="A1722" t="s">
        <v>2751</v>
      </c>
      <c r="B1722" t="s">
        <v>2082</v>
      </c>
      <c r="C1722" t="s">
        <v>2083</v>
      </c>
      <c r="D1722">
        <v>0.100020868199999</v>
      </c>
      <c r="E1722">
        <v>6.6049517500000002E-2</v>
      </c>
      <c r="F1722">
        <v>0.14174874749999999</v>
      </c>
    </row>
    <row r="1723" spans="1:6" x14ac:dyDescent="0.2">
      <c r="A1723" t="s">
        <v>2752</v>
      </c>
      <c r="B1723" t="s">
        <v>2085</v>
      </c>
      <c r="C1723" t="s">
        <v>2086</v>
      </c>
      <c r="D1723">
        <v>0.1600574337</v>
      </c>
      <c r="E1723">
        <v>0.107062184999999</v>
      </c>
      <c r="F1723">
        <v>0.226226345</v>
      </c>
    </row>
    <row r="1724" spans="1:6" x14ac:dyDescent="0.2">
      <c r="A1724" t="s">
        <v>2753</v>
      </c>
      <c r="B1724" t="s">
        <v>2088</v>
      </c>
      <c r="C1724" t="s">
        <v>2089</v>
      </c>
      <c r="D1724">
        <v>0.20030707170000001</v>
      </c>
      <c r="E1724">
        <v>0.13325701249999999</v>
      </c>
      <c r="F1724">
        <v>0.28252101499999999</v>
      </c>
    </row>
    <row r="1725" spans="1:6" x14ac:dyDescent="0.2">
      <c r="A1725" t="s">
        <v>2754</v>
      </c>
      <c r="B1725" t="s">
        <v>2585</v>
      </c>
      <c r="C1725" t="s">
        <v>2586</v>
      </c>
      <c r="D1725">
        <v>6.0814388803672001E-2</v>
      </c>
      <c r="E1725">
        <v>2.3912576027214399E-2</v>
      </c>
      <c r="F1725">
        <v>0.10686210505664299</v>
      </c>
    </row>
    <row r="1726" spans="1:6" x14ac:dyDescent="0.2">
      <c r="A1726" t="s">
        <v>2755</v>
      </c>
      <c r="B1726" t="s">
        <v>698</v>
      </c>
      <c r="D1726">
        <v>0</v>
      </c>
      <c r="E1726">
        <v>0</v>
      </c>
      <c r="F1726">
        <v>0</v>
      </c>
    </row>
    <row r="1727" spans="1:6" x14ac:dyDescent="0.2">
      <c r="A1727" t="s">
        <v>2756</v>
      </c>
      <c r="B1727" t="s">
        <v>2757</v>
      </c>
      <c r="C1727" t="s">
        <v>648</v>
      </c>
      <c r="D1727">
        <v>7.0950113734209397E-2</v>
      </c>
      <c r="E1727">
        <v>3.3402817236394003E-2</v>
      </c>
      <c r="F1727">
        <v>0.116938444805247</v>
      </c>
    </row>
    <row r="1728" spans="1:6" x14ac:dyDescent="0.2">
      <c r="A1728" t="s">
        <v>2758</v>
      </c>
      <c r="B1728" t="s">
        <v>2759</v>
      </c>
      <c r="C1728" t="s">
        <v>648</v>
      </c>
      <c r="D1728">
        <v>0.100761875305934</v>
      </c>
      <c r="E1728">
        <v>6.0740628028239901E-2</v>
      </c>
      <c r="F1728">
        <v>0.14900305077601</v>
      </c>
    </row>
    <row r="1729" spans="1:6" x14ac:dyDescent="0.2">
      <c r="A1729" t="s">
        <v>2760</v>
      </c>
      <c r="B1729" t="s">
        <v>2761</v>
      </c>
      <c r="C1729" t="s">
        <v>648</v>
      </c>
      <c r="D1729">
        <v>0.15473785558450601</v>
      </c>
      <c r="E1729">
        <v>0.104661500044936</v>
      </c>
      <c r="F1729">
        <v>0.21097456911391199</v>
      </c>
    </row>
    <row r="1730" spans="1:6" x14ac:dyDescent="0.2">
      <c r="A1730" t="s">
        <v>2762</v>
      </c>
      <c r="B1730" t="s">
        <v>2763</v>
      </c>
      <c r="C1730" t="s">
        <v>648</v>
      </c>
      <c r="D1730">
        <v>0.21112984364049101</v>
      </c>
      <c r="E1730">
        <v>0.148295220306848</v>
      </c>
      <c r="F1730">
        <v>0.28050699784379002</v>
      </c>
    </row>
    <row r="1731" spans="1:6" x14ac:dyDescent="0.2">
      <c r="A1731" t="s">
        <v>2764</v>
      </c>
      <c r="B1731" t="s">
        <v>2765</v>
      </c>
      <c r="C1731" t="s">
        <v>648</v>
      </c>
      <c r="D1731">
        <v>0.248928374202847</v>
      </c>
      <c r="E1731">
        <v>0.17587789470915799</v>
      </c>
      <c r="F1731">
        <v>0.32768477011460001</v>
      </c>
    </row>
    <row r="1732" spans="1:6" x14ac:dyDescent="0.2">
      <c r="A1732" t="s">
        <v>2766</v>
      </c>
      <c r="B1732" t="s">
        <v>2767</v>
      </c>
      <c r="C1732" t="s">
        <v>648</v>
      </c>
      <c r="D1732">
        <v>0.125743864647378</v>
      </c>
      <c r="E1732">
        <v>8.1342641280675101E-2</v>
      </c>
      <c r="F1732">
        <v>0.175579859586703</v>
      </c>
    </row>
    <row r="1733" spans="1:6" x14ac:dyDescent="0.2">
      <c r="A1733" t="s">
        <v>2768</v>
      </c>
      <c r="B1733" t="s">
        <v>2769</v>
      </c>
      <c r="C1733" t="s">
        <v>648</v>
      </c>
      <c r="D1733">
        <v>0.41476568303046601</v>
      </c>
      <c r="E1733">
        <v>0.294005444303511</v>
      </c>
      <c r="F1733">
        <v>0.54679835259665999</v>
      </c>
    </row>
    <row r="1734" spans="1:6" x14ac:dyDescent="0.2">
      <c r="A1734" t="s">
        <v>2770</v>
      </c>
      <c r="B1734" t="s">
        <v>2771</v>
      </c>
      <c r="C1734" t="s">
        <v>648</v>
      </c>
      <c r="D1734">
        <v>0.48208851600751101</v>
      </c>
      <c r="E1734">
        <v>0.34228484496434503</v>
      </c>
      <c r="F1734">
        <v>0.62014052774671802</v>
      </c>
    </row>
    <row r="1735" spans="1:6" x14ac:dyDescent="0.2">
      <c r="A1735" t="s">
        <v>2772</v>
      </c>
      <c r="B1735" t="s">
        <v>2773</v>
      </c>
      <c r="C1735" t="s">
        <v>648</v>
      </c>
      <c r="D1735">
        <v>0.13514669111157501</v>
      </c>
      <c r="E1735">
        <v>8.9834577719016998E-2</v>
      </c>
      <c r="F1735">
        <v>0.187670105173524</v>
      </c>
    </row>
    <row r="1736" spans="1:6" x14ac:dyDescent="0.2">
      <c r="A1736" t="s">
        <v>2774</v>
      </c>
      <c r="B1736" t="s">
        <v>2775</v>
      </c>
      <c r="C1736" t="s">
        <v>648</v>
      </c>
      <c r="D1736">
        <v>0.16282205802647601</v>
      </c>
      <c r="E1736">
        <v>0.112291526109514</v>
      </c>
      <c r="F1736">
        <v>0.22041048882904199</v>
      </c>
    </row>
    <row r="1737" spans="1:6" x14ac:dyDescent="0.2">
      <c r="A1737" t="s">
        <v>2776</v>
      </c>
      <c r="B1737" t="s">
        <v>2777</v>
      </c>
      <c r="C1737" t="s">
        <v>648</v>
      </c>
      <c r="D1737">
        <v>0.21296085644089099</v>
      </c>
      <c r="E1737">
        <v>0.15045270785847201</v>
      </c>
      <c r="F1737">
        <v>0.28219805175707302</v>
      </c>
    </row>
    <row r="1738" spans="1:6" x14ac:dyDescent="0.2">
      <c r="A1738" t="s">
        <v>2778</v>
      </c>
      <c r="B1738" t="s">
        <v>2779</v>
      </c>
      <c r="C1738" t="s">
        <v>648</v>
      </c>
      <c r="D1738">
        <v>0.26535696887874799</v>
      </c>
      <c r="E1738">
        <v>0.19160927360680699</v>
      </c>
      <c r="F1738">
        <v>0.34586471560270499</v>
      </c>
    </row>
    <row r="1739" spans="1:6" x14ac:dyDescent="0.2">
      <c r="A1739" t="s">
        <v>2780</v>
      </c>
      <c r="B1739" t="s">
        <v>2781</v>
      </c>
      <c r="C1739" t="s">
        <v>648</v>
      </c>
      <c r="D1739">
        <v>0.30050646937271303</v>
      </c>
      <c r="E1739">
        <v>0.22165603255080099</v>
      </c>
      <c r="F1739">
        <v>0.39209750812474198</v>
      </c>
    </row>
    <row r="1740" spans="1:6" x14ac:dyDescent="0.2">
      <c r="A1740" t="s">
        <v>2782</v>
      </c>
      <c r="B1740" t="s">
        <v>2783</v>
      </c>
      <c r="C1740" t="s">
        <v>648</v>
      </c>
      <c r="D1740">
        <v>0.42112385325075902</v>
      </c>
      <c r="E1740">
        <v>0.302972983275833</v>
      </c>
      <c r="F1740">
        <v>0.54954006522686105</v>
      </c>
    </row>
    <row r="1741" spans="1:6" x14ac:dyDescent="0.2">
      <c r="A1741" t="s">
        <v>2784</v>
      </c>
      <c r="B1741" t="s">
        <v>2785</v>
      </c>
      <c r="C1741" t="s">
        <v>648</v>
      </c>
      <c r="D1741">
        <v>0.43947230201662102</v>
      </c>
      <c r="E1741">
        <v>0.32266813779368803</v>
      </c>
      <c r="F1741">
        <v>0.56859106673714499</v>
      </c>
    </row>
    <row r="1742" spans="1:6" x14ac:dyDescent="0.2">
      <c r="A1742" t="s">
        <v>2786</v>
      </c>
      <c r="B1742" t="s">
        <v>2787</v>
      </c>
      <c r="C1742" t="s">
        <v>648</v>
      </c>
      <c r="D1742">
        <v>0.47245210538570998</v>
      </c>
      <c r="E1742">
        <v>0.34963101913566602</v>
      </c>
      <c r="F1742">
        <v>0.60807578318700894</v>
      </c>
    </row>
    <row r="1743" spans="1:6" x14ac:dyDescent="0.2">
      <c r="A1743" t="s">
        <v>2788</v>
      </c>
      <c r="B1743" t="s">
        <v>2789</v>
      </c>
      <c r="C1743" t="s">
        <v>648</v>
      </c>
      <c r="D1743">
        <v>0.50681897300493695</v>
      </c>
      <c r="E1743">
        <v>0.37714625708919602</v>
      </c>
      <c r="F1743">
        <v>0.64218766932920701</v>
      </c>
    </row>
    <row r="1744" spans="1:6" x14ac:dyDescent="0.2">
      <c r="A1744" t="s">
        <v>2790</v>
      </c>
      <c r="B1744" t="s">
        <v>2791</v>
      </c>
      <c r="C1744" t="s">
        <v>648</v>
      </c>
      <c r="D1744">
        <v>0.52988203420231095</v>
      </c>
      <c r="E1744">
        <v>0.39255707489000602</v>
      </c>
      <c r="F1744">
        <v>0.66582632098849104</v>
      </c>
    </row>
    <row r="1745" spans="1:6" x14ac:dyDescent="0.2">
      <c r="A1745" t="s">
        <v>2792</v>
      </c>
      <c r="B1745" t="s">
        <v>2793</v>
      </c>
      <c r="C1745" t="s">
        <v>648</v>
      </c>
      <c r="D1745">
        <v>0.48774426430348</v>
      </c>
      <c r="E1745">
        <v>0.350297133497594</v>
      </c>
      <c r="F1745">
        <v>0.62432524194818995</v>
      </c>
    </row>
    <row r="1746" spans="1:6" x14ac:dyDescent="0.2">
      <c r="A1746" t="s">
        <v>2794</v>
      </c>
      <c r="B1746" t="s">
        <v>2795</v>
      </c>
      <c r="C1746" t="s">
        <v>648</v>
      </c>
      <c r="D1746">
        <v>0.50394879070614496</v>
      </c>
      <c r="E1746">
        <v>0.368245007009044</v>
      </c>
      <c r="F1746">
        <v>0.64115296859502002</v>
      </c>
    </row>
    <row r="1747" spans="1:6" x14ac:dyDescent="0.2">
      <c r="A1747" t="s">
        <v>2796</v>
      </c>
      <c r="B1747" t="s">
        <v>2797</v>
      </c>
      <c r="C1747" t="s">
        <v>648</v>
      </c>
      <c r="D1747">
        <v>0.53298964252754299</v>
      </c>
      <c r="E1747">
        <v>0.395854586383317</v>
      </c>
      <c r="F1747">
        <v>0.67153651945248005</v>
      </c>
    </row>
    <row r="1748" spans="1:6" x14ac:dyDescent="0.2">
      <c r="A1748" t="s">
        <v>2798</v>
      </c>
      <c r="B1748" t="s">
        <v>2799</v>
      </c>
      <c r="C1748" t="s">
        <v>648</v>
      </c>
      <c r="D1748">
        <v>0.56321822070268301</v>
      </c>
      <c r="E1748">
        <v>0.419374848484309</v>
      </c>
      <c r="F1748">
        <v>0.704481909435274</v>
      </c>
    </row>
    <row r="1749" spans="1:6" x14ac:dyDescent="0.2">
      <c r="A1749" t="s">
        <v>2800</v>
      </c>
      <c r="B1749" t="s">
        <v>2801</v>
      </c>
      <c r="C1749" t="s">
        <v>648</v>
      </c>
      <c r="D1749">
        <v>0.58350426112054399</v>
      </c>
      <c r="E1749">
        <v>0.43588793523146202</v>
      </c>
      <c r="F1749">
        <v>0.72305914096613899</v>
      </c>
    </row>
    <row r="1750" spans="1:6" x14ac:dyDescent="0.2">
      <c r="A1750" t="s">
        <v>2802</v>
      </c>
      <c r="B1750" t="s">
        <v>2803</v>
      </c>
      <c r="C1750" t="s">
        <v>648</v>
      </c>
      <c r="D1750">
        <v>7.9153376421535304E-2</v>
      </c>
      <c r="E1750">
        <v>5.1326978541249998E-2</v>
      </c>
      <c r="F1750">
        <v>0.115374658696329</v>
      </c>
    </row>
    <row r="1751" spans="1:6" x14ac:dyDescent="0.2">
      <c r="A1751" t="s">
        <v>2804</v>
      </c>
      <c r="B1751" t="s">
        <v>2805</v>
      </c>
      <c r="C1751" t="s">
        <v>648</v>
      </c>
      <c r="D1751">
        <v>0.108625642147579</v>
      </c>
      <c r="E1751">
        <v>7.1254040874273603E-2</v>
      </c>
      <c r="F1751">
        <v>0.15874027235271301</v>
      </c>
    </row>
    <row r="1752" spans="1:6" x14ac:dyDescent="0.2">
      <c r="A1752" t="s">
        <v>2806</v>
      </c>
      <c r="B1752" t="s">
        <v>2807</v>
      </c>
      <c r="C1752" t="s">
        <v>648</v>
      </c>
      <c r="D1752">
        <v>0.16201920845315099</v>
      </c>
      <c r="E1752">
        <v>0.109968876456997</v>
      </c>
      <c r="F1752">
        <v>0.22232452732324501</v>
      </c>
    </row>
    <row r="1753" spans="1:6" x14ac:dyDescent="0.2">
      <c r="A1753" t="s">
        <v>2808</v>
      </c>
      <c r="B1753" t="s">
        <v>2809</v>
      </c>
      <c r="C1753" t="s">
        <v>648</v>
      </c>
      <c r="D1753">
        <v>0.217801397870444</v>
      </c>
      <c r="E1753">
        <v>0.149214398154699</v>
      </c>
      <c r="F1753">
        <v>0.298545296727391</v>
      </c>
    </row>
    <row r="1754" spans="1:6" x14ac:dyDescent="0.2">
      <c r="A1754" t="s">
        <v>2810</v>
      </c>
      <c r="B1754" t="s">
        <v>2811</v>
      </c>
      <c r="C1754" t="s">
        <v>648</v>
      </c>
      <c r="D1754">
        <v>0.25522993143954997</v>
      </c>
      <c r="E1754">
        <v>0.17816860891744701</v>
      </c>
      <c r="F1754">
        <v>0.34556846933436097</v>
      </c>
    </row>
    <row r="1755" spans="1:6" x14ac:dyDescent="0.2">
      <c r="A1755" t="s">
        <v>2812</v>
      </c>
      <c r="B1755" t="s">
        <v>2813</v>
      </c>
      <c r="C1755" t="s">
        <v>648</v>
      </c>
      <c r="D1755">
        <v>0.38366445671530203</v>
      </c>
      <c r="E1755">
        <v>0.261703800060963</v>
      </c>
      <c r="F1755">
        <v>0.51705869907908597</v>
      </c>
    </row>
    <row r="1756" spans="1:6" x14ac:dyDescent="0.2">
      <c r="A1756" t="s">
        <v>2814</v>
      </c>
      <c r="B1756" t="s">
        <v>2815</v>
      </c>
      <c r="C1756" t="s">
        <v>648</v>
      </c>
      <c r="D1756">
        <v>0.40320383227560003</v>
      </c>
      <c r="E1756">
        <v>0.28076414740856398</v>
      </c>
      <c r="F1756">
        <v>0.53582165567793505</v>
      </c>
    </row>
    <row r="1757" spans="1:6" x14ac:dyDescent="0.2">
      <c r="A1757" t="s">
        <v>2816</v>
      </c>
      <c r="B1757" t="s">
        <v>2817</v>
      </c>
      <c r="C1757" t="s">
        <v>648</v>
      </c>
      <c r="D1757">
        <v>0.43832350805402398</v>
      </c>
      <c r="E1757">
        <v>0.31067607817616599</v>
      </c>
      <c r="F1757">
        <v>0.57619575059788897</v>
      </c>
    </row>
    <row r="1758" spans="1:6" x14ac:dyDescent="0.2">
      <c r="A1758" t="s">
        <v>2818</v>
      </c>
      <c r="B1758" t="s">
        <v>2819</v>
      </c>
      <c r="C1758" t="s">
        <v>648</v>
      </c>
      <c r="D1758">
        <v>0.47491126588221799</v>
      </c>
      <c r="E1758">
        <v>0.340374735603926</v>
      </c>
      <c r="F1758">
        <v>0.61449153175423199</v>
      </c>
    </row>
    <row r="1759" spans="1:6" x14ac:dyDescent="0.2">
      <c r="A1759" t="s">
        <v>2820</v>
      </c>
      <c r="B1759" t="s">
        <v>2821</v>
      </c>
      <c r="C1759" t="s">
        <v>648</v>
      </c>
      <c r="D1759">
        <v>0.49947054552219899</v>
      </c>
      <c r="E1759">
        <v>0.35784813212019601</v>
      </c>
      <c r="F1759">
        <v>0.64459078435508099</v>
      </c>
    </row>
    <row r="1760" spans="1:6" x14ac:dyDescent="0.2">
      <c r="A1760" t="s">
        <v>2822</v>
      </c>
      <c r="B1760" t="s">
        <v>2823</v>
      </c>
      <c r="C1760" t="s">
        <v>648</v>
      </c>
      <c r="D1760">
        <v>0.45459586438245098</v>
      </c>
      <c r="E1760">
        <v>0.315676849085329</v>
      </c>
      <c r="F1760">
        <v>0.59724363315249096</v>
      </c>
    </row>
    <row r="1761" spans="1:6" x14ac:dyDescent="0.2">
      <c r="A1761" t="s">
        <v>2824</v>
      </c>
      <c r="B1761" t="s">
        <v>2825</v>
      </c>
      <c r="C1761" t="s">
        <v>648</v>
      </c>
      <c r="D1761">
        <v>0.47185217276058899</v>
      </c>
      <c r="E1761">
        <v>0.33208480019868403</v>
      </c>
      <c r="F1761">
        <v>0.61482008326825199</v>
      </c>
    </row>
    <row r="1762" spans="1:6" x14ac:dyDescent="0.2">
      <c r="A1762" t="s">
        <v>2826</v>
      </c>
      <c r="B1762" t="s">
        <v>2827</v>
      </c>
      <c r="C1762" t="s">
        <v>648</v>
      </c>
      <c r="D1762">
        <v>0.50277744230687504</v>
      </c>
      <c r="E1762">
        <v>0.35470361617885798</v>
      </c>
      <c r="F1762">
        <v>0.64558837027273097</v>
      </c>
    </row>
    <row r="1763" spans="1:6" x14ac:dyDescent="0.2">
      <c r="A1763" t="s">
        <v>2828</v>
      </c>
      <c r="B1763" t="s">
        <v>2829</v>
      </c>
      <c r="C1763" t="s">
        <v>648</v>
      </c>
      <c r="D1763">
        <v>0.53496034700377604</v>
      </c>
      <c r="E1763">
        <v>0.38418912263065003</v>
      </c>
      <c r="F1763">
        <v>0.68095963623691902</v>
      </c>
    </row>
    <row r="1764" spans="1:6" x14ac:dyDescent="0.2">
      <c r="A1764" t="s">
        <v>2830</v>
      </c>
      <c r="B1764" t="s">
        <v>2831</v>
      </c>
      <c r="C1764" t="s">
        <v>648</v>
      </c>
      <c r="D1764">
        <v>0.55656229778139299</v>
      </c>
      <c r="E1764">
        <v>0.40064019463450101</v>
      </c>
      <c r="F1764">
        <v>0.70338721431289197</v>
      </c>
    </row>
    <row r="1765" spans="1:6" x14ac:dyDescent="0.2">
      <c r="A1765" t="s">
        <v>2832</v>
      </c>
      <c r="B1765" t="s">
        <v>736</v>
      </c>
      <c r="C1765" t="s">
        <v>737</v>
      </c>
      <c r="D1765">
        <v>7.5640454000000003E-3</v>
      </c>
      <c r="E1765">
        <v>3.3355575E-3</v>
      </c>
      <c r="F1765">
        <v>1.5242127499999999E-2</v>
      </c>
    </row>
    <row r="1766" spans="1:6" x14ac:dyDescent="0.2">
      <c r="A1766" t="s">
        <v>2833</v>
      </c>
      <c r="B1766" t="s">
        <v>2585</v>
      </c>
      <c r="C1766" t="s">
        <v>2586</v>
      </c>
      <c r="D1766">
        <v>6.0814388803672001E-2</v>
      </c>
      <c r="E1766">
        <v>2.3912576027214399E-2</v>
      </c>
      <c r="F1766">
        <v>0.10686210505664299</v>
      </c>
    </row>
    <row r="1767" spans="1:6" x14ac:dyDescent="0.2">
      <c r="A1767" t="s">
        <v>2834</v>
      </c>
      <c r="B1767" t="s">
        <v>2835</v>
      </c>
      <c r="C1767" t="s">
        <v>648</v>
      </c>
      <c r="D1767">
        <v>6.7917298337733703E-2</v>
      </c>
      <c r="E1767">
        <v>3.05267616982316E-2</v>
      </c>
      <c r="F1767">
        <v>0.113552811164277</v>
      </c>
    </row>
    <row r="1768" spans="1:6" x14ac:dyDescent="0.2">
      <c r="A1768" t="s">
        <v>2836</v>
      </c>
      <c r="B1768" t="s">
        <v>698</v>
      </c>
      <c r="D1768">
        <v>0</v>
      </c>
      <c r="E1768">
        <v>0</v>
      </c>
      <c r="F1768">
        <v>0</v>
      </c>
    </row>
    <row r="1769" spans="1:6" x14ac:dyDescent="0.2">
      <c r="A1769" t="s">
        <v>2837</v>
      </c>
      <c r="B1769" t="s">
        <v>736</v>
      </c>
      <c r="C1769" t="s">
        <v>737</v>
      </c>
      <c r="D1769">
        <v>7.5640454000000003E-3</v>
      </c>
      <c r="E1769">
        <v>3.3355575E-3</v>
      </c>
      <c r="F1769">
        <v>1.5242127499999999E-2</v>
      </c>
    </row>
    <row r="1770" spans="1:6" x14ac:dyDescent="0.2">
      <c r="A1770" t="s">
        <v>2838</v>
      </c>
      <c r="B1770" t="s">
        <v>1037</v>
      </c>
      <c r="C1770" t="s">
        <v>1038</v>
      </c>
      <c r="D1770">
        <v>1.0793008600000001E-2</v>
      </c>
      <c r="E1770">
        <v>5.1901200000000003E-3</v>
      </c>
      <c r="F1770">
        <v>2.02353999999999E-2</v>
      </c>
    </row>
    <row r="1771" spans="1:6" x14ac:dyDescent="0.2">
      <c r="A1771" t="s">
        <v>2839</v>
      </c>
      <c r="B1771" t="s">
        <v>1040</v>
      </c>
      <c r="C1771" t="s">
        <v>1041</v>
      </c>
      <c r="D1771">
        <v>4.25405801999999E-2</v>
      </c>
      <c r="E1771">
        <v>2.5978245000000001E-2</v>
      </c>
      <c r="F1771">
        <v>6.4453929999999895E-2</v>
      </c>
    </row>
    <row r="1772" spans="1:6" x14ac:dyDescent="0.2">
      <c r="A1772" t="s">
        <v>2840</v>
      </c>
      <c r="B1772" t="s">
        <v>2841</v>
      </c>
      <c r="C1772" t="s">
        <v>648</v>
      </c>
      <c r="D1772">
        <v>4.97600531082001E-2</v>
      </c>
      <c r="E1772">
        <v>2.9763149201209399E-2</v>
      </c>
      <c r="F1772">
        <v>7.7971349952487695E-2</v>
      </c>
    </row>
    <row r="1773" spans="1:6" x14ac:dyDescent="0.2">
      <c r="A1773" t="s">
        <v>2840</v>
      </c>
      <c r="B1773" t="s">
        <v>2841</v>
      </c>
      <c r="C1773" t="s">
        <v>648</v>
      </c>
      <c r="D1773">
        <v>4.97600531082001E-2</v>
      </c>
      <c r="E1773">
        <v>2.9763149201209399E-2</v>
      </c>
      <c r="F1773">
        <v>7.7971349952487695E-2</v>
      </c>
    </row>
    <row r="1774" spans="1:6" x14ac:dyDescent="0.2">
      <c r="A1774" t="s">
        <v>2842</v>
      </c>
      <c r="B1774" t="s">
        <v>2843</v>
      </c>
      <c r="C1774" t="s">
        <v>648</v>
      </c>
      <c r="D1774">
        <v>1.82634356713182E-2</v>
      </c>
      <c r="E1774">
        <v>8.6685597660369901E-3</v>
      </c>
      <c r="F1774">
        <v>3.4400840619610101E-2</v>
      </c>
    </row>
    <row r="1775" spans="1:6" x14ac:dyDescent="0.2">
      <c r="A1775" t="s">
        <v>2842</v>
      </c>
      <c r="B1775" t="s">
        <v>2843</v>
      </c>
      <c r="C1775" t="s">
        <v>648</v>
      </c>
      <c r="D1775">
        <v>1.82634356713182E-2</v>
      </c>
      <c r="E1775">
        <v>8.6685597660369901E-3</v>
      </c>
      <c r="F1775">
        <v>3.4400840619610101E-2</v>
      </c>
    </row>
    <row r="1776" spans="1:6" x14ac:dyDescent="0.2">
      <c r="A1776" t="s">
        <v>2844</v>
      </c>
      <c r="B1776" t="s">
        <v>698</v>
      </c>
      <c r="D1776">
        <v>0</v>
      </c>
      <c r="E1776">
        <v>0</v>
      </c>
      <c r="F1776">
        <v>0</v>
      </c>
    </row>
    <row r="1777" spans="1:6" x14ac:dyDescent="0.2">
      <c r="A1777" t="s">
        <v>2845</v>
      </c>
      <c r="B1777" t="s">
        <v>1911</v>
      </c>
      <c r="C1777" t="s">
        <v>1912</v>
      </c>
      <c r="D1777">
        <v>6.9140862800000105E-2</v>
      </c>
      <c r="E1777">
        <v>4.5942015000000003E-2</v>
      </c>
      <c r="F1777">
        <v>9.8852454999999895E-2</v>
      </c>
    </row>
    <row r="1778" spans="1:6" x14ac:dyDescent="0.2">
      <c r="A1778" t="s">
        <v>2846</v>
      </c>
      <c r="B1778" t="s">
        <v>1914</v>
      </c>
      <c r="C1778" t="s">
        <v>1915</v>
      </c>
      <c r="D1778">
        <v>0.376894274299999</v>
      </c>
      <c r="E1778">
        <v>0.25230419249999902</v>
      </c>
      <c r="F1778">
        <v>0.50846592999999995</v>
      </c>
    </row>
    <row r="1779" spans="1:6" x14ac:dyDescent="0.2">
      <c r="A1779" t="s">
        <v>2847</v>
      </c>
      <c r="B1779" t="s">
        <v>1917</v>
      </c>
      <c r="C1779" t="s">
        <v>1918</v>
      </c>
      <c r="D1779">
        <v>0.44857371099999999</v>
      </c>
      <c r="E1779">
        <v>0.30386179999999902</v>
      </c>
      <c r="F1779">
        <v>0.5945717425</v>
      </c>
    </row>
    <row r="1780" spans="1:6" x14ac:dyDescent="0.2">
      <c r="A1780" t="s">
        <v>2848</v>
      </c>
      <c r="B1780" t="s">
        <v>1037</v>
      </c>
      <c r="C1780" t="s">
        <v>1038</v>
      </c>
      <c r="D1780">
        <v>1.0793008600000001E-2</v>
      </c>
      <c r="E1780">
        <v>5.1901200000000003E-3</v>
      </c>
      <c r="F1780">
        <v>2.02353999999999E-2</v>
      </c>
    </row>
    <row r="1781" spans="1:6" x14ac:dyDescent="0.2">
      <c r="A1781" t="s">
        <v>2849</v>
      </c>
      <c r="B1781" t="s">
        <v>1040</v>
      </c>
      <c r="C1781" t="s">
        <v>1041</v>
      </c>
      <c r="D1781">
        <v>4.25405801999999E-2</v>
      </c>
      <c r="E1781">
        <v>2.5978245000000001E-2</v>
      </c>
      <c r="F1781">
        <v>6.4453929999999895E-2</v>
      </c>
    </row>
    <row r="1782" spans="1:6" x14ac:dyDescent="0.2">
      <c r="A1782" t="s">
        <v>2850</v>
      </c>
      <c r="B1782" t="s">
        <v>2082</v>
      </c>
      <c r="C1782" t="s">
        <v>2083</v>
      </c>
      <c r="D1782">
        <v>0.100020868199999</v>
      </c>
      <c r="E1782">
        <v>6.6049517500000002E-2</v>
      </c>
      <c r="F1782">
        <v>0.14174874749999999</v>
      </c>
    </row>
    <row r="1783" spans="1:6" x14ac:dyDescent="0.2">
      <c r="A1783" t="s">
        <v>2851</v>
      </c>
      <c r="B1783" t="s">
        <v>2085</v>
      </c>
      <c r="C1783" t="s">
        <v>2086</v>
      </c>
      <c r="D1783">
        <v>0.1600574337</v>
      </c>
      <c r="E1783">
        <v>0.107062184999999</v>
      </c>
      <c r="F1783">
        <v>0.226226345</v>
      </c>
    </row>
    <row r="1784" spans="1:6" x14ac:dyDescent="0.2">
      <c r="A1784" t="s">
        <v>2852</v>
      </c>
      <c r="B1784" t="s">
        <v>2088</v>
      </c>
      <c r="C1784" t="s">
        <v>2089</v>
      </c>
      <c r="D1784">
        <v>0.20030707170000001</v>
      </c>
      <c r="E1784">
        <v>0.13325701249999999</v>
      </c>
      <c r="F1784">
        <v>0.28252101499999999</v>
      </c>
    </row>
    <row r="1785" spans="1:6" x14ac:dyDescent="0.2">
      <c r="A1785" t="s">
        <v>2853</v>
      </c>
      <c r="B1785" t="s">
        <v>922</v>
      </c>
      <c r="C1785" t="s">
        <v>923</v>
      </c>
      <c r="D1785">
        <v>0.54166777129999999</v>
      </c>
      <c r="E1785">
        <v>0.37403827749999902</v>
      </c>
      <c r="F1785">
        <v>0.70224279499999998</v>
      </c>
    </row>
    <row r="1786" spans="1:6" x14ac:dyDescent="0.2">
      <c r="A1786" t="s">
        <v>2854</v>
      </c>
      <c r="B1786" t="s">
        <v>2585</v>
      </c>
      <c r="C1786" t="s">
        <v>2586</v>
      </c>
      <c r="D1786">
        <v>6.0814388803672001E-2</v>
      </c>
      <c r="E1786">
        <v>2.3912576027214399E-2</v>
      </c>
      <c r="F1786">
        <v>0.10686210505664299</v>
      </c>
    </row>
    <row r="1787" spans="1:6" x14ac:dyDescent="0.2">
      <c r="A1787" t="s">
        <v>2855</v>
      </c>
      <c r="B1787" t="s">
        <v>698</v>
      </c>
      <c r="D1787">
        <v>0</v>
      </c>
      <c r="E1787">
        <v>0</v>
      </c>
      <c r="F1787">
        <v>0</v>
      </c>
    </row>
    <row r="1788" spans="1:6" x14ac:dyDescent="0.2">
      <c r="A1788" t="s">
        <v>2856</v>
      </c>
      <c r="B1788" t="s">
        <v>2757</v>
      </c>
      <c r="C1788" t="s">
        <v>648</v>
      </c>
      <c r="D1788">
        <v>7.0950113734209397E-2</v>
      </c>
      <c r="E1788">
        <v>3.3402817236394003E-2</v>
      </c>
      <c r="F1788">
        <v>0.116938444805247</v>
      </c>
    </row>
    <row r="1789" spans="1:6" x14ac:dyDescent="0.2">
      <c r="A1789" t="s">
        <v>2857</v>
      </c>
      <c r="B1789" t="s">
        <v>2759</v>
      </c>
      <c r="C1789" t="s">
        <v>648</v>
      </c>
      <c r="D1789">
        <v>0.100761875305934</v>
      </c>
      <c r="E1789">
        <v>6.0740628028239901E-2</v>
      </c>
      <c r="F1789">
        <v>0.14900305077601</v>
      </c>
    </row>
    <row r="1790" spans="1:6" x14ac:dyDescent="0.2">
      <c r="A1790" t="s">
        <v>2858</v>
      </c>
      <c r="B1790" t="s">
        <v>2761</v>
      </c>
      <c r="C1790" t="s">
        <v>648</v>
      </c>
      <c r="D1790">
        <v>0.15473785558450601</v>
      </c>
      <c r="E1790">
        <v>0.104661500044936</v>
      </c>
      <c r="F1790">
        <v>0.21097456911391199</v>
      </c>
    </row>
    <row r="1791" spans="1:6" x14ac:dyDescent="0.2">
      <c r="A1791" t="s">
        <v>2859</v>
      </c>
      <c r="B1791" t="s">
        <v>2763</v>
      </c>
      <c r="C1791" t="s">
        <v>648</v>
      </c>
      <c r="D1791">
        <v>0.21112984364049101</v>
      </c>
      <c r="E1791">
        <v>0.148295220306848</v>
      </c>
      <c r="F1791">
        <v>0.28050699784379002</v>
      </c>
    </row>
    <row r="1792" spans="1:6" x14ac:dyDescent="0.2">
      <c r="A1792" t="s">
        <v>2860</v>
      </c>
      <c r="B1792" t="s">
        <v>2765</v>
      </c>
      <c r="C1792" t="s">
        <v>648</v>
      </c>
      <c r="D1792">
        <v>0.248928374202847</v>
      </c>
      <c r="E1792">
        <v>0.17587789470915799</v>
      </c>
      <c r="F1792">
        <v>0.32768477011460001</v>
      </c>
    </row>
    <row r="1793" spans="1:6" x14ac:dyDescent="0.2">
      <c r="A1793" t="s">
        <v>2861</v>
      </c>
      <c r="B1793" t="s">
        <v>2767</v>
      </c>
      <c r="C1793" t="s">
        <v>648</v>
      </c>
      <c r="D1793">
        <v>0.125743864647378</v>
      </c>
      <c r="E1793">
        <v>8.1342641280675101E-2</v>
      </c>
      <c r="F1793">
        <v>0.175579859586703</v>
      </c>
    </row>
    <row r="1794" spans="1:6" x14ac:dyDescent="0.2">
      <c r="A1794" t="s">
        <v>2862</v>
      </c>
      <c r="B1794" t="s">
        <v>2769</v>
      </c>
      <c r="C1794" t="s">
        <v>648</v>
      </c>
      <c r="D1794">
        <v>0.41476568303046601</v>
      </c>
      <c r="E1794">
        <v>0.294005444303511</v>
      </c>
      <c r="F1794">
        <v>0.54679835259665999</v>
      </c>
    </row>
    <row r="1795" spans="1:6" x14ac:dyDescent="0.2">
      <c r="A1795" t="s">
        <v>2863</v>
      </c>
      <c r="B1795" t="s">
        <v>2771</v>
      </c>
      <c r="C1795" t="s">
        <v>648</v>
      </c>
      <c r="D1795">
        <v>0.48208851600751101</v>
      </c>
      <c r="E1795">
        <v>0.34228484496434503</v>
      </c>
      <c r="F1795">
        <v>0.62014052774671802</v>
      </c>
    </row>
    <row r="1796" spans="1:6" x14ac:dyDescent="0.2">
      <c r="A1796" t="s">
        <v>2864</v>
      </c>
      <c r="B1796" t="s">
        <v>2773</v>
      </c>
      <c r="C1796" t="s">
        <v>648</v>
      </c>
      <c r="D1796">
        <v>0.13514669111157501</v>
      </c>
      <c r="E1796">
        <v>8.9834577719016998E-2</v>
      </c>
      <c r="F1796">
        <v>0.187670105173524</v>
      </c>
    </row>
    <row r="1797" spans="1:6" x14ac:dyDescent="0.2">
      <c r="A1797" t="s">
        <v>2865</v>
      </c>
      <c r="B1797" t="s">
        <v>2775</v>
      </c>
      <c r="C1797" t="s">
        <v>648</v>
      </c>
      <c r="D1797">
        <v>0.16282205802647601</v>
      </c>
      <c r="E1797">
        <v>0.112291526109514</v>
      </c>
      <c r="F1797">
        <v>0.22041048882904199</v>
      </c>
    </row>
    <row r="1798" spans="1:6" x14ac:dyDescent="0.2">
      <c r="A1798" t="s">
        <v>2866</v>
      </c>
      <c r="B1798" t="s">
        <v>2777</v>
      </c>
      <c r="C1798" t="s">
        <v>648</v>
      </c>
      <c r="D1798">
        <v>0.21296085644089099</v>
      </c>
      <c r="E1798">
        <v>0.15045270785847201</v>
      </c>
      <c r="F1798">
        <v>0.28219805175707302</v>
      </c>
    </row>
    <row r="1799" spans="1:6" x14ac:dyDescent="0.2">
      <c r="A1799" t="s">
        <v>2867</v>
      </c>
      <c r="B1799" t="s">
        <v>2779</v>
      </c>
      <c r="C1799" t="s">
        <v>648</v>
      </c>
      <c r="D1799">
        <v>0.26535696887874799</v>
      </c>
      <c r="E1799">
        <v>0.19160927360680699</v>
      </c>
      <c r="F1799">
        <v>0.34586471560270499</v>
      </c>
    </row>
    <row r="1800" spans="1:6" x14ac:dyDescent="0.2">
      <c r="A1800" t="s">
        <v>2868</v>
      </c>
      <c r="B1800" t="s">
        <v>2781</v>
      </c>
      <c r="C1800" t="s">
        <v>648</v>
      </c>
      <c r="D1800">
        <v>0.30050646937271303</v>
      </c>
      <c r="E1800">
        <v>0.22165603255080099</v>
      </c>
      <c r="F1800">
        <v>0.39209750812474198</v>
      </c>
    </row>
    <row r="1801" spans="1:6" x14ac:dyDescent="0.2">
      <c r="A1801" t="s">
        <v>2869</v>
      </c>
      <c r="B1801" t="s">
        <v>2783</v>
      </c>
      <c r="C1801" t="s">
        <v>648</v>
      </c>
      <c r="D1801">
        <v>0.42112385325075902</v>
      </c>
      <c r="E1801">
        <v>0.302972983275833</v>
      </c>
      <c r="F1801">
        <v>0.54954006522686105</v>
      </c>
    </row>
    <row r="1802" spans="1:6" x14ac:dyDescent="0.2">
      <c r="A1802" t="s">
        <v>2870</v>
      </c>
      <c r="B1802" t="s">
        <v>2785</v>
      </c>
      <c r="C1802" t="s">
        <v>648</v>
      </c>
      <c r="D1802">
        <v>0.43947230201662102</v>
      </c>
      <c r="E1802">
        <v>0.32266813779368803</v>
      </c>
      <c r="F1802">
        <v>0.56859106673714499</v>
      </c>
    </row>
    <row r="1803" spans="1:6" x14ac:dyDescent="0.2">
      <c r="A1803" t="s">
        <v>2871</v>
      </c>
      <c r="B1803" t="s">
        <v>2787</v>
      </c>
      <c r="C1803" t="s">
        <v>648</v>
      </c>
      <c r="D1803">
        <v>0.47245210538570998</v>
      </c>
      <c r="E1803">
        <v>0.34963101913566602</v>
      </c>
      <c r="F1803">
        <v>0.60807578318700894</v>
      </c>
    </row>
    <row r="1804" spans="1:6" x14ac:dyDescent="0.2">
      <c r="A1804" t="s">
        <v>2872</v>
      </c>
      <c r="B1804" t="s">
        <v>2789</v>
      </c>
      <c r="C1804" t="s">
        <v>648</v>
      </c>
      <c r="D1804">
        <v>0.50681897300493695</v>
      </c>
      <c r="E1804">
        <v>0.37714625708919602</v>
      </c>
      <c r="F1804">
        <v>0.64218766932920701</v>
      </c>
    </row>
    <row r="1805" spans="1:6" x14ac:dyDescent="0.2">
      <c r="A1805" t="s">
        <v>2873</v>
      </c>
      <c r="B1805" t="s">
        <v>2791</v>
      </c>
      <c r="C1805" t="s">
        <v>648</v>
      </c>
      <c r="D1805">
        <v>0.52988203420231095</v>
      </c>
      <c r="E1805">
        <v>0.39255707489000602</v>
      </c>
      <c r="F1805">
        <v>0.66582632098849104</v>
      </c>
    </row>
    <row r="1806" spans="1:6" x14ac:dyDescent="0.2">
      <c r="A1806" t="s">
        <v>2874</v>
      </c>
      <c r="B1806" t="s">
        <v>2793</v>
      </c>
      <c r="C1806" t="s">
        <v>648</v>
      </c>
      <c r="D1806">
        <v>0.48774426430348</v>
      </c>
      <c r="E1806">
        <v>0.350297133497594</v>
      </c>
      <c r="F1806">
        <v>0.62432524194818995</v>
      </c>
    </row>
    <row r="1807" spans="1:6" x14ac:dyDescent="0.2">
      <c r="A1807" t="s">
        <v>2875</v>
      </c>
      <c r="B1807" t="s">
        <v>2795</v>
      </c>
      <c r="C1807" t="s">
        <v>648</v>
      </c>
      <c r="D1807">
        <v>0.50394879070614496</v>
      </c>
      <c r="E1807">
        <v>0.368245007009044</v>
      </c>
      <c r="F1807">
        <v>0.64115296859502002</v>
      </c>
    </row>
    <row r="1808" spans="1:6" x14ac:dyDescent="0.2">
      <c r="A1808" t="s">
        <v>2876</v>
      </c>
      <c r="B1808" t="s">
        <v>2797</v>
      </c>
      <c r="C1808" t="s">
        <v>648</v>
      </c>
      <c r="D1808">
        <v>0.53298964252754299</v>
      </c>
      <c r="E1808">
        <v>0.395854586383317</v>
      </c>
      <c r="F1808">
        <v>0.67153651945248005</v>
      </c>
    </row>
    <row r="1809" spans="1:6" x14ac:dyDescent="0.2">
      <c r="A1809" t="s">
        <v>2877</v>
      </c>
      <c r="B1809" t="s">
        <v>2799</v>
      </c>
      <c r="C1809" t="s">
        <v>648</v>
      </c>
      <c r="D1809">
        <v>0.56321822070268301</v>
      </c>
      <c r="E1809">
        <v>0.419374848484309</v>
      </c>
      <c r="F1809">
        <v>0.704481909435274</v>
      </c>
    </row>
    <row r="1810" spans="1:6" x14ac:dyDescent="0.2">
      <c r="A1810" t="s">
        <v>2878</v>
      </c>
      <c r="B1810" t="s">
        <v>2801</v>
      </c>
      <c r="C1810" t="s">
        <v>648</v>
      </c>
      <c r="D1810">
        <v>0.58350426112054399</v>
      </c>
      <c r="E1810">
        <v>0.43588793523146202</v>
      </c>
      <c r="F1810">
        <v>0.72305914096613899</v>
      </c>
    </row>
    <row r="1811" spans="1:6" x14ac:dyDescent="0.2">
      <c r="A1811" t="s">
        <v>2879</v>
      </c>
      <c r="B1811" t="s">
        <v>2803</v>
      </c>
      <c r="C1811" t="s">
        <v>648</v>
      </c>
      <c r="D1811">
        <v>7.9153376421535304E-2</v>
      </c>
      <c r="E1811">
        <v>5.1326978541249998E-2</v>
      </c>
      <c r="F1811">
        <v>0.115374658696329</v>
      </c>
    </row>
    <row r="1812" spans="1:6" x14ac:dyDescent="0.2">
      <c r="A1812" t="s">
        <v>2880</v>
      </c>
      <c r="B1812" t="s">
        <v>2805</v>
      </c>
      <c r="C1812" t="s">
        <v>648</v>
      </c>
      <c r="D1812">
        <v>0.108625642147579</v>
      </c>
      <c r="E1812">
        <v>7.1254040874273603E-2</v>
      </c>
      <c r="F1812">
        <v>0.15874027235271301</v>
      </c>
    </row>
    <row r="1813" spans="1:6" x14ac:dyDescent="0.2">
      <c r="A1813" t="s">
        <v>2881</v>
      </c>
      <c r="B1813" t="s">
        <v>2807</v>
      </c>
      <c r="C1813" t="s">
        <v>648</v>
      </c>
      <c r="D1813">
        <v>0.16201920845315099</v>
      </c>
      <c r="E1813">
        <v>0.109968876456997</v>
      </c>
      <c r="F1813">
        <v>0.22232452732324501</v>
      </c>
    </row>
    <row r="1814" spans="1:6" x14ac:dyDescent="0.2">
      <c r="A1814" t="s">
        <v>2882</v>
      </c>
      <c r="B1814" t="s">
        <v>2809</v>
      </c>
      <c r="C1814" t="s">
        <v>648</v>
      </c>
      <c r="D1814">
        <v>0.217801397870444</v>
      </c>
      <c r="E1814">
        <v>0.149214398154699</v>
      </c>
      <c r="F1814">
        <v>0.298545296727391</v>
      </c>
    </row>
    <row r="1815" spans="1:6" x14ac:dyDescent="0.2">
      <c r="A1815" t="s">
        <v>2883</v>
      </c>
      <c r="B1815" t="s">
        <v>2811</v>
      </c>
      <c r="C1815" t="s">
        <v>648</v>
      </c>
      <c r="D1815">
        <v>0.25522993143954997</v>
      </c>
      <c r="E1815">
        <v>0.17816860891744701</v>
      </c>
      <c r="F1815">
        <v>0.34556846933436097</v>
      </c>
    </row>
    <row r="1816" spans="1:6" x14ac:dyDescent="0.2">
      <c r="A1816" t="s">
        <v>2884</v>
      </c>
      <c r="B1816" t="s">
        <v>2813</v>
      </c>
      <c r="C1816" t="s">
        <v>648</v>
      </c>
      <c r="D1816">
        <v>0.38366445671530203</v>
      </c>
      <c r="E1816">
        <v>0.261703800060963</v>
      </c>
      <c r="F1816">
        <v>0.51705869907908597</v>
      </c>
    </row>
    <row r="1817" spans="1:6" x14ac:dyDescent="0.2">
      <c r="A1817" t="s">
        <v>2885</v>
      </c>
      <c r="B1817" t="s">
        <v>2815</v>
      </c>
      <c r="C1817" t="s">
        <v>648</v>
      </c>
      <c r="D1817">
        <v>0.40320383227560003</v>
      </c>
      <c r="E1817">
        <v>0.28076414740856398</v>
      </c>
      <c r="F1817">
        <v>0.53582165567793505</v>
      </c>
    </row>
    <row r="1818" spans="1:6" x14ac:dyDescent="0.2">
      <c r="A1818" t="s">
        <v>2886</v>
      </c>
      <c r="B1818" t="s">
        <v>2817</v>
      </c>
      <c r="C1818" t="s">
        <v>648</v>
      </c>
      <c r="D1818">
        <v>0.43832350805402398</v>
      </c>
      <c r="E1818">
        <v>0.31067607817616599</v>
      </c>
      <c r="F1818">
        <v>0.57619575059788897</v>
      </c>
    </row>
    <row r="1819" spans="1:6" x14ac:dyDescent="0.2">
      <c r="A1819" t="s">
        <v>2887</v>
      </c>
      <c r="B1819" t="s">
        <v>2819</v>
      </c>
      <c r="C1819" t="s">
        <v>648</v>
      </c>
      <c r="D1819">
        <v>0.47491126588221799</v>
      </c>
      <c r="E1819">
        <v>0.340374735603926</v>
      </c>
      <c r="F1819">
        <v>0.61449153175423199</v>
      </c>
    </row>
    <row r="1820" spans="1:6" x14ac:dyDescent="0.2">
      <c r="A1820" t="s">
        <v>2888</v>
      </c>
      <c r="B1820" t="s">
        <v>2821</v>
      </c>
      <c r="C1820" t="s">
        <v>648</v>
      </c>
      <c r="D1820">
        <v>0.49947054552219899</v>
      </c>
      <c r="E1820">
        <v>0.35784813212019601</v>
      </c>
      <c r="F1820">
        <v>0.64459078435508099</v>
      </c>
    </row>
    <row r="1821" spans="1:6" x14ac:dyDescent="0.2">
      <c r="A1821" t="s">
        <v>2889</v>
      </c>
      <c r="B1821" t="s">
        <v>2823</v>
      </c>
      <c r="C1821" t="s">
        <v>648</v>
      </c>
      <c r="D1821">
        <v>0.45459586438245098</v>
      </c>
      <c r="E1821">
        <v>0.315676849085329</v>
      </c>
      <c r="F1821">
        <v>0.59724363315249096</v>
      </c>
    </row>
    <row r="1822" spans="1:6" x14ac:dyDescent="0.2">
      <c r="A1822" t="s">
        <v>2890</v>
      </c>
      <c r="B1822" t="s">
        <v>2825</v>
      </c>
      <c r="C1822" t="s">
        <v>648</v>
      </c>
      <c r="D1822">
        <v>0.47185217276058899</v>
      </c>
      <c r="E1822">
        <v>0.33208480019868403</v>
      </c>
      <c r="F1822">
        <v>0.61482008326825199</v>
      </c>
    </row>
    <row r="1823" spans="1:6" x14ac:dyDescent="0.2">
      <c r="A1823" t="s">
        <v>2891</v>
      </c>
      <c r="B1823" t="s">
        <v>2827</v>
      </c>
      <c r="C1823" t="s">
        <v>648</v>
      </c>
      <c r="D1823">
        <v>0.50277744230687504</v>
      </c>
      <c r="E1823">
        <v>0.35470361617885798</v>
      </c>
      <c r="F1823">
        <v>0.64558837027273097</v>
      </c>
    </row>
    <row r="1824" spans="1:6" x14ac:dyDescent="0.2">
      <c r="A1824" t="s">
        <v>2892</v>
      </c>
      <c r="B1824" t="s">
        <v>2829</v>
      </c>
      <c r="C1824" t="s">
        <v>648</v>
      </c>
      <c r="D1824">
        <v>0.53496034700377604</v>
      </c>
      <c r="E1824">
        <v>0.38418912263065003</v>
      </c>
      <c r="F1824">
        <v>0.68095963623691902</v>
      </c>
    </row>
    <row r="1825" spans="1:6" x14ac:dyDescent="0.2">
      <c r="A1825" t="s">
        <v>2893</v>
      </c>
      <c r="B1825" t="s">
        <v>2831</v>
      </c>
      <c r="C1825" t="s">
        <v>648</v>
      </c>
      <c r="D1825">
        <v>0.55656229778139299</v>
      </c>
      <c r="E1825">
        <v>0.40064019463450101</v>
      </c>
      <c r="F1825">
        <v>0.70338721431289197</v>
      </c>
    </row>
    <row r="1826" spans="1:6" x14ac:dyDescent="0.2">
      <c r="A1826" t="s">
        <v>2894</v>
      </c>
      <c r="B1826" t="s">
        <v>2895</v>
      </c>
      <c r="C1826" t="s">
        <v>648</v>
      </c>
      <c r="D1826">
        <v>0.56952761943291397</v>
      </c>
      <c r="E1826">
        <v>0.40481774570145401</v>
      </c>
      <c r="F1826">
        <v>0.71948046567383594</v>
      </c>
    </row>
    <row r="1827" spans="1:6" x14ac:dyDescent="0.2">
      <c r="A1827" t="s">
        <v>2896</v>
      </c>
      <c r="B1827" t="s">
        <v>706</v>
      </c>
      <c r="C1827" t="s">
        <v>707</v>
      </c>
      <c r="D1827">
        <v>1.10162523999999E-2</v>
      </c>
      <c r="E1827">
        <v>5.2397625E-3</v>
      </c>
      <c r="F1827">
        <v>2.06195424999999E-2</v>
      </c>
    </row>
    <row r="1828" spans="1:6" x14ac:dyDescent="0.2">
      <c r="A1828" t="s">
        <v>2897</v>
      </c>
      <c r="B1828" t="s">
        <v>916</v>
      </c>
      <c r="C1828" t="s">
        <v>917</v>
      </c>
      <c r="D1828">
        <v>6.6991753799999998E-2</v>
      </c>
      <c r="E1828">
        <v>4.4417720000000001E-2</v>
      </c>
      <c r="F1828">
        <v>9.5900522499999905E-2</v>
      </c>
    </row>
    <row r="1829" spans="1:6" x14ac:dyDescent="0.2">
      <c r="A1829" t="s">
        <v>2898</v>
      </c>
      <c r="B1829" t="s">
        <v>955</v>
      </c>
      <c r="C1829" t="s">
        <v>956</v>
      </c>
      <c r="D1829">
        <v>0.18808746869999901</v>
      </c>
      <c r="E1829">
        <v>0.124700385</v>
      </c>
      <c r="F1829">
        <v>0.26659237499999999</v>
      </c>
    </row>
    <row r="1830" spans="1:6" x14ac:dyDescent="0.2">
      <c r="A1830" t="s">
        <v>2899</v>
      </c>
      <c r="B1830" t="s">
        <v>2900</v>
      </c>
      <c r="C1830" t="s">
        <v>648</v>
      </c>
      <c r="D1830">
        <v>7.6420403449357993E-2</v>
      </c>
      <c r="E1830">
        <v>5.0789830225759898E-2</v>
      </c>
      <c r="F1830">
        <v>0.112019876826275</v>
      </c>
    </row>
    <row r="1831" spans="1:6" x14ac:dyDescent="0.2">
      <c r="A1831" t="s">
        <v>2901</v>
      </c>
      <c r="B1831" t="s">
        <v>2902</v>
      </c>
      <c r="C1831" t="s">
        <v>648</v>
      </c>
      <c r="D1831">
        <v>0.12359825553546799</v>
      </c>
      <c r="E1831">
        <v>8.2865541708580903E-2</v>
      </c>
      <c r="F1831">
        <v>0.17521277067425201</v>
      </c>
    </row>
    <row r="1832" spans="1:6" x14ac:dyDescent="0.2">
      <c r="A1832" t="s">
        <v>2903</v>
      </c>
      <c r="B1832" t="s">
        <v>2904</v>
      </c>
      <c r="C1832" t="s">
        <v>648</v>
      </c>
      <c r="D1832">
        <v>0.19630645835761201</v>
      </c>
      <c r="E1832">
        <v>0.13164408603983199</v>
      </c>
      <c r="F1832">
        <v>0.27520579188402</v>
      </c>
    </row>
    <row r="1833" spans="1:6" x14ac:dyDescent="0.2">
      <c r="A1833" t="s">
        <v>2905</v>
      </c>
      <c r="B1833" t="s">
        <v>2906</v>
      </c>
      <c r="C1833" t="s">
        <v>648</v>
      </c>
      <c r="D1833">
        <v>0.23716855537082099</v>
      </c>
      <c r="E1833">
        <v>0.163109777984387</v>
      </c>
      <c r="F1833">
        <v>0.32438909182597903</v>
      </c>
    </row>
    <row r="1834" spans="1:6" x14ac:dyDescent="0.2">
      <c r="A1834" t="s">
        <v>2907</v>
      </c>
      <c r="B1834" t="s">
        <v>916</v>
      </c>
      <c r="C1834" t="s">
        <v>917</v>
      </c>
      <c r="D1834">
        <v>6.6991753799999998E-2</v>
      </c>
      <c r="E1834">
        <v>4.4417720000000001E-2</v>
      </c>
      <c r="F1834">
        <v>9.5900522499999905E-2</v>
      </c>
    </row>
    <row r="1835" spans="1:6" x14ac:dyDescent="0.2">
      <c r="A1835" t="s">
        <v>2908</v>
      </c>
      <c r="B1835" t="s">
        <v>955</v>
      </c>
      <c r="C1835" t="s">
        <v>956</v>
      </c>
      <c r="D1835">
        <v>0.18808746869999901</v>
      </c>
      <c r="E1835">
        <v>0.124700385</v>
      </c>
      <c r="F1835">
        <v>0.26659237499999999</v>
      </c>
    </row>
    <row r="1836" spans="1:6" x14ac:dyDescent="0.2">
      <c r="A1836" t="s">
        <v>2909</v>
      </c>
      <c r="B1836" t="s">
        <v>2900</v>
      </c>
      <c r="C1836" t="s">
        <v>648</v>
      </c>
      <c r="D1836">
        <v>7.6420403449357993E-2</v>
      </c>
      <c r="E1836">
        <v>5.0789830225759898E-2</v>
      </c>
      <c r="F1836">
        <v>0.112019876826275</v>
      </c>
    </row>
    <row r="1837" spans="1:6" x14ac:dyDescent="0.2">
      <c r="A1837" t="s">
        <v>2910</v>
      </c>
      <c r="B1837" t="s">
        <v>2902</v>
      </c>
      <c r="C1837" t="s">
        <v>648</v>
      </c>
      <c r="D1837">
        <v>0.12359825553546799</v>
      </c>
      <c r="E1837">
        <v>8.2865541708580903E-2</v>
      </c>
      <c r="F1837">
        <v>0.17521277067425201</v>
      </c>
    </row>
    <row r="1838" spans="1:6" x14ac:dyDescent="0.2">
      <c r="A1838" t="s">
        <v>2911</v>
      </c>
      <c r="B1838" t="s">
        <v>2904</v>
      </c>
      <c r="C1838" t="s">
        <v>648</v>
      </c>
      <c r="D1838">
        <v>0.19630645835761201</v>
      </c>
      <c r="E1838">
        <v>0.13164408603983199</v>
      </c>
      <c r="F1838">
        <v>0.27520579188402</v>
      </c>
    </row>
    <row r="1839" spans="1:6" x14ac:dyDescent="0.2">
      <c r="A1839" t="s">
        <v>2912</v>
      </c>
      <c r="B1839" t="s">
        <v>2906</v>
      </c>
      <c r="C1839" t="s">
        <v>648</v>
      </c>
      <c r="D1839">
        <v>0.23716855537082099</v>
      </c>
      <c r="E1839">
        <v>0.163109777984387</v>
      </c>
      <c r="F1839">
        <v>0.32438909182597903</v>
      </c>
    </row>
    <row r="1840" spans="1:6" x14ac:dyDescent="0.2">
      <c r="A1840" t="s">
        <v>2913</v>
      </c>
      <c r="B1840" t="s">
        <v>1429</v>
      </c>
      <c r="C1840" t="s">
        <v>1430</v>
      </c>
      <c r="D1840">
        <v>0.13913545869999999</v>
      </c>
      <c r="E1840">
        <v>9.4181122500000006E-2</v>
      </c>
      <c r="F1840">
        <v>0.19754553749999901</v>
      </c>
    </row>
    <row r="1841" spans="1:6" x14ac:dyDescent="0.2">
      <c r="A1841" t="s">
        <v>2914</v>
      </c>
      <c r="B1841" t="s">
        <v>1432</v>
      </c>
      <c r="C1841" t="s">
        <v>1433</v>
      </c>
      <c r="D1841">
        <v>1.7338896900000001E-2</v>
      </c>
      <c r="E1841">
        <v>8.8922649999999999E-3</v>
      </c>
      <c r="F1841">
        <v>3.0323860000000001E-2</v>
      </c>
    </row>
    <row r="1842" spans="1:6" x14ac:dyDescent="0.2">
      <c r="A1842" t="s">
        <v>2915</v>
      </c>
      <c r="B1842" t="s">
        <v>1432</v>
      </c>
      <c r="C1842" t="s">
        <v>1433</v>
      </c>
      <c r="D1842">
        <v>1.7338896900000001E-2</v>
      </c>
      <c r="E1842">
        <v>8.8922649999999999E-3</v>
      </c>
      <c r="F1842">
        <v>3.0323860000000001E-2</v>
      </c>
    </row>
    <row r="1843" spans="1:6" x14ac:dyDescent="0.2">
      <c r="A1843" t="s">
        <v>2916</v>
      </c>
      <c r="B1843" t="s">
        <v>736</v>
      </c>
      <c r="C1843" t="s">
        <v>737</v>
      </c>
      <c r="D1843">
        <v>7.5640454000000003E-3</v>
      </c>
      <c r="E1843">
        <v>3.3355575E-3</v>
      </c>
      <c r="F1843">
        <v>1.5242127499999999E-2</v>
      </c>
    </row>
    <row r="1844" spans="1:6" x14ac:dyDescent="0.2">
      <c r="A1844" t="s">
        <v>2917</v>
      </c>
      <c r="B1844" t="s">
        <v>907</v>
      </c>
      <c r="C1844" t="s">
        <v>908</v>
      </c>
      <c r="D1844">
        <v>1.1009249599999899E-2</v>
      </c>
      <c r="E1844">
        <v>5.3773199999999997E-3</v>
      </c>
      <c r="F1844">
        <v>2.08201875E-2</v>
      </c>
    </row>
    <row r="1845" spans="1:6" x14ac:dyDescent="0.2">
      <c r="A1845" t="s">
        <v>2918</v>
      </c>
      <c r="B1845" t="s">
        <v>907</v>
      </c>
      <c r="C1845" t="s">
        <v>908</v>
      </c>
      <c r="D1845">
        <v>1.1009249599999899E-2</v>
      </c>
      <c r="E1845">
        <v>5.3773199999999997E-3</v>
      </c>
      <c r="F1845">
        <v>2.08201875E-2</v>
      </c>
    </row>
    <row r="1846" spans="1:6" x14ac:dyDescent="0.2">
      <c r="A1846" t="s">
        <v>2919</v>
      </c>
      <c r="B1846" t="s">
        <v>706</v>
      </c>
      <c r="C1846" t="s">
        <v>707</v>
      </c>
      <c r="D1846">
        <v>1.10162523999999E-2</v>
      </c>
      <c r="E1846">
        <v>5.2397625E-3</v>
      </c>
      <c r="F1846">
        <v>2.06195424999999E-2</v>
      </c>
    </row>
    <row r="1847" spans="1:6" x14ac:dyDescent="0.2">
      <c r="A1847" t="s">
        <v>2920</v>
      </c>
      <c r="B1847" t="s">
        <v>706</v>
      </c>
      <c r="C1847" t="s">
        <v>707</v>
      </c>
      <c r="D1847">
        <v>1.10162523999999E-2</v>
      </c>
      <c r="E1847">
        <v>5.2397625E-3</v>
      </c>
      <c r="F1847">
        <v>2.06195424999999E-2</v>
      </c>
    </row>
    <row r="1848" spans="1:6" x14ac:dyDescent="0.2">
      <c r="A1848" t="s">
        <v>2921</v>
      </c>
      <c r="B1848" t="s">
        <v>698</v>
      </c>
      <c r="D1848">
        <v>0</v>
      </c>
      <c r="E1848">
        <v>0</v>
      </c>
      <c r="F1848">
        <v>0</v>
      </c>
    </row>
    <row r="1849" spans="1:6" x14ac:dyDescent="0.2">
      <c r="A1849" t="s">
        <v>2922</v>
      </c>
      <c r="B1849" t="s">
        <v>698</v>
      </c>
      <c r="D1849">
        <v>0</v>
      </c>
      <c r="E1849">
        <v>0</v>
      </c>
      <c r="F1849">
        <v>0</v>
      </c>
    </row>
    <row r="1850" spans="1:6" x14ac:dyDescent="0.2">
      <c r="A1850" t="s">
        <v>2923</v>
      </c>
      <c r="B1850" t="s">
        <v>2924</v>
      </c>
      <c r="C1850" t="s">
        <v>648</v>
      </c>
      <c r="D1850">
        <v>1.8484901415344899E-2</v>
      </c>
      <c r="E1850">
        <v>8.5920995887802509E-3</v>
      </c>
      <c r="F1850">
        <v>3.4904851056760597E-2</v>
      </c>
    </row>
    <row r="1851" spans="1:6" x14ac:dyDescent="0.2">
      <c r="A1851" t="s">
        <v>2925</v>
      </c>
      <c r="B1851" t="s">
        <v>2926</v>
      </c>
      <c r="C1851" t="s">
        <v>648</v>
      </c>
      <c r="D1851">
        <v>1.8477910314486E-2</v>
      </c>
      <c r="E1851">
        <v>8.6849664162132502E-3</v>
      </c>
      <c r="F1851">
        <v>3.5658509762799898E-2</v>
      </c>
    </row>
    <row r="1852" spans="1:6" x14ac:dyDescent="0.2">
      <c r="A1852" t="s">
        <v>2927</v>
      </c>
      <c r="B1852" t="s">
        <v>2928</v>
      </c>
      <c r="C1852" t="s">
        <v>648</v>
      </c>
      <c r="D1852">
        <v>4.6039753902256897E-2</v>
      </c>
      <c r="E1852">
        <v>2.2759026390854399E-2</v>
      </c>
      <c r="F1852">
        <v>8.3293454922348797E-2</v>
      </c>
    </row>
    <row r="1853" spans="1:6" x14ac:dyDescent="0.2">
      <c r="A1853" t="s">
        <v>2929</v>
      </c>
      <c r="B1853" t="s">
        <v>2930</v>
      </c>
      <c r="C1853" t="s">
        <v>648</v>
      </c>
      <c r="D1853">
        <v>3.54606599248787E-2</v>
      </c>
      <c r="E1853">
        <v>1.75680772933118E-2</v>
      </c>
      <c r="F1853">
        <v>6.4497959383915907E-2</v>
      </c>
    </row>
    <row r="1854" spans="1:6" x14ac:dyDescent="0.2">
      <c r="A1854" t="s">
        <v>2931</v>
      </c>
      <c r="B1854" t="s">
        <v>2932</v>
      </c>
      <c r="C1854" t="s">
        <v>648</v>
      </c>
      <c r="D1854">
        <v>2.8136733250891902E-2</v>
      </c>
      <c r="E1854">
        <v>1.4323834519690999E-2</v>
      </c>
      <c r="F1854">
        <v>4.9774762082948398E-2</v>
      </c>
    </row>
    <row r="1855" spans="1:6" x14ac:dyDescent="0.2">
      <c r="A1855" t="s">
        <v>2933</v>
      </c>
      <c r="B1855" t="s">
        <v>2932</v>
      </c>
      <c r="C1855" t="s">
        <v>648</v>
      </c>
      <c r="D1855">
        <v>2.8136733250891902E-2</v>
      </c>
      <c r="E1855">
        <v>1.4323834519690999E-2</v>
      </c>
      <c r="F1855">
        <v>4.9774762082948398E-2</v>
      </c>
    </row>
    <row r="1856" spans="1:6" x14ac:dyDescent="0.2">
      <c r="A1856" t="s">
        <v>2934</v>
      </c>
      <c r="B1856" t="s">
        <v>2935</v>
      </c>
      <c r="C1856" t="s">
        <v>648</v>
      </c>
      <c r="D1856">
        <v>2.9263345666900399E-2</v>
      </c>
      <c r="E1856">
        <v>1.39886332861212E-2</v>
      </c>
      <c r="F1856">
        <v>5.5303879522825498E-2</v>
      </c>
    </row>
    <row r="1857" spans="1:6" x14ac:dyDescent="0.2">
      <c r="A1857" t="s">
        <v>2936</v>
      </c>
      <c r="B1857" t="s">
        <v>2935</v>
      </c>
      <c r="C1857" t="s">
        <v>648</v>
      </c>
      <c r="D1857">
        <v>2.9263345666900399E-2</v>
      </c>
      <c r="E1857">
        <v>1.39886332861212E-2</v>
      </c>
      <c r="F1857">
        <v>5.5303879522825498E-2</v>
      </c>
    </row>
    <row r="1858" spans="1:6" x14ac:dyDescent="0.2">
      <c r="A1858" t="s">
        <v>2937</v>
      </c>
      <c r="B1858" t="s">
        <v>2938</v>
      </c>
      <c r="C1858" t="s">
        <v>648</v>
      </c>
      <c r="D1858">
        <v>2.8143833473810401E-2</v>
      </c>
      <c r="E1858">
        <v>1.4246256245695E-2</v>
      </c>
      <c r="F1858">
        <v>4.98313722598238E-2</v>
      </c>
    </row>
    <row r="1859" spans="1:6" x14ac:dyDescent="0.2">
      <c r="A1859" t="s">
        <v>2939</v>
      </c>
      <c r="B1859" t="s">
        <v>2938</v>
      </c>
      <c r="C1859" t="s">
        <v>648</v>
      </c>
      <c r="D1859">
        <v>2.8143833473810401E-2</v>
      </c>
      <c r="E1859">
        <v>1.4246256245695E-2</v>
      </c>
      <c r="F1859">
        <v>4.98313722598238E-2</v>
      </c>
    </row>
    <row r="1860" spans="1:6" x14ac:dyDescent="0.2">
      <c r="A1860" t="s">
        <v>2940</v>
      </c>
      <c r="B1860" t="s">
        <v>2941</v>
      </c>
      <c r="C1860" t="s">
        <v>648</v>
      </c>
      <c r="D1860">
        <v>3.8807808346663301E-2</v>
      </c>
      <c r="E1860">
        <v>1.95138918799658E-2</v>
      </c>
      <c r="F1860">
        <v>6.9503077377988401E-2</v>
      </c>
    </row>
    <row r="1861" spans="1:6" x14ac:dyDescent="0.2">
      <c r="A1861" t="s">
        <v>2942</v>
      </c>
      <c r="B1861" t="s">
        <v>2941</v>
      </c>
      <c r="C1861" t="s">
        <v>648</v>
      </c>
      <c r="D1861">
        <v>3.8807808346663301E-2</v>
      </c>
      <c r="E1861">
        <v>1.95138918799658E-2</v>
      </c>
      <c r="F1861">
        <v>6.9503077377988401E-2</v>
      </c>
    </row>
    <row r="1862" spans="1:6" x14ac:dyDescent="0.2">
      <c r="A1862" t="s">
        <v>2943</v>
      </c>
      <c r="B1862" t="s">
        <v>2944</v>
      </c>
      <c r="C1862" t="s">
        <v>648</v>
      </c>
      <c r="D1862">
        <v>2.4756133674714301E-2</v>
      </c>
      <c r="E1862">
        <v>1.20451643158809E-2</v>
      </c>
      <c r="F1862">
        <v>4.4875825411751398E-2</v>
      </c>
    </row>
    <row r="1863" spans="1:6" x14ac:dyDescent="0.2">
      <c r="A1863" t="s">
        <v>2945</v>
      </c>
      <c r="B1863" t="s">
        <v>2946</v>
      </c>
      <c r="C1863" t="s">
        <v>648</v>
      </c>
      <c r="D1863">
        <v>2.1888704112334699E-2</v>
      </c>
      <c r="E1863">
        <v>1.05938880502749E-2</v>
      </c>
      <c r="F1863">
        <v>4.0695593612373897E-2</v>
      </c>
    </row>
    <row r="1864" spans="1:6" x14ac:dyDescent="0.2">
      <c r="A1864" t="s">
        <v>2947</v>
      </c>
      <c r="B1864" t="s">
        <v>2946</v>
      </c>
      <c r="C1864" t="s">
        <v>648</v>
      </c>
      <c r="D1864">
        <v>2.1888704112334699E-2</v>
      </c>
      <c r="E1864">
        <v>1.05938880502749E-2</v>
      </c>
      <c r="F1864">
        <v>4.0695593612373897E-2</v>
      </c>
    </row>
    <row r="1865" spans="1:6" x14ac:dyDescent="0.2">
      <c r="A1865" t="s">
        <v>2948</v>
      </c>
      <c r="B1865" t="s">
        <v>2946</v>
      </c>
      <c r="C1865" t="s">
        <v>648</v>
      </c>
      <c r="D1865">
        <v>2.1888704112334699E-2</v>
      </c>
      <c r="E1865">
        <v>1.05938880502749E-2</v>
      </c>
      <c r="F1865">
        <v>4.0695593612373897E-2</v>
      </c>
    </row>
    <row r="1866" spans="1:6" x14ac:dyDescent="0.2">
      <c r="A1866" t="s">
        <v>2949</v>
      </c>
      <c r="B1866" t="s">
        <v>2950</v>
      </c>
      <c r="C1866" t="s">
        <v>648</v>
      </c>
      <c r="D1866">
        <v>0.148591155457033</v>
      </c>
      <c r="E1866">
        <v>0.101476397143359</v>
      </c>
      <c r="F1866">
        <v>0.205756231303791</v>
      </c>
    </row>
    <row r="1867" spans="1:6" x14ac:dyDescent="0.2">
      <c r="A1867" t="s">
        <v>2951</v>
      </c>
      <c r="B1867" t="s">
        <v>2952</v>
      </c>
      <c r="C1867" t="s">
        <v>648</v>
      </c>
      <c r="D1867">
        <v>0.154005382694268</v>
      </c>
      <c r="E1867">
        <v>0.105188569644943</v>
      </c>
      <c r="F1867">
        <v>0.21368949813923499</v>
      </c>
    </row>
    <row r="1868" spans="1:6" x14ac:dyDescent="0.2">
      <c r="A1868" t="s">
        <v>2953</v>
      </c>
      <c r="B1868" t="s">
        <v>2954</v>
      </c>
      <c r="C1868" t="s">
        <v>648</v>
      </c>
      <c r="D1868">
        <v>0.15792260134146999</v>
      </c>
      <c r="E1868">
        <v>0.108002855634663</v>
      </c>
      <c r="F1868">
        <v>0.21778348370275599</v>
      </c>
    </row>
    <row r="1869" spans="1:6" x14ac:dyDescent="0.2">
      <c r="A1869" t="s">
        <v>2955</v>
      </c>
      <c r="B1869" t="s">
        <v>2954</v>
      </c>
      <c r="C1869" t="s">
        <v>648</v>
      </c>
      <c r="D1869">
        <v>0.15792260134146999</v>
      </c>
      <c r="E1869">
        <v>0.108002855634663</v>
      </c>
      <c r="F1869">
        <v>0.21778348370275599</v>
      </c>
    </row>
    <row r="1870" spans="1:6" x14ac:dyDescent="0.2">
      <c r="A1870" t="s">
        <v>2956</v>
      </c>
      <c r="B1870" t="s">
        <v>2957</v>
      </c>
      <c r="C1870" t="s">
        <v>648</v>
      </c>
      <c r="D1870">
        <v>0.163273136555387</v>
      </c>
      <c r="E1870">
        <v>0.111748871548128</v>
      </c>
      <c r="F1870">
        <v>0.22499965297971999</v>
      </c>
    </row>
    <row r="1871" spans="1:6" x14ac:dyDescent="0.2">
      <c r="A1871" t="s">
        <v>2958</v>
      </c>
      <c r="B1871" t="s">
        <v>2959</v>
      </c>
      <c r="C1871" t="s">
        <v>648</v>
      </c>
      <c r="D1871">
        <v>0.17243355709298</v>
      </c>
      <c r="E1871">
        <v>0.117962521540225</v>
      </c>
      <c r="F1871">
        <v>0.23890134002306801</v>
      </c>
    </row>
    <row r="1872" spans="1:6" x14ac:dyDescent="0.2">
      <c r="A1872" t="s">
        <v>2960</v>
      </c>
      <c r="B1872" t="s">
        <v>940</v>
      </c>
      <c r="C1872" t="s">
        <v>941</v>
      </c>
      <c r="D1872">
        <v>1.9316720799999899E-2</v>
      </c>
      <c r="E1872">
        <v>1.06353925E-2</v>
      </c>
      <c r="F1872">
        <v>3.2722879999999899E-2</v>
      </c>
    </row>
    <row r="1873" spans="1:6" x14ac:dyDescent="0.2">
      <c r="A1873" t="s">
        <v>2961</v>
      </c>
      <c r="B1873" t="s">
        <v>1040</v>
      </c>
      <c r="C1873" t="s">
        <v>1041</v>
      </c>
      <c r="D1873">
        <v>4.25405801999999E-2</v>
      </c>
      <c r="E1873">
        <v>2.5978245000000001E-2</v>
      </c>
      <c r="F1873">
        <v>6.4453929999999895E-2</v>
      </c>
    </row>
    <row r="1874" spans="1:6" x14ac:dyDescent="0.2">
      <c r="A1874" t="s">
        <v>2962</v>
      </c>
      <c r="B1874" t="s">
        <v>907</v>
      </c>
      <c r="C1874" t="s">
        <v>908</v>
      </c>
      <c r="D1874">
        <v>1.1009249599999899E-2</v>
      </c>
      <c r="E1874">
        <v>5.3773199999999997E-3</v>
      </c>
      <c r="F1874">
        <v>2.08201875E-2</v>
      </c>
    </row>
    <row r="1875" spans="1:6" x14ac:dyDescent="0.2">
      <c r="A1875" t="s">
        <v>2963</v>
      </c>
      <c r="B1875" t="s">
        <v>706</v>
      </c>
      <c r="C1875" t="s">
        <v>707</v>
      </c>
      <c r="D1875">
        <v>1.10162523999999E-2</v>
      </c>
      <c r="E1875">
        <v>5.2397625E-3</v>
      </c>
      <c r="F1875">
        <v>2.06195424999999E-2</v>
      </c>
    </row>
    <row r="1876" spans="1:6" x14ac:dyDescent="0.2">
      <c r="A1876" t="s">
        <v>2964</v>
      </c>
      <c r="B1876" t="s">
        <v>698</v>
      </c>
      <c r="D1876">
        <v>0</v>
      </c>
      <c r="E1876">
        <v>0</v>
      </c>
      <c r="F1876">
        <v>0</v>
      </c>
    </row>
    <row r="1877" spans="1:6" x14ac:dyDescent="0.2">
      <c r="A1877" t="s">
        <v>2965</v>
      </c>
      <c r="B1877" t="s">
        <v>2966</v>
      </c>
      <c r="C1877" t="s">
        <v>648</v>
      </c>
      <c r="D1877">
        <v>3.7209848480169602E-2</v>
      </c>
      <c r="E1877">
        <v>2.04662158557175E-2</v>
      </c>
      <c r="F1877">
        <v>6.1606793495774803E-2</v>
      </c>
    </row>
    <row r="1878" spans="1:6" x14ac:dyDescent="0.2">
      <c r="A1878" t="s">
        <v>2967</v>
      </c>
      <c r="B1878" t="s">
        <v>2968</v>
      </c>
      <c r="C1878" t="s">
        <v>648</v>
      </c>
      <c r="D1878">
        <v>3.00917884439292E-2</v>
      </c>
      <c r="E1878">
        <v>1.5857545321644899E-2</v>
      </c>
      <c r="F1878">
        <v>5.2720368476310099E-2</v>
      </c>
    </row>
    <row r="1879" spans="1:6" x14ac:dyDescent="0.2">
      <c r="A1879" t="s">
        <v>2969</v>
      </c>
      <c r="B1879" t="s">
        <v>2970</v>
      </c>
      <c r="C1879" t="s">
        <v>648</v>
      </c>
      <c r="D1879">
        <v>5.3050500765363003E-2</v>
      </c>
      <c r="E1879">
        <v>3.1823912786524897E-2</v>
      </c>
      <c r="F1879">
        <v>8.2531572722242597E-2</v>
      </c>
    </row>
    <row r="1880" spans="1:6" x14ac:dyDescent="0.2">
      <c r="A1880" t="s">
        <v>2971</v>
      </c>
      <c r="B1880" t="s">
        <v>2972</v>
      </c>
      <c r="C1880" t="s">
        <v>648</v>
      </c>
      <c r="D1880">
        <v>4.52857361547667E-2</v>
      </c>
      <c r="E1880">
        <v>2.58497182551546E-2</v>
      </c>
      <c r="F1880">
        <v>7.3149785701498202E-2</v>
      </c>
    </row>
    <row r="1881" spans="1:6" x14ac:dyDescent="0.2">
      <c r="A1881" t="s">
        <v>2973</v>
      </c>
      <c r="B1881" t="s">
        <v>2974</v>
      </c>
      <c r="C1881" t="s">
        <v>648</v>
      </c>
      <c r="D1881">
        <v>6.7870201931875401E-2</v>
      </c>
      <c r="E1881">
        <v>4.1050799938620902E-2</v>
      </c>
      <c r="F1881">
        <v>0.102433429219145</v>
      </c>
    </row>
    <row r="1882" spans="1:6" x14ac:dyDescent="0.2">
      <c r="A1882" t="s">
        <v>2975</v>
      </c>
      <c r="B1882" t="s">
        <v>2976</v>
      </c>
      <c r="C1882" t="s">
        <v>648</v>
      </c>
      <c r="D1882">
        <v>6.0988329580381799E-2</v>
      </c>
      <c r="E1882">
        <v>3.6900445555910003E-2</v>
      </c>
      <c r="F1882">
        <v>9.3060970575609303E-2</v>
      </c>
    </row>
    <row r="1883" spans="1:6" x14ac:dyDescent="0.2">
      <c r="A1883" t="s">
        <v>2977</v>
      </c>
      <c r="B1883" t="s">
        <v>2978</v>
      </c>
      <c r="C1883" t="s">
        <v>648</v>
      </c>
      <c r="D1883">
        <v>5.5751152724285602E-2</v>
      </c>
      <c r="E1883">
        <v>3.0759416515388199E-2</v>
      </c>
      <c r="F1883">
        <v>9.2204692608138697E-2</v>
      </c>
    </row>
    <row r="1884" spans="1:6" x14ac:dyDescent="0.2">
      <c r="A1884" t="s">
        <v>2979</v>
      </c>
      <c r="B1884" t="s">
        <v>2978</v>
      </c>
      <c r="C1884" t="s">
        <v>648</v>
      </c>
      <c r="D1884">
        <v>5.5751152724285602E-2</v>
      </c>
      <c r="E1884">
        <v>3.0759416515388199E-2</v>
      </c>
      <c r="F1884">
        <v>9.2204692608138697E-2</v>
      </c>
    </row>
    <row r="1885" spans="1:6" x14ac:dyDescent="0.2">
      <c r="A1885" t="s">
        <v>2980</v>
      </c>
      <c r="B1885" t="s">
        <v>2981</v>
      </c>
      <c r="C1885" t="s">
        <v>648</v>
      </c>
      <c r="D1885">
        <v>7.8078377739130705E-2</v>
      </c>
      <c r="E1885">
        <v>4.6134944790339E-2</v>
      </c>
      <c r="F1885">
        <v>0.12007477021843201</v>
      </c>
    </row>
    <row r="1886" spans="1:6" x14ac:dyDescent="0.2">
      <c r="A1886" t="s">
        <v>2982</v>
      </c>
      <c r="B1886" t="s">
        <v>2983</v>
      </c>
      <c r="C1886" t="s">
        <v>648</v>
      </c>
      <c r="D1886">
        <v>8.5795476160622303E-2</v>
      </c>
      <c r="E1886">
        <v>5.1550332344108399E-2</v>
      </c>
      <c r="F1886">
        <v>0.130846501232806</v>
      </c>
    </row>
    <row r="1887" spans="1:6" x14ac:dyDescent="0.2">
      <c r="A1887" t="s">
        <v>2984</v>
      </c>
      <c r="B1887" t="s">
        <v>2985</v>
      </c>
      <c r="C1887" t="s">
        <v>648</v>
      </c>
      <c r="D1887">
        <v>9.5787625310660401E-2</v>
      </c>
      <c r="E1887">
        <v>5.7077332496966303E-2</v>
      </c>
      <c r="F1887">
        <v>0.14762313690199699</v>
      </c>
    </row>
    <row r="1888" spans="1:6" x14ac:dyDescent="0.2">
      <c r="A1888" t="s">
        <v>2986</v>
      </c>
      <c r="B1888" t="s">
        <v>940</v>
      </c>
      <c r="C1888" t="s">
        <v>941</v>
      </c>
      <c r="D1888">
        <v>1.9316720799999899E-2</v>
      </c>
      <c r="E1888">
        <v>1.06353925E-2</v>
      </c>
      <c r="F1888">
        <v>3.2722879999999899E-2</v>
      </c>
    </row>
    <row r="1889" spans="1:6" x14ac:dyDescent="0.2">
      <c r="A1889" t="s">
        <v>2987</v>
      </c>
      <c r="B1889" t="s">
        <v>907</v>
      </c>
      <c r="C1889" t="s">
        <v>908</v>
      </c>
      <c r="D1889">
        <v>1.1009249599999899E-2</v>
      </c>
      <c r="E1889">
        <v>5.3773199999999997E-3</v>
      </c>
      <c r="F1889">
        <v>2.08201875E-2</v>
      </c>
    </row>
    <row r="1890" spans="1:6" x14ac:dyDescent="0.2">
      <c r="A1890" t="s">
        <v>2988</v>
      </c>
      <c r="B1890" t="s">
        <v>742</v>
      </c>
      <c r="C1890" t="s">
        <v>743</v>
      </c>
      <c r="D1890">
        <v>0.114339967</v>
      </c>
      <c r="E1890">
        <v>7.7947084999999999E-2</v>
      </c>
      <c r="F1890">
        <v>0.15867681249999999</v>
      </c>
    </row>
    <row r="1891" spans="1:6" x14ac:dyDescent="0.2">
      <c r="A1891" t="s">
        <v>2989</v>
      </c>
      <c r="B1891" t="s">
        <v>698</v>
      </c>
      <c r="D1891">
        <v>0</v>
      </c>
      <c r="E1891">
        <v>0</v>
      </c>
      <c r="F1891">
        <v>0</v>
      </c>
    </row>
    <row r="1892" spans="1:6" x14ac:dyDescent="0.2">
      <c r="A1892" t="s">
        <v>2990</v>
      </c>
      <c r="B1892" t="s">
        <v>2968</v>
      </c>
      <c r="C1892" t="s">
        <v>648</v>
      </c>
      <c r="D1892">
        <v>3.00917884439292E-2</v>
      </c>
      <c r="E1892">
        <v>1.5857545321644899E-2</v>
      </c>
      <c r="F1892">
        <v>5.2720368476310099E-2</v>
      </c>
    </row>
    <row r="1893" spans="1:6" x14ac:dyDescent="0.2">
      <c r="A1893" t="s">
        <v>2991</v>
      </c>
      <c r="B1893" t="s">
        <v>2968</v>
      </c>
      <c r="C1893" t="s">
        <v>648</v>
      </c>
      <c r="D1893">
        <v>3.00917884439292E-2</v>
      </c>
      <c r="E1893">
        <v>1.5857545321644899E-2</v>
      </c>
      <c r="F1893">
        <v>5.2720368476310099E-2</v>
      </c>
    </row>
    <row r="1894" spans="1:6" x14ac:dyDescent="0.2">
      <c r="A1894" t="s">
        <v>2992</v>
      </c>
      <c r="B1894" t="s">
        <v>2993</v>
      </c>
      <c r="C1894" t="s">
        <v>648</v>
      </c>
      <c r="D1894">
        <v>0.140897072060752</v>
      </c>
      <c r="E1894">
        <v>9.62937995895735E-2</v>
      </c>
      <c r="F1894">
        <v>0.19796282558963799</v>
      </c>
    </row>
    <row r="1895" spans="1:6" x14ac:dyDescent="0.2">
      <c r="A1895" t="s">
        <v>2994</v>
      </c>
      <c r="B1895" t="s">
        <v>2995</v>
      </c>
      <c r="C1895" t="s">
        <v>648</v>
      </c>
      <c r="D1895">
        <v>0.124057408275088</v>
      </c>
      <c r="E1895">
        <v>8.4962164337967105E-2</v>
      </c>
      <c r="F1895">
        <v>0.17117638774601501</v>
      </c>
    </row>
    <row r="1896" spans="1:6" x14ac:dyDescent="0.2">
      <c r="A1896" t="s">
        <v>2996</v>
      </c>
      <c r="B1896" t="s">
        <v>907</v>
      </c>
      <c r="C1896" t="s">
        <v>908</v>
      </c>
      <c r="D1896">
        <v>1.1009249599999899E-2</v>
      </c>
      <c r="E1896">
        <v>5.3773199999999997E-3</v>
      </c>
      <c r="F1896">
        <v>2.08201875E-2</v>
      </c>
    </row>
    <row r="1897" spans="1:6" x14ac:dyDescent="0.2">
      <c r="A1897" t="s">
        <v>2997</v>
      </c>
      <c r="B1897" t="s">
        <v>742</v>
      </c>
      <c r="C1897" t="s">
        <v>743</v>
      </c>
      <c r="D1897">
        <v>0.114339967</v>
      </c>
      <c r="E1897">
        <v>7.7947084999999999E-2</v>
      </c>
      <c r="F1897">
        <v>0.15867681249999999</v>
      </c>
    </row>
    <row r="1898" spans="1:6" x14ac:dyDescent="0.2">
      <c r="A1898" t="s">
        <v>2998</v>
      </c>
      <c r="B1898" t="s">
        <v>706</v>
      </c>
      <c r="C1898" t="s">
        <v>707</v>
      </c>
      <c r="D1898">
        <v>1.10162523999999E-2</v>
      </c>
      <c r="E1898">
        <v>5.2397625E-3</v>
      </c>
      <c r="F1898">
        <v>2.06195424999999E-2</v>
      </c>
    </row>
    <row r="1899" spans="1:6" x14ac:dyDescent="0.2">
      <c r="A1899" t="s">
        <v>2999</v>
      </c>
      <c r="B1899" t="s">
        <v>698</v>
      </c>
      <c r="D1899">
        <v>0</v>
      </c>
      <c r="E1899">
        <v>0</v>
      </c>
      <c r="F1899">
        <v>0</v>
      </c>
    </row>
    <row r="1900" spans="1:6" x14ac:dyDescent="0.2">
      <c r="A1900" t="s">
        <v>3000</v>
      </c>
      <c r="B1900" t="s">
        <v>3001</v>
      </c>
      <c r="C1900" t="s">
        <v>648</v>
      </c>
      <c r="D1900">
        <v>0.124064295017261</v>
      </c>
      <c r="E1900">
        <v>8.4691257950713597E-2</v>
      </c>
      <c r="F1900">
        <v>0.172262598155771</v>
      </c>
    </row>
    <row r="1901" spans="1:6" x14ac:dyDescent="0.2">
      <c r="A1901" t="s">
        <v>3002</v>
      </c>
      <c r="B1901" t="s">
        <v>2946</v>
      </c>
      <c r="C1901" t="s">
        <v>648</v>
      </c>
      <c r="D1901">
        <v>2.1888704112334699E-2</v>
      </c>
      <c r="E1901">
        <v>1.05938880502749E-2</v>
      </c>
      <c r="F1901">
        <v>4.0695593612373897E-2</v>
      </c>
    </row>
    <row r="1902" spans="1:6" x14ac:dyDescent="0.2">
      <c r="A1902" t="s">
        <v>3003</v>
      </c>
      <c r="B1902" t="s">
        <v>3004</v>
      </c>
      <c r="C1902" t="s">
        <v>648</v>
      </c>
      <c r="D1902">
        <v>0.20595999608454599</v>
      </c>
      <c r="E1902">
        <v>0.142701020508159</v>
      </c>
      <c r="F1902">
        <v>0.28313895708152897</v>
      </c>
    </row>
    <row r="1903" spans="1:6" x14ac:dyDescent="0.2">
      <c r="A1903" t="s">
        <v>3005</v>
      </c>
      <c r="B1903" t="s">
        <v>2995</v>
      </c>
      <c r="C1903" t="s">
        <v>648</v>
      </c>
      <c r="D1903">
        <v>0.124057408275088</v>
      </c>
      <c r="E1903">
        <v>8.4962164337967105E-2</v>
      </c>
      <c r="F1903">
        <v>0.17117638774601501</v>
      </c>
    </row>
    <row r="1904" spans="1:6" x14ac:dyDescent="0.2">
      <c r="A1904" t="s">
        <v>3006</v>
      </c>
      <c r="B1904" t="s">
        <v>907</v>
      </c>
      <c r="C1904" t="s">
        <v>908</v>
      </c>
      <c r="D1904">
        <v>1.1009249599999899E-2</v>
      </c>
      <c r="E1904">
        <v>5.3773199999999997E-3</v>
      </c>
      <c r="F1904">
        <v>2.08201875E-2</v>
      </c>
    </row>
    <row r="1905" spans="1:6" x14ac:dyDescent="0.2">
      <c r="A1905" t="s">
        <v>3007</v>
      </c>
      <c r="B1905" t="s">
        <v>742</v>
      </c>
      <c r="C1905" t="s">
        <v>743</v>
      </c>
      <c r="D1905">
        <v>0.114339967</v>
      </c>
      <c r="E1905">
        <v>7.7947084999999999E-2</v>
      </c>
      <c r="F1905">
        <v>0.15867681249999999</v>
      </c>
    </row>
    <row r="1906" spans="1:6" x14ac:dyDescent="0.2">
      <c r="A1906" t="s">
        <v>3008</v>
      </c>
      <c r="B1906" t="s">
        <v>698</v>
      </c>
      <c r="D1906">
        <v>0</v>
      </c>
      <c r="E1906">
        <v>0</v>
      </c>
      <c r="F1906">
        <v>0</v>
      </c>
    </row>
    <row r="1907" spans="1:6" x14ac:dyDescent="0.2">
      <c r="A1907" t="s">
        <v>3009</v>
      </c>
      <c r="B1907" t="s">
        <v>2995</v>
      </c>
      <c r="C1907" t="s">
        <v>648</v>
      </c>
      <c r="D1907">
        <v>0.124057408275088</v>
      </c>
      <c r="E1907">
        <v>8.4962164337967105E-2</v>
      </c>
      <c r="F1907">
        <v>0.17117638774601501</v>
      </c>
    </row>
    <row r="1908" spans="1:6" x14ac:dyDescent="0.2">
      <c r="A1908" t="s">
        <v>3010</v>
      </c>
      <c r="B1908" t="s">
        <v>764</v>
      </c>
    </row>
    <row r="1909" spans="1:6" x14ac:dyDescent="0.2">
      <c r="A1909" t="s">
        <v>3011</v>
      </c>
      <c r="B1909" t="s">
        <v>786</v>
      </c>
      <c r="C1909" t="s">
        <v>787</v>
      </c>
      <c r="D1909">
        <v>9.5578865999999991E-3</v>
      </c>
      <c r="E1909">
        <v>4.1924800000000002E-3</v>
      </c>
      <c r="F1909">
        <v>1.8805200000000001E-2</v>
      </c>
    </row>
    <row r="1910" spans="1:6" x14ac:dyDescent="0.2">
      <c r="A1910" t="s">
        <v>3012</v>
      </c>
      <c r="B1910" t="s">
        <v>789</v>
      </c>
      <c r="C1910" t="s">
        <v>790</v>
      </c>
      <c r="D1910">
        <v>2.65751711999999E-2</v>
      </c>
      <c r="E1910">
        <v>1.52951175E-2</v>
      </c>
      <c r="F1910">
        <v>4.22289125E-2</v>
      </c>
    </row>
    <row r="1911" spans="1:6" x14ac:dyDescent="0.2">
      <c r="A1911" t="s">
        <v>3013</v>
      </c>
      <c r="B1911" t="s">
        <v>1045</v>
      </c>
      <c r="C1911" t="s">
        <v>1046</v>
      </c>
      <c r="D1911">
        <v>0.15839743489999999</v>
      </c>
      <c r="E1911">
        <v>0.1047161475</v>
      </c>
      <c r="F1911">
        <v>0.226632689999999</v>
      </c>
    </row>
    <row r="1912" spans="1:6" x14ac:dyDescent="0.2">
      <c r="A1912" t="s">
        <v>3014</v>
      </c>
      <c r="B1912" t="s">
        <v>1048</v>
      </c>
      <c r="C1912" t="s">
        <v>1049</v>
      </c>
      <c r="D1912">
        <v>0.2039397084</v>
      </c>
      <c r="E1912">
        <v>0.13448814749999999</v>
      </c>
      <c r="F1912">
        <v>0.28766184750000001</v>
      </c>
    </row>
    <row r="1913" spans="1:6" x14ac:dyDescent="0.2">
      <c r="A1913" t="s">
        <v>3015</v>
      </c>
      <c r="B1913" t="s">
        <v>1051</v>
      </c>
      <c r="C1913" t="s">
        <v>1052</v>
      </c>
      <c r="D1913">
        <v>0.21483467019999899</v>
      </c>
      <c r="E1913">
        <v>0.14405489499999999</v>
      </c>
      <c r="F1913">
        <v>0.30661874249999999</v>
      </c>
    </row>
    <row r="1914" spans="1:6" x14ac:dyDescent="0.2">
      <c r="A1914" t="s">
        <v>3016</v>
      </c>
      <c r="B1914" t="s">
        <v>792</v>
      </c>
      <c r="C1914" t="s">
        <v>793</v>
      </c>
      <c r="D1914">
        <v>2.1431429099999899E-2</v>
      </c>
      <c r="E1914">
        <v>1.1755784999999999E-2</v>
      </c>
      <c r="F1914">
        <v>3.6158027499999898E-2</v>
      </c>
    </row>
    <row r="1915" spans="1:6" x14ac:dyDescent="0.2">
      <c r="A1915" t="s">
        <v>3017</v>
      </c>
      <c r="B1915" t="s">
        <v>795</v>
      </c>
      <c r="C1915" t="s">
        <v>796</v>
      </c>
      <c r="D1915">
        <v>7.3963035999999899E-2</v>
      </c>
      <c r="E1915">
        <v>4.8560812499999897E-2</v>
      </c>
      <c r="F1915">
        <v>0.1065795325</v>
      </c>
    </row>
    <row r="1916" spans="1:6" x14ac:dyDescent="0.2">
      <c r="A1916" t="s">
        <v>3018</v>
      </c>
      <c r="B1916" t="s">
        <v>1056</v>
      </c>
      <c r="C1916" t="s">
        <v>1057</v>
      </c>
      <c r="D1916">
        <v>0.26086708250000001</v>
      </c>
      <c r="E1916">
        <v>0.17492123749999999</v>
      </c>
      <c r="F1916">
        <v>0.3600558425</v>
      </c>
    </row>
    <row r="1917" spans="1:6" x14ac:dyDescent="0.2">
      <c r="A1917" t="s">
        <v>3019</v>
      </c>
      <c r="B1917" t="s">
        <v>1059</v>
      </c>
      <c r="C1917" t="s">
        <v>1060</v>
      </c>
      <c r="D1917">
        <v>0.27732069809999998</v>
      </c>
      <c r="E1917">
        <v>0.18206008500000001</v>
      </c>
      <c r="F1917">
        <v>0.38717259249999902</v>
      </c>
    </row>
    <row r="1918" spans="1:6" x14ac:dyDescent="0.2">
      <c r="A1918" t="s">
        <v>3020</v>
      </c>
      <c r="B1918" t="s">
        <v>1062</v>
      </c>
      <c r="C1918" t="s">
        <v>1063</v>
      </c>
      <c r="D1918">
        <v>0.31580135729999997</v>
      </c>
      <c r="E1918">
        <v>0.2122617</v>
      </c>
      <c r="F1918">
        <v>0.43527153749999897</v>
      </c>
    </row>
    <row r="1919" spans="1:6" x14ac:dyDescent="0.2">
      <c r="A1919" t="s">
        <v>3021</v>
      </c>
      <c r="B1919" t="s">
        <v>1078</v>
      </c>
      <c r="C1919" t="s">
        <v>1079</v>
      </c>
      <c r="D1919">
        <v>9.2486303049999996E-2</v>
      </c>
      <c r="E1919">
        <v>6.3713094999999997E-2</v>
      </c>
      <c r="F1919">
        <v>0.12911613750000001</v>
      </c>
    </row>
    <row r="1920" spans="1:6" x14ac:dyDescent="0.2">
      <c r="A1920" t="s">
        <v>3022</v>
      </c>
      <c r="B1920" t="s">
        <v>1081</v>
      </c>
      <c r="C1920" t="s">
        <v>1079</v>
      </c>
      <c r="D1920">
        <v>0.16741505925</v>
      </c>
      <c r="E1920">
        <v>0.11486844874999901</v>
      </c>
      <c r="F1920">
        <v>0.23069741124999901</v>
      </c>
    </row>
    <row r="1921" spans="1:6" x14ac:dyDescent="0.2">
      <c r="A1921" t="s">
        <v>3023</v>
      </c>
      <c r="B1921" t="s">
        <v>714</v>
      </c>
      <c r="C1921" t="s">
        <v>715</v>
      </c>
      <c r="D1921">
        <v>5.7864971999999903E-3</v>
      </c>
      <c r="E1921">
        <v>2.29985E-3</v>
      </c>
      <c r="F1921">
        <v>1.2109072499999899E-2</v>
      </c>
    </row>
    <row r="1922" spans="1:6" x14ac:dyDescent="0.2">
      <c r="A1922" t="s">
        <v>3024</v>
      </c>
      <c r="B1922" t="s">
        <v>700</v>
      </c>
      <c r="C1922" t="s">
        <v>701</v>
      </c>
      <c r="D1922">
        <v>5.0594945799999902E-2</v>
      </c>
      <c r="E1922">
        <v>3.2378222499999998E-2</v>
      </c>
      <c r="F1922">
        <v>7.4050449999999907E-2</v>
      </c>
    </row>
    <row r="1923" spans="1:6" x14ac:dyDescent="0.2">
      <c r="A1923" t="s">
        <v>3025</v>
      </c>
      <c r="B1923" t="s">
        <v>907</v>
      </c>
      <c r="C1923" t="s">
        <v>908</v>
      </c>
      <c r="D1923">
        <v>1.1009249599999899E-2</v>
      </c>
      <c r="E1923">
        <v>5.3773199999999997E-3</v>
      </c>
      <c r="F1923">
        <v>2.08201875E-2</v>
      </c>
    </row>
    <row r="1924" spans="1:6" x14ac:dyDescent="0.2">
      <c r="A1924" t="s">
        <v>3026</v>
      </c>
      <c r="B1924" t="s">
        <v>742</v>
      </c>
      <c r="C1924" t="s">
        <v>743</v>
      </c>
      <c r="D1924">
        <v>0.114339967</v>
      </c>
      <c r="E1924">
        <v>7.7947084999999999E-2</v>
      </c>
      <c r="F1924">
        <v>0.15867681249999999</v>
      </c>
    </row>
    <row r="1925" spans="1:6" x14ac:dyDescent="0.2">
      <c r="A1925" t="s">
        <v>3027</v>
      </c>
      <c r="B1925" t="s">
        <v>745</v>
      </c>
      <c r="C1925" t="s">
        <v>746</v>
      </c>
      <c r="D1925">
        <v>0.32424655079999898</v>
      </c>
      <c r="E1925">
        <v>0.21972131750000001</v>
      </c>
      <c r="F1925">
        <v>0.44180473999999997</v>
      </c>
    </row>
    <row r="1926" spans="1:6" x14ac:dyDescent="0.2">
      <c r="A1926" t="s">
        <v>3028</v>
      </c>
      <c r="B1926" t="s">
        <v>3029</v>
      </c>
      <c r="C1926" t="s">
        <v>3030</v>
      </c>
      <c r="D1926">
        <v>6.7261807100000001E-2</v>
      </c>
      <c r="E1926">
        <v>4.2893342500000001E-2</v>
      </c>
      <c r="F1926">
        <v>9.7440437499999893E-2</v>
      </c>
    </row>
    <row r="1927" spans="1:6" x14ac:dyDescent="0.2">
      <c r="A1927" t="s">
        <v>3031</v>
      </c>
      <c r="B1927" t="s">
        <v>698</v>
      </c>
      <c r="D1927">
        <v>0</v>
      </c>
      <c r="E1927">
        <v>0</v>
      </c>
      <c r="F1927">
        <v>0</v>
      </c>
    </row>
    <row r="1928" spans="1:6" x14ac:dyDescent="0.2">
      <c r="A1928" t="s">
        <v>3032</v>
      </c>
      <c r="B1928" t="s">
        <v>736</v>
      </c>
      <c r="C1928" t="s">
        <v>737</v>
      </c>
      <c r="D1928">
        <v>7.5640454000000003E-3</v>
      </c>
      <c r="E1928">
        <v>3.3355575E-3</v>
      </c>
      <c r="F1928">
        <v>1.5242127499999999E-2</v>
      </c>
    </row>
    <row r="1929" spans="1:6" x14ac:dyDescent="0.2">
      <c r="A1929" t="s">
        <v>3033</v>
      </c>
      <c r="B1929" t="s">
        <v>739</v>
      </c>
      <c r="C1929" t="s">
        <v>740</v>
      </c>
      <c r="D1929">
        <v>5.14515299999999E-3</v>
      </c>
      <c r="E1929">
        <v>2.0020575E-3</v>
      </c>
      <c r="F1929">
        <v>1.10252224999999E-2</v>
      </c>
    </row>
    <row r="1930" spans="1:6" x14ac:dyDescent="0.2">
      <c r="A1930" t="s">
        <v>3034</v>
      </c>
      <c r="B1930" t="s">
        <v>764</v>
      </c>
    </row>
    <row r="1931" spans="1:6" x14ac:dyDescent="0.2">
      <c r="A1931" t="s">
        <v>3035</v>
      </c>
      <c r="B1931" t="s">
        <v>907</v>
      </c>
      <c r="C1931" t="s">
        <v>908</v>
      </c>
      <c r="D1931">
        <v>1.1009249599999899E-2</v>
      </c>
      <c r="E1931">
        <v>5.3773199999999997E-3</v>
      </c>
      <c r="F1931">
        <v>2.08201875E-2</v>
      </c>
    </row>
    <row r="1932" spans="1:6" x14ac:dyDescent="0.2">
      <c r="A1932" t="s">
        <v>3036</v>
      </c>
      <c r="B1932" t="s">
        <v>698</v>
      </c>
      <c r="D1932">
        <v>0</v>
      </c>
      <c r="E1932">
        <v>0</v>
      </c>
      <c r="F1932">
        <v>0</v>
      </c>
    </row>
    <row r="1933" spans="1:6" x14ac:dyDescent="0.2">
      <c r="A1933" t="s">
        <v>3037</v>
      </c>
      <c r="B1933" t="s">
        <v>1834</v>
      </c>
      <c r="C1933" t="s">
        <v>648</v>
      </c>
      <c r="D1933">
        <v>1.46575536844582E-2</v>
      </c>
      <c r="E1933">
        <v>6.70196239348E-3</v>
      </c>
      <c r="F1933">
        <v>2.8588441675068701E-2</v>
      </c>
    </row>
    <row r="1934" spans="1:6" x14ac:dyDescent="0.2">
      <c r="A1934" t="s">
        <v>3038</v>
      </c>
      <c r="B1934" t="s">
        <v>1836</v>
      </c>
      <c r="C1934" t="s">
        <v>648</v>
      </c>
      <c r="D1934">
        <v>6.19509455734975E-2</v>
      </c>
      <c r="E1934">
        <v>3.9713054885106298E-2</v>
      </c>
      <c r="F1934">
        <v>9.2922810686573695E-2</v>
      </c>
    </row>
    <row r="1935" spans="1:6" x14ac:dyDescent="0.2">
      <c r="A1935" t="s">
        <v>3039</v>
      </c>
      <c r="B1935" t="s">
        <v>1838</v>
      </c>
      <c r="C1935" t="s">
        <v>648</v>
      </c>
      <c r="D1935">
        <v>0.158110748547652</v>
      </c>
      <c r="E1935">
        <v>0.108503234804197</v>
      </c>
      <c r="F1935">
        <v>0.21877446999102099</v>
      </c>
    </row>
    <row r="1936" spans="1:6" x14ac:dyDescent="0.2">
      <c r="A1936" t="s">
        <v>3040</v>
      </c>
      <c r="B1936" t="s">
        <v>736</v>
      </c>
      <c r="C1936" t="s">
        <v>737</v>
      </c>
      <c r="D1936">
        <v>7.5640454000000003E-3</v>
      </c>
      <c r="E1936">
        <v>3.3355575E-3</v>
      </c>
      <c r="F1936">
        <v>1.5242127499999999E-2</v>
      </c>
    </row>
    <row r="1937" spans="1:6" x14ac:dyDescent="0.2">
      <c r="A1937" t="s">
        <v>3041</v>
      </c>
      <c r="B1937" t="s">
        <v>3042</v>
      </c>
      <c r="C1937" t="s">
        <v>648</v>
      </c>
      <c r="D1937">
        <v>1.6095390006772702E-2</v>
      </c>
      <c r="E1937">
        <v>7.2350355104499001E-3</v>
      </c>
      <c r="F1937">
        <v>3.0990610864443699E-2</v>
      </c>
    </row>
    <row r="1938" spans="1:6" x14ac:dyDescent="0.2">
      <c r="A1938" t="s">
        <v>3043</v>
      </c>
      <c r="B1938" t="s">
        <v>706</v>
      </c>
      <c r="C1938" t="s">
        <v>707</v>
      </c>
      <c r="D1938">
        <v>1.10162523999999E-2</v>
      </c>
      <c r="E1938">
        <v>5.2397625E-3</v>
      </c>
      <c r="F1938">
        <v>2.06195424999999E-2</v>
      </c>
    </row>
    <row r="1939" spans="1:6" x14ac:dyDescent="0.2">
      <c r="A1939" t="s">
        <v>3044</v>
      </c>
      <c r="B1939" t="s">
        <v>698</v>
      </c>
      <c r="D1939">
        <v>0</v>
      </c>
      <c r="E1939">
        <v>0</v>
      </c>
      <c r="F1939">
        <v>0</v>
      </c>
    </row>
    <row r="1940" spans="1:6" x14ac:dyDescent="0.2">
      <c r="A1940" t="s">
        <v>3045</v>
      </c>
      <c r="B1940" t="s">
        <v>2924</v>
      </c>
      <c r="C1940" t="s">
        <v>648</v>
      </c>
      <c r="D1940">
        <v>1.8484901415344899E-2</v>
      </c>
      <c r="E1940">
        <v>8.5920995887802509E-3</v>
      </c>
      <c r="F1940">
        <v>3.4904851056760597E-2</v>
      </c>
    </row>
    <row r="1941" spans="1:6" x14ac:dyDescent="0.2">
      <c r="A1941" t="s">
        <v>3046</v>
      </c>
      <c r="B1941" t="s">
        <v>739</v>
      </c>
      <c r="C1941" t="s">
        <v>740</v>
      </c>
      <c r="D1941">
        <v>5.14515299999999E-3</v>
      </c>
      <c r="E1941">
        <v>2.0020575E-3</v>
      </c>
      <c r="F1941">
        <v>1.10252224999999E-2</v>
      </c>
    </row>
    <row r="1942" spans="1:6" x14ac:dyDescent="0.2">
      <c r="A1942" t="s">
        <v>3047</v>
      </c>
      <c r="B1942" t="s">
        <v>736</v>
      </c>
      <c r="C1942" t="s">
        <v>737</v>
      </c>
      <c r="D1942">
        <v>7.5640454000000003E-3</v>
      </c>
      <c r="E1942">
        <v>3.3355575E-3</v>
      </c>
      <c r="F1942">
        <v>1.5242127499999999E-2</v>
      </c>
    </row>
    <row r="1943" spans="1:6" x14ac:dyDescent="0.2">
      <c r="A1943" t="s">
        <v>3048</v>
      </c>
      <c r="B1943" t="s">
        <v>739</v>
      </c>
      <c r="C1943" t="s">
        <v>740</v>
      </c>
      <c r="D1943">
        <v>5.14515299999999E-3</v>
      </c>
      <c r="E1943">
        <v>2.0020575E-3</v>
      </c>
      <c r="F1943">
        <v>1.10252224999999E-2</v>
      </c>
    </row>
    <row r="1944" spans="1:6" x14ac:dyDescent="0.2">
      <c r="A1944" t="s">
        <v>3049</v>
      </c>
      <c r="B1944" t="s">
        <v>736</v>
      </c>
      <c r="C1944" t="s">
        <v>737</v>
      </c>
      <c r="D1944">
        <v>7.5640454000000003E-3</v>
      </c>
      <c r="E1944">
        <v>3.3355575E-3</v>
      </c>
      <c r="F1944">
        <v>1.5242127499999999E-2</v>
      </c>
    </row>
    <row r="1945" spans="1:6" x14ac:dyDescent="0.2">
      <c r="A1945" t="s">
        <v>3050</v>
      </c>
      <c r="B1945" t="s">
        <v>739</v>
      </c>
      <c r="C1945" t="s">
        <v>740</v>
      </c>
      <c r="D1945">
        <v>5.14515299999999E-3</v>
      </c>
      <c r="E1945">
        <v>2.0020575E-3</v>
      </c>
      <c r="F1945">
        <v>1.10252224999999E-2</v>
      </c>
    </row>
    <row r="1946" spans="1:6" x14ac:dyDescent="0.2">
      <c r="A1946" t="s">
        <v>3051</v>
      </c>
      <c r="B1946" t="s">
        <v>907</v>
      </c>
      <c r="C1946" t="s">
        <v>908</v>
      </c>
      <c r="D1946">
        <v>1.1009249599999899E-2</v>
      </c>
      <c r="E1946">
        <v>5.3773199999999997E-3</v>
      </c>
      <c r="F1946">
        <v>2.08201875E-2</v>
      </c>
    </row>
    <row r="1947" spans="1:6" x14ac:dyDescent="0.2">
      <c r="A1947" t="s">
        <v>3052</v>
      </c>
      <c r="B1947" t="s">
        <v>742</v>
      </c>
      <c r="C1947" t="s">
        <v>743</v>
      </c>
      <c r="D1947">
        <v>0.114339967</v>
      </c>
      <c r="E1947">
        <v>7.7947084999999999E-2</v>
      </c>
      <c r="F1947">
        <v>0.15867681249999999</v>
      </c>
    </row>
    <row r="1948" spans="1:6" x14ac:dyDescent="0.2">
      <c r="A1948" t="s">
        <v>3053</v>
      </c>
      <c r="B1948" t="s">
        <v>745</v>
      </c>
      <c r="C1948" t="s">
        <v>746</v>
      </c>
      <c r="D1948">
        <v>0.32424655079999898</v>
      </c>
      <c r="E1948">
        <v>0.21972131750000001</v>
      </c>
      <c r="F1948">
        <v>0.44180473999999997</v>
      </c>
    </row>
    <row r="1949" spans="1:6" x14ac:dyDescent="0.2">
      <c r="A1949" t="s">
        <v>3054</v>
      </c>
      <c r="B1949" t="s">
        <v>698</v>
      </c>
      <c r="D1949">
        <v>0</v>
      </c>
      <c r="E1949">
        <v>0</v>
      </c>
      <c r="F1949">
        <v>0</v>
      </c>
    </row>
    <row r="1950" spans="1:6" x14ac:dyDescent="0.2">
      <c r="A1950" t="s">
        <v>3055</v>
      </c>
      <c r="B1950" t="s">
        <v>2926</v>
      </c>
      <c r="C1950" t="s">
        <v>648</v>
      </c>
      <c r="D1950">
        <v>1.8477910314486E-2</v>
      </c>
      <c r="E1950">
        <v>8.6849664162132502E-3</v>
      </c>
      <c r="F1950">
        <v>3.5658509762799898E-2</v>
      </c>
    </row>
    <row r="1951" spans="1:6" x14ac:dyDescent="0.2">
      <c r="A1951" t="s">
        <v>3056</v>
      </c>
      <c r="B1951" t="s">
        <v>3057</v>
      </c>
      <c r="C1951" t="s">
        <v>648</v>
      </c>
      <c r="D1951">
        <v>0.121018737524062</v>
      </c>
      <c r="E1951">
        <v>8.2948070567907595E-2</v>
      </c>
      <c r="F1951">
        <v>0.16758927888595501</v>
      </c>
    </row>
    <row r="1952" spans="1:6" x14ac:dyDescent="0.2">
      <c r="A1952" t="s">
        <v>3058</v>
      </c>
      <c r="B1952" t="s">
        <v>3059</v>
      </c>
      <c r="C1952" t="s">
        <v>648</v>
      </c>
      <c r="D1952">
        <v>0.32939375572951302</v>
      </c>
      <c r="E1952">
        <v>0.22748799728194499</v>
      </c>
      <c r="F1952">
        <v>0.44485361977578403</v>
      </c>
    </row>
    <row r="1953" spans="1:6" x14ac:dyDescent="0.2">
      <c r="A1953" t="s">
        <v>3060</v>
      </c>
      <c r="B1953" t="s">
        <v>3061</v>
      </c>
      <c r="C1953" t="s">
        <v>648</v>
      </c>
      <c r="D1953">
        <v>1.6088380548197001E-2</v>
      </c>
      <c r="E1953">
        <v>7.4083652058179999E-3</v>
      </c>
      <c r="F1953">
        <v>3.1385547213630197E-2</v>
      </c>
    </row>
    <row r="1954" spans="1:6" x14ac:dyDescent="0.2">
      <c r="A1954" t="s">
        <v>3062</v>
      </c>
      <c r="B1954" t="s">
        <v>3063</v>
      </c>
      <c r="C1954" t="s">
        <v>648</v>
      </c>
      <c r="D1954">
        <v>0.11888389942701399</v>
      </c>
      <c r="E1954">
        <v>8.1324135337414699E-2</v>
      </c>
      <c r="F1954">
        <v>0.16391718874191</v>
      </c>
    </row>
    <row r="1955" spans="1:6" x14ac:dyDescent="0.2">
      <c r="A1955" t="s">
        <v>3064</v>
      </c>
      <c r="B1955" t="s">
        <v>3065</v>
      </c>
      <c r="C1955" t="s">
        <v>648</v>
      </c>
      <c r="D1955">
        <v>0.32775907465155302</v>
      </c>
      <c r="E1955">
        <v>0.225424929012251</v>
      </c>
      <c r="F1955">
        <v>0.44367311121178699</v>
      </c>
    </row>
    <row r="1956" spans="1:6" x14ac:dyDescent="0.2">
      <c r="A1956" t="s">
        <v>3066</v>
      </c>
      <c r="B1956" t="s">
        <v>907</v>
      </c>
      <c r="C1956" t="s">
        <v>908</v>
      </c>
      <c r="D1956">
        <v>1.1009249599999899E-2</v>
      </c>
      <c r="E1956">
        <v>5.3773199999999997E-3</v>
      </c>
      <c r="F1956">
        <v>2.08201875E-2</v>
      </c>
    </row>
    <row r="1957" spans="1:6" x14ac:dyDescent="0.2">
      <c r="A1957" t="s">
        <v>3067</v>
      </c>
      <c r="B1957" t="s">
        <v>3068</v>
      </c>
      <c r="C1957" t="s">
        <v>3069</v>
      </c>
      <c r="D1957">
        <v>1.99451498999999E-2</v>
      </c>
      <c r="E1957">
        <v>1.08428025E-2</v>
      </c>
      <c r="F1957">
        <v>3.49533125E-2</v>
      </c>
    </row>
    <row r="1958" spans="1:6" x14ac:dyDescent="0.2">
      <c r="A1958" t="s">
        <v>3070</v>
      </c>
      <c r="B1958" t="s">
        <v>698</v>
      </c>
      <c r="D1958">
        <v>0</v>
      </c>
      <c r="E1958">
        <v>0</v>
      </c>
      <c r="F1958">
        <v>0</v>
      </c>
    </row>
    <row r="1959" spans="1:6" x14ac:dyDescent="0.2">
      <c r="A1959" t="s">
        <v>3071</v>
      </c>
      <c r="B1959" t="s">
        <v>3072</v>
      </c>
      <c r="C1959" t="s">
        <v>648</v>
      </c>
      <c r="D1959">
        <v>3.0712943228095001E-2</v>
      </c>
      <c r="E1959">
        <v>1.6255707151550999E-2</v>
      </c>
      <c r="F1959">
        <v>5.4331522007605403E-2</v>
      </c>
    </row>
    <row r="1960" spans="1:6" x14ac:dyDescent="0.2">
      <c r="A1960" t="s">
        <v>3073</v>
      </c>
      <c r="B1960" t="s">
        <v>2029</v>
      </c>
      <c r="C1960" t="s">
        <v>2030</v>
      </c>
      <c r="D1960">
        <v>0.14543561960000001</v>
      </c>
      <c r="E1960">
        <v>9.9171132499999995E-2</v>
      </c>
      <c r="F1960">
        <v>0.20859185499999899</v>
      </c>
    </row>
    <row r="1961" spans="1:6" x14ac:dyDescent="0.2">
      <c r="A1961" t="s">
        <v>3074</v>
      </c>
      <c r="B1961" t="s">
        <v>907</v>
      </c>
      <c r="C1961" t="s">
        <v>908</v>
      </c>
      <c r="D1961">
        <v>1.1009249599999899E-2</v>
      </c>
      <c r="E1961">
        <v>5.3773199999999997E-3</v>
      </c>
      <c r="F1961">
        <v>2.08201875E-2</v>
      </c>
    </row>
    <row r="1962" spans="1:6" x14ac:dyDescent="0.2">
      <c r="A1962" t="s">
        <v>3075</v>
      </c>
      <c r="B1962" t="s">
        <v>698</v>
      </c>
      <c r="D1962">
        <v>0</v>
      </c>
      <c r="E1962">
        <v>0</v>
      </c>
      <c r="F1962">
        <v>0</v>
      </c>
    </row>
    <row r="1963" spans="1:6" x14ac:dyDescent="0.2">
      <c r="A1963" t="s">
        <v>3076</v>
      </c>
      <c r="B1963" t="s">
        <v>3077</v>
      </c>
      <c r="C1963" t="s">
        <v>648</v>
      </c>
      <c r="D1963">
        <v>0.15481557662672499</v>
      </c>
      <c r="E1963">
        <v>0.10702825905344</v>
      </c>
      <c r="F1963">
        <v>0.21992618237848399</v>
      </c>
    </row>
    <row r="1964" spans="1:6" x14ac:dyDescent="0.2">
      <c r="A1964" t="s">
        <v>3078</v>
      </c>
      <c r="B1964" t="s">
        <v>907</v>
      </c>
      <c r="C1964" t="s">
        <v>908</v>
      </c>
      <c r="D1964">
        <v>1.1009249599999899E-2</v>
      </c>
      <c r="E1964">
        <v>5.3773199999999997E-3</v>
      </c>
      <c r="F1964">
        <v>2.08201875E-2</v>
      </c>
    </row>
    <row r="1965" spans="1:6" x14ac:dyDescent="0.2">
      <c r="A1965" t="s">
        <v>3079</v>
      </c>
      <c r="B1965" t="s">
        <v>698</v>
      </c>
      <c r="D1965">
        <v>0</v>
      </c>
      <c r="E1965">
        <v>0</v>
      </c>
      <c r="F1965">
        <v>0</v>
      </c>
    </row>
    <row r="1966" spans="1:6" x14ac:dyDescent="0.2">
      <c r="A1966" t="s">
        <v>3080</v>
      </c>
      <c r="B1966" t="s">
        <v>742</v>
      </c>
      <c r="C1966" t="s">
        <v>743</v>
      </c>
      <c r="D1966">
        <v>0.114339967</v>
      </c>
      <c r="E1966">
        <v>7.7947084999999999E-2</v>
      </c>
      <c r="F1966">
        <v>0.15867681249999999</v>
      </c>
    </row>
    <row r="1967" spans="1:6" x14ac:dyDescent="0.2">
      <c r="A1967" t="s">
        <v>3081</v>
      </c>
      <c r="B1967" t="s">
        <v>745</v>
      </c>
      <c r="C1967" t="s">
        <v>746</v>
      </c>
      <c r="D1967">
        <v>0.32424655079999898</v>
      </c>
      <c r="E1967">
        <v>0.21972131750000001</v>
      </c>
      <c r="F1967">
        <v>0.44180473999999997</v>
      </c>
    </row>
    <row r="1968" spans="1:6" x14ac:dyDescent="0.2">
      <c r="A1968" t="s">
        <v>3082</v>
      </c>
      <c r="B1968" t="s">
        <v>698</v>
      </c>
      <c r="D1968">
        <v>0</v>
      </c>
      <c r="E1968">
        <v>0</v>
      </c>
      <c r="F1968">
        <v>0</v>
      </c>
    </row>
    <row r="1969" spans="1:6" x14ac:dyDescent="0.2">
      <c r="A1969" t="s">
        <v>3083</v>
      </c>
      <c r="B1969" t="s">
        <v>850</v>
      </c>
      <c r="C1969" t="s">
        <v>851</v>
      </c>
      <c r="D1969">
        <v>3.69639789999999E-3</v>
      </c>
      <c r="E1969">
        <v>1.3124725E-3</v>
      </c>
      <c r="F1969">
        <v>8.1387825000000004E-3</v>
      </c>
    </row>
    <row r="1970" spans="1:6" x14ac:dyDescent="0.2">
      <c r="A1970" t="s">
        <v>3084</v>
      </c>
      <c r="B1970" t="s">
        <v>853</v>
      </c>
      <c r="C1970" t="s">
        <v>854</v>
      </c>
      <c r="D1970">
        <v>5.1541961499999997E-2</v>
      </c>
      <c r="E1970">
        <v>3.3847374999999999E-2</v>
      </c>
      <c r="F1970">
        <v>7.5721812499999999E-2</v>
      </c>
    </row>
    <row r="1971" spans="1:6" x14ac:dyDescent="0.2">
      <c r="A1971" t="s">
        <v>3085</v>
      </c>
      <c r="B1971" t="s">
        <v>856</v>
      </c>
      <c r="C1971" t="s">
        <v>857</v>
      </c>
      <c r="D1971">
        <v>0.14876615300000001</v>
      </c>
      <c r="E1971">
        <v>0.10073293999999899</v>
      </c>
      <c r="F1971">
        <v>0.20911520249999899</v>
      </c>
    </row>
    <row r="1972" spans="1:6" x14ac:dyDescent="0.2">
      <c r="A1972" t="s">
        <v>3086</v>
      </c>
      <c r="B1972" t="s">
        <v>668</v>
      </c>
      <c r="C1972" t="s">
        <v>669</v>
      </c>
      <c r="D1972">
        <v>1.24408307999999E-2</v>
      </c>
      <c r="E1972">
        <v>6.1947475000000002E-3</v>
      </c>
      <c r="F1972">
        <v>2.2708942499999999E-2</v>
      </c>
    </row>
    <row r="1973" spans="1:6" x14ac:dyDescent="0.2">
      <c r="A1973" t="s">
        <v>3087</v>
      </c>
      <c r="B1973" t="s">
        <v>850</v>
      </c>
      <c r="C1973" t="s">
        <v>851</v>
      </c>
      <c r="D1973">
        <v>3.69639789999999E-3</v>
      </c>
      <c r="E1973">
        <v>1.3124725E-3</v>
      </c>
      <c r="F1973">
        <v>8.1387825000000004E-3</v>
      </c>
    </row>
    <row r="1974" spans="1:6" x14ac:dyDescent="0.2">
      <c r="A1974" t="s">
        <v>3088</v>
      </c>
      <c r="B1974" t="s">
        <v>853</v>
      </c>
      <c r="C1974" t="s">
        <v>854</v>
      </c>
      <c r="D1974">
        <v>5.1541961499999997E-2</v>
      </c>
      <c r="E1974">
        <v>3.3847374999999999E-2</v>
      </c>
      <c r="F1974">
        <v>7.5721812499999999E-2</v>
      </c>
    </row>
    <row r="1975" spans="1:6" x14ac:dyDescent="0.2">
      <c r="A1975" t="s">
        <v>3089</v>
      </c>
      <c r="B1975" t="s">
        <v>856</v>
      </c>
      <c r="C1975" t="s">
        <v>857</v>
      </c>
      <c r="D1975">
        <v>0.14876615300000001</v>
      </c>
      <c r="E1975">
        <v>0.10073293999999899</v>
      </c>
      <c r="F1975">
        <v>0.20911520249999899</v>
      </c>
    </row>
    <row r="1976" spans="1:6" x14ac:dyDescent="0.2">
      <c r="A1976" t="s">
        <v>3090</v>
      </c>
      <c r="B1976" t="s">
        <v>3091</v>
      </c>
      <c r="C1976" t="s">
        <v>648</v>
      </c>
      <c r="D1976">
        <v>0.32431936322780602</v>
      </c>
      <c r="E1976">
        <v>0.232650244870996</v>
      </c>
      <c r="F1976">
        <v>0.43595165224712401</v>
      </c>
    </row>
    <row r="1977" spans="1:6" x14ac:dyDescent="0.2">
      <c r="A1977" t="s">
        <v>3092</v>
      </c>
      <c r="B1977" t="s">
        <v>668</v>
      </c>
      <c r="C1977" t="s">
        <v>669</v>
      </c>
      <c r="D1977">
        <v>1.24408307999999E-2</v>
      </c>
      <c r="E1977">
        <v>6.1947475000000002E-3</v>
      </c>
      <c r="F1977">
        <v>2.2708942499999999E-2</v>
      </c>
    </row>
    <row r="1978" spans="1:6" x14ac:dyDescent="0.2">
      <c r="A1978" t="s">
        <v>3093</v>
      </c>
      <c r="B1978" t="s">
        <v>850</v>
      </c>
      <c r="C1978" t="s">
        <v>851</v>
      </c>
      <c r="D1978">
        <v>3.69639789999999E-3</v>
      </c>
      <c r="E1978">
        <v>1.3124725E-3</v>
      </c>
      <c r="F1978">
        <v>8.1387825000000004E-3</v>
      </c>
    </row>
    <row r="1979" spans="1:6" x14ac:dyDescent="0.2">
      <c r="A1979" t="s">
        <v>3094</v>
      </c>
      <c r="B1979" t="s">
        <v>853</v>
      </c>
      <c r="C1979" t="s">
        <v>854</v>
      </c>
      <c r="D1979">
        <v>5.1541961499999997E-2</v>
      </c>
      <c r="E1979">
        <v>3.3847374999999999E-2</v>
      </c>
      <c r="F1979">
        <v>7.5721812499999999E-2</v>
      </c>
    </row>
    <row r="1980" spans="1:6" x14ac:dyDescent="0.2">
      <c r="A1980" t="s">
        <v>3095</v>
      </c>
      <c r="B1980" t="s">
        <v>856</v>
      </c>
      <c r="C1980" t="s">
        <v>857</v>
      </c>
      <c r="D1980">
        <v>0.14876615300000001</v>
      </c>
      <c r="E1980">
        <v>0.10073293999999899</v>
      </c>
      <c r="F1980">
        <v>0.20911520249999899</v>
      </c>
    </row>
    <row r="1981" spans="1:6" x14ac:dyDescent="0.2">
      <c r="A1981" t="s">
        <v>3096</v>
      </c>
      <c r="B1981" t="s">
        <v>3091</v>
      </c>
      <c r="C1981" t="s">
        <v>648</v>
      </c>
      <c r="D1981">
        <v>0.32431936322780602</v>
      </c>
      <c r="E1981">
        <v>0.232650244870996</v>
      </c>
      <c r="F1981">
        <v>0.43595165224712401</v>
      </c>
    </row>
    <row r="1982" spans="1:6" x14ac:dyDescent="0.2">
      <c r="A1982" t="s">
        <v>3097</v>
      </c>
      <c r="B1982" t="s">
        <v>668</v>
      </c>
      <c r="C1982" t="s">
        <v>669</v>
      </c>
      <c r="D1982">
        <v>1.24408307999999E-2</v>
      </c>
      <c r="E1982">
        <v>6.1947475000000002E-3</v>
      </c>
      <c r="F1982">
        <v>2.2708942499999999E-2</v>
      </c>
    </row>
    <row r="1983" spans="1:6" x14ac:dyDescent="0.2">
      <c r="A1983" t="s">
        <v>3098</v>
      </c>
      <c r="B1983" t="s">
        <v>850</v>
      </c>
      <c r="C1983" t="s">
        <v>851</v>
      </c>
      <c r="D1983">
        <v>3.69639789999999E-3</v>
      </c>
      <c r="E1983">
        <v>1.3124725E-3</v>
      </c>
      <c r="F1983">
        <v>8.1387825000000004E-3</v>
      </c>
    </row>
    <row r="1984" spans="1:6" x14ac:dyDescent="0.2">
      <c r="A1984" t="s">
        <v>3099</v>
      </c>
      <c r="B1984" t="s">
        <v>853</v>
      </c>
      <c r="C1984" t="s">
        <v>854</v>
      </c>
      <c r="D1984">
        <v>5.1541961499999997E-2</v>
      </c>
      <c r="E1984">
        <v>3.3847374999999999E-2</v>
      </c>
      <c r="F1984">
        <v>7.5721812499999999E-2</v>
      </c>
    </row>
    <row r="1985" spans="1:6" x14ac:dyDescent="0.2">
      <c r="A1985" t="s">
        <v>3100</v>
      </c>
      <c r="B1985" t="s">
        <v>856</v>
      </c>
      <c r="C1985" t="s">
        <v>857</v>
      </c>
      <c r="D1985">
        <v>0.14876615300000001</v>
      </c>
      <c r="E1985">
        <v>0.10073293999999899</v>
      </c>
      <c r="F1985">
        <v>0.20911520249999899</v>
      </c>
    </row>
    <row r="1986" spans="1:6" x14ac:dyDescent="0.2">
      <c r="A1986" t="s">
        <v>3101</v>
      </c>
      <c r="B1986" t="s">
        <v>3091</v>
      </c>
      <c r="C1986" t="s">
        <v>648</v>
      </c>
      <c r="D1986">
        <v>0.32431936322780602</v>
      </c>
      <c r="E1986">
        <v>0.232650244870996</v>
      </c>
      <c r="F1986">
        <v>0.43595165224712401</v>
      </c>
    </row>
    <row r="1987" spans="1:6" x14ac:dyDescent="0.2">
      <c r="A1987" t="s">
        <v>3102</v>
      </c>
      <c r="B1987" t="s">
        <v>898</v>
      </c>
      <c r="C1987" t="s">
        <v>899</v>
      </c>
      <c r="D1987">
        <v>4.14518940999999E-2</v>
      </c>
      <c r="E1987">
        <v>2.6103222499999999E-2</v>
      </c>
      <c r="F1987">
        <v>6.2339544999999899E-2</v>
      </c>
    </row>
    <row r="1988" spans="1:6" x14ac:dyDescent="0.2">
      <c r="A1988" t="s">
        <v>3103</v>
      </c>
      <c r="B1988" t="s">
        <v>901</v>
      </c>
      <c r="C1988" t="s">
        <v>902</v>
      </c>
      <c r="D1988">
        <v>7.1653432699999894E-2</v>
      </c>
      <c r="E1988">
        <v>4.6600777500000003E-2</v>
      </c>
      <c r="F1988">
        <v>0.10308943</v>
      </c>
    </row>
    <row r="1989" spans="1:6" x14ac:dyDescent="0.2">
      <c r="A1989" t="s">
        <v>3104</v>
      </c>
      <c r="B1989" t="s">
        <v>904</v>
      </c>
      <c r="C1989" t="s">
        <v>905</v>
      </c>
      <c r="D1989">
        <v>0.17906669619999999</v>
      </c>
      <c r="E1989">
        <v>0.1215548</v>
      </c>
      <c r="F1989">
        <v>0.25072915749999902</v>
      </c>
    </row>
    <row r="1990" spans="1:6" x14ac:dyDescent="0.2">
      <c r="A1990" t="s">
        <v>3105</v>
      </c>
      <c r="B1990" t="s">
        <v>911</v>
      </c>
      <c r="C1990" t="s">
        <v>912</v>
      </c>
      <c r="D1990">
        <v>4.9011414699999999E-2</v>
      </c>
      <c r="E1990">
        <v>3.1121342499999899E-2</v>
      </c>
      <c r="F1990">
        <v>7.2092547499999896E-2</v>
      </c>
    </row>
    <row r="1991" spans="1:6" x14ac:dyDescent="0.2">
      <c r="A1991" t="s">
        <v>3106</v>
      </c>
      <c r="B1991" t="s">
        <v>850</v>
      </c>
      <c r="C1991" t="s">
        <v>851</v>
      </c>
      <c r="D1991">
        <v>3.69639789999999E-3</v>
      </c>
      <c r="E1991">
        <v>1.3124725E-3</v>
      </c>
      <c r="F1991">
        <v>8.1387825000000004E-3</v>
      </c>
    </row>
    <row r="1992" spans="1:6" x14ac:dyDescent="0.2">
      <c r="A1992" t="s">
        <v>3107</v>
      </c>
      <c r="B1992" t="s">
        <v>850</v>
      </c>
      <c r="C1992" t="s">
        <v>851</v>
      </c>
      <c r="D1992">
        <v>3.69639789999999E-3</v>
      </c>
      <c r="E1992">
        <v>1.3124725E-3</v>
      </c>
      <c r="F1992">
        <v>8.1387825000000004E-3</v>
      </c>
    </row>
    <row r="1993" spans="1:6" x14ac:dyDescent="0.2">
      <c r="A1993" t="s">
        <v>3108</v>
      </c>
      <c r="B1993" t="s">
        <v>853</v>
      </c>
      <c r="C1993" t="s">
        <v>854</v>
      </c>
      <c r="D1993">
        <v>5.1541961499999997E-2</v>
      </c>
      <c r="E1993">
        <v>3.3847374999999999E-2</v>
      </c>
      <c r="F1993">
        <v>7.5721812499999999E-2</v>
      </c>
    </row>
    <row r="1994" spans="1:6" x14ac:dyDescent="0.2">
      <c r="A1994" t="s">
        <v>3109</v>
      </c>
      <c r="B1994" t="s">
        <v>853</v>
      </c>
      <c r="C1994" t="s">
        <v>854</v>
      </c>
      <c r="D1994">
        <v>5.1541961499999997E-2</v>
      </c>
      <c r="E1994">
        <v>3.3847374999999999E-2</v>
      </c>
      <c r="F1994">
        <v>7.5721812499999999E-2</v>
      </c>
    </row>
    <row r="1995" spans="1:6" x14ac:dyDescent="0.2">
      <c r="A1995" t="s">
        <v>3110</v>
      </c>
      <c r="B1995" t="s">
        <v>856</v>
      </c>
      <c r="C1995" t="s">
        <v>857</v>
      </c>
      <c r="D1995">
        <v>0.14876615300000001</v>
      </c>
      <c r="E1995">
        <v>0.10073293999999899</v>
      </c>
      <c r="F1995">
        <v>0.20911520249999899</v>
      </c>
    </row>
    <row r="1996" spans="1:6" x14ac:dyDescent="0.2">
      <c r="A1996" t="s">
        <v>3111</v>
      </c>
      <c r="B1996" t="s">
        <v>856</v>
      </c>
      <c r="C1996" t="s">
        <v>857</v>
      </c>
      <c r="D1996">
        <v>0.14876615300000001</v>
      </c>
      <c r="E1996">
        <v>0.10073293999999899</v>
      </c>
      <c r="F1996">
        <v>0.20911520249999899</v>
      </c>
    </row>
    <row r="1997" spans="1:6" x14ac:dyDescent="0.2">
      <c r="A1997" t="s">
        <v>3112</v>
      </c>
      <c r="B1997" t="s">
        <v>698</v>
      </c>
      <c r="D1997">
        <v>0</v>
      </c>
      <c r="E1997">
        <v>0</v>
      </c>
      <c r="F1997">
        <v>0</v>
      </c>
    </row>
    <row r="1998" spans="1:6" x14ac:dyDescent="0.2">
      <c r="A1998" t="s">
        <v>3113</v>
      </c>
      <c r="B1998" t="s">
        <v>698</v>
      </c>
      <c r="D1998">
        <v>0</v>
      </c>
      <c r="E1998">
        <v>0</v>
      </c>
      <c r="F1998">
        <v>0</v>
      </c>
    </row>
    <row r="1999" spans="1:6" x14ac:dyDescent="0.2">
      <c r="A1999" t="s">
        <v>3114</v>
      </c>
      <c r="B1999" t="s">
        <v>671</v>
      </c>
      <c r="D1999">
        <v>1.60833307242591E-2</v>
      </c>
      <c r="E1999">
        <v>7.5953950137811503E-3</v>
      </c>
      <c r="F1999">
        <v>3.0998712879199499E-2</v>
      </c>
    </row>
    <row r="2000" spans="1:6" x14ac:dyDescent="0.2">
      <c r="A2000" t="s">
        <v>3115</v>
      </c>
      <c r="B2000" t="s">
        <v>673</v>
      </c>
      <c r="D2000">
        <v>6.3305862468731003E-2</v>
      </c>
      <c r="E2000">
        <v>3.9980344684223498E-2</v>
      </c>
      <c r="F2000">
        <v>9.4802634065244903E-2</v>
      </c>
    </row>
    <row r="2001" spans="1:6" x14ac:dyDescent="0.2">
      <c r="A2001" t="s">
        <v>3116</v>
      </c>
      <c r="B2001" t="s">
        <v>675</v>
      </c>
      <c r="D2001">
        <v>0.15932514528590999</v>
      </c>
      <c r="E2001">
        <v>0.10850395436709399</v>
      </c>
      <c r="F2001">
        <v>0.22044928265000199</v>
      </c>
    </row>
    <row r="2002" spans="1:6" x14ac:dyDescent="0.2">
      <c r="A2002" t="s">
        <v>3117</v>
      </c>
      <c r="B2002" t="s">
        <v>3118</v>
      </c>
      <c r="D2002">
        <v>0.32486781932866299</v>
      </c>
      <c r="E2002">
        <v>0.219193149524776</v>
      </c>
      <c r="F2002">
        <v>0.443466462821477</v>
      </c>
    </row>
    <row r="2003" spans="1:6" x14ac:dyDescent="0.2">
      <c r="A2003" t="s">
        <v>3119</v>
      </c>
      <c r="B2003" t="s">
        <v>3120</v>
      </c>
      <c r="D2003">
        <v>0.33267757220516098</v>
      </c>
      <c r="E2003">
        <v>0.23092015466860299</v>
      </c>
      <c r="F2003">
        <v>0.44786160674278003</v>
      </c>
    </row>
    <row r="2004" spans="1:6" x14ac:dyDescent="0.2">
      <c r="A2004" t="s">
        <v>3121</v>
      </c>
      <c r="B2004" t="s">
        <v>3122</v>
      </c>
      <c r="D2004">
        <v>0.54063797905887701</v>
      </c>
      <c r="E2004">
        <v>0.39041533513320797</v>
      </c>
      <c r="F2004">
        <v>0.685335311033898</v>
      </c>
    </row>
    <row r="2005" spans="1:6" x14ac:dyDescent="0.2">
      <c r="A2005" t="s">
        <v>3123</v>
      </c>
      <c r="B2005" t="s">
        <v>668</v>
      </c>
      <c r="C2005" t="s">
        <v>669</v>
      </c>
      <c r="D2005">
        <v>1.24408307999999E-2</v>
      </c>
      <c r="E2005">
        <v>6.1947475000000002E-3</v>
      </c>
      <c r="F2005">
        <v>2.2708942499999999E-2</v>
      </c>
    </row>
    <row r="2006" spans="1:6" x14ac:dyDescent="0.2">
      <c r="A2006" t="s">
        <v>3124</v>
      </c>
      <c r="B2006" t="s">
        <v>671</v>
      </c>
      <c r="D2006">
        <v>1.60833307242591E-2</v>
      </c>
      <c r="E2006">
        <v>7.5953950137811503E-3</v>
      </c>
      <c r="F2006">
        <v>3.0998712879199499E-2</v>
      </c>
    </row>
    <row r="2007" spans="1:6" x14ac:dyDescent="0.2">
      <c r="A2007" t="s">
        <v>3125</v>
      </c>
      <c r="B2007" t="s">
        <v>673</v>
      </c>
      <c r="D2007">
        <v>6.3305862468731003E-2</v>
      </c>
      <c r="E2007">
        <v>3.9980344684223498E-2</v>
      </c>
      <c r="F2007">
        <v>9.4802634065244903E-2</v>
      </c>
    </row>
    <row r="2008" spans="1:6" x14ac:dyDescent="0.2">
      <c r="A2008" t="s">
        <v>3126</v>
      </c>
      <c r="B2008" t="s">
        <v>675</v>
      </c>
      <c r="D2008">
        <v>0.15932514528590999</v>
      </c>
      <c r="E2008">
        <v>0.10850395436709399</v>
      </c>
      <c r="F2008">
        <v>0.22044928265000199</v>
      </c>
    </row>
    <row r="2009" spans="1:6" x14ac:dyDescent="0.2">
      <c r="A2009" t="s">
        <v>3127</v>
      </c>
      <c r="B2009" t="s">
        <v>3118</v>
      </c>
      <c r="D2009">
        <v>0.32486781932866299</v>
      </c>
      <c r="E2009">
        <v>0.219193149524776</v>
      </c>
      <c r="F2009">
        <v>0.443466462821477</v>
      </c>
    </row>
    <row r="2010" spans="1:6" x14ac:dyDescent="0.2">
      <c r="A2010" t="s">
        <v>3128</v>
      </c>
      <c r="B2010" t="s">
        <v>3120</v>
      </c>
      <c r="D2010">
        <v>0.33267757220516098</v>
      </c>
      <c r="E2010">
        <v>0.23092015466860299</v>
      </c>
      <c r="F2010">
        <v>0.44786160674278003</v>
      </c>
    </row>
    <row r="2011" spans="1:6" x14ac:dyDescent="0.2">
      <c r="A2011" t="s">
        <v>3129</v>
      </c>
      <c r="B2011" t="s">
        <v>3122</v>
      </c>
      <c r="D2011">
        <v>0.54063797905887701</v>
      </c>
      <c r="E2011">
        <v>0.39041533513320797</v>
      </c>
      <c r="F2011">
        <v>0.685335311033898</v>
      </c>
    </row>
    <row r="2012" spans="1:6" x14ac:dyDescent="0.2">
      <c r="A2012" t="s">
        <v>3130</v>
      </c>
      <c r="B2012" t="s">
        <v>671</v>
      </c>
      <c r="D2012">
        <v>1.60833307242591E-2</v>
      </c>
      <c r="E2012">
        <v>7.5953950137811503E-3</v>
      </c>
      <c r="F2012">
        <v>3.0998712879199499E-2</v>
      </c>
    </row>
    <row r="2013" spans="1:6" x14ac:dyDescent="0.2">
      <c r="A2013" t="s">
        <v>3131</v>
      </c>
      <c r="B2013" t="s">
        <v>673</v>
      </c>
      <c r="D2013">
        <v>6.3305862468731003E-2</v>
      </c>
      <c r="E2013">
        <v>3.9980344684223498E-2</v>
      </c>
      <c r="F2013">
        <v>9.4802634065244903E-2</v>
      </c>
    </row>
    <row r="2014" spans="1:6" x14ac:dyDescent="0.2">
      <c r="A2014" t="s">
        <v>3132</v>
      </c>
      <c r="B2014" t="s">
        <v>675</v>
      </c>
      <c r="D2014">
        <v>0.15932514528590999</v>
      </c>
      <c r="E2014">
        <v>0.10850395436709399</v>
      </c>
      <c r="F2014">
        <v>0.22044928265000199</v>
      </c>
    </row>
    <row r="2015" spans="1:6" x14ac:dyDescent="0.2">
      <c r="A2015" t="s">
        <v>3133</v>
      </c>
      <c r="B2015" t="s">
        <v>3118</v>
      </c>
      <c r="D2015">
        <v>0.32486781932866299</v>
      </c>
      <c r="E2015">
        <v>0.219193149524776</v>
      </c>
      <c r="F2015">
        <v>0.443466462821477</v>
      </c>
    </row>
    <row r="2016" spans="1:6" x14ac:dyDescent="0.2">
      <c r="A2016" t="s">
        <v>3134</v>
      </c>
      <c r="B2016" t="s">
        <v>3120</v>
      </c>
      <c r="D2016">
        <v>0.33267757220516098</v>
      </c>
      <c r="E2016">
        <v>0.23092015466860299</v>
      </c>
      <c r="F2016">
        <v>0.44786160674278003</v>
      </c>
    </row>
    <row r="2017" spans="1:6" x14ac:dyDescent="0.2">
      <c r="A2017" t="s">
        <v>3135</v>
      </c>
      <c r="B2017" t="s">
        <v>3122</v>
      </c>
      <c r="D2017">
        <v>0.54063797905887701</v>
      </c>
      <c r="E2017">
        <v>0.39041533513320797</v>
      </c>
      <c r="F2017">
        <v>0.685335311033898</v>
      </c>
    </row>
    <row r="2018" spans="1:6" x14ac:dyDescent="0.2">
      <c r="A2018" t="s">
        <v>3136</v>
      </c>
      <c r="B2018" t="s">
        <v>668</v>
      </c>
      <c r="C2018" t="s">
        <v>669</v>
      </c>
      <c r="D2018">
        <v>1.24408307999999E-2</v>
      </c>
      <c r="E2018">
        <v>6.1947475000000002E-3</v>
      </c>
      <c r="F2018">
        <v>2.2708942499999999E-2</v>
      </c>
    </row>
    <row r="2019" spans="1:6" x14ac:dyDescent="0.2">
      <c r="A2019" t="s">
        <v>3137</v>
      </c>
      <c r="B2019" t="s">
        <v>668</v>
      </c>
      <c r="C2019" t="s">
        <v>669</v>
      </c>
      <c r="D2019">
        <v>1.24408307999999E-2</v>
      </c>
      <c r="E2019">
        <v>6.1947475000000002E-3</v>
      </c>
      <c r="F2019">
        <v>2.2708942499999999E-2</v>
      </c>
    </row>
    <row r="2020" spans="1:6" x14ac:dyDescent="0.2">
      <c r="A2020" t="s">
        <v>3138</v>
      </c>
      <c r="B2020" t="s">
        <v>698</v>
      </c>
      <c r="D2020">
        <v>0</v>
      </c>
      <c r="E2020">
        <v>0</v>
      </c>
      <c r="F2020">
        <v>0</v>
      </c>
    </row>
    <row r="2021" spans="1:6" x14ac:dyDescent="0.2">
      <c r="A2021" t="s">
        <v>3139</v>
      </c>
      <c r="B2021" t="s">
        <v>850</v>
      </c>
      <c r="C2021" t="s">
        <v>851</v>
      </c>
      <c r="D2021">
        <v>3.69639789999999E-3</v>
      </c>
      <c r="E2021">
        <v>1.3124725E-3</v>
      </c>
      <c r="F2021">
        <v>8.1387825000000004E-3</v>
      </c>
    </row>
    <row r="2022" spans="1:6" x14ac:dyDescent="0.2">
      <c r="A2022" t="s">
        <v>3140</v>
      </c>
      <c r="B2022" t="s">
        <v>853</v>
      </c>
      <c r="C2022" t="s">
        <v>854</v>
      </c>
      <c r="D2022">
        <v>5.1541961499999997E-2</v>
      </c>
      <c r="E2022">
        <v>3.3847374999999999E-2</v>
      </c>
      <c r="F2022">
        <v>7.5721812499999999E-2</v>
      </c>
    </row>
    <row r="2023" spans="1:6" x14ac:dyDescent="0.2">
      <c r="A2023" t="s">
        <v>3141</v>
      </c>
      <c r="B2023" t="s">
        <v>856</v>
      </c>
      <c r="C2023" t="s">
        <v>857</v>
      </c>
      <c r="D2023">
        <v>0.14876615300000001</v>
      </c>
      <c r="E2023">
        <v>0.10073293999999899</v>
      </c>
      <c r="F2023">
        <v>0.20911520249999899</v>
      </c>
    </row>
    <row r="2024" spans="1:6" x14ac:dyDescent="0.2">
      <c r="A2024" t="s">
        <v>3142</v>
      </c>
      <c r="B2024" t="s">
        <v>698</v>
      </c>
      <c r="D2024">
        <v>0</v>
      </c>
      <c r="E2024">
        <v>0</v>
      </c>
      <c r="F2024">
        <v>0</v>
      </c>
    </row>
    <row r="2025" spans="1:6" x14ac:dyDescent="0.2">
      <c r="A2025" t="s">
        <v>3143</v>
      </c>
      <c r="B2025" t="s">
        <v>850</v>
      </c>
      <c r="C2025" t="s">
        <v>851</v>
      </c>
      <c r="D2025">
        <v>3.69639789999999E-3</v>
      </c>
      <c r="E2025">
        <v>1.3124725E-3</v>
      </c>
      <c r="F2025">
        <v>8.1387825000000004E-3</v>
      </c>
    </row>
    <row r="2026" spans="1:6" x14ac:dyDescent="0.2">
      <c r="A2026" t="s">
        <v>3144</v>
      </c>
      <c r="B2026" t="s">
        <v>853</v>
      </c>
      <c r="C2026" t="s">
        <v>854</v>
      </c>
      <c r="D2026">
        <v>5.1541961499999997E-2</v>
      </c>
      <c r="E2026">
        <v>3.3847374999999999E-2</v>
      </c>
      <c r="F2026">
        <v>7.5721812499999999E-2</v>
      </c>
    </row>
    <row r="2027" spans="1:6" x14ac:dyDescent="0.2">
      <c r="A2027" t="s">
        <v>3145</v>
      </c>
      <c r="B2027" t="s">
        <v>856</v>
      </c>
      <c r="C2027" t="s">
        <v>857</v>
      </c>
      <c r="D2027">
        <v>0.14876615300000001</v>
      </c>
      <c r="E2027">
        <v>0.10073293999999899</v>
      </c>
      <c r="F2027">
        <v>0.20911520249999899</v>
      </c>
    </row>
    <row r="2028" spans="1:6" x14ac:dyDescent="0.2">
      <c r="A2028" t="s">
        <v>3146</v>
      </c>
      <c r="B2028" t="s">
        <v>898</v>
      </c>
      <c r="C2028" t="s">
        <v>899</v>
      </c>
      <c r="D2028">
        <v>4.14518940999999E-2</v>
      </c>
      <c r="E2028">
        <v>2.6103222499999999E-2</v>
      </c>
      <c r="F2028">
        <v>6.2339544999999899E-2</v>
      </c>
    </row>
    <row r="2029" spans="1:6" x14ac:dyDescent="0.2">
      <c r="A2029" t="s">
        <v>3147</v>
      </c>
      <c r="B2029" t="s">
        <v>901</v>
      </c>
      <c r="C2029" t="s">
        <v>902</v>
      </c>
      <c r="D2029">
        <v>7.1653432699999894E-2</v>
      </c>
      <c r="E2029">
        <v>4.6600777500000003E-2</v>
      </c>
      <c r="F2029">
        <v>0.10308943</v>
      </c>
    </row>
    <row r="2030" spans="1:6" x14ac:dyDescent="0.2">
      <c r="A2030" t="s">
        <v>3148</v>
      </c>
      <c r="B2030" t="s">
        <v>904</v>
      </c>
      <c r="C2030" t="s">
        <v>905</v>
      </c>
      <c r="D2030">
        <v>0.17906669619999999</v>
      </c>
      <c r="E2030">
        <v>0.1215548</v>
      </c>
      <c r="F2030">
        <v>0.25072915749999902</v>
      </c>
    </row>
    <row r="2031" spans="1:6" x14ac:dyDescent="0.2">
      <c r="A2031" t="s">
        <v>3149</v>
      </c>
      <c r="B2031" t="s">
        <v>911</v>
      </c>
      <c r="C2031" t="s">
        <v>912</v>
      </c>
      <c r="D2031">
        <v>4.9011414699999999E-2</v>
      </c>
      <c r="E2031">
        <v>3.1121342499999899E-2</v>
      </c>
      <c r="F2031">
        <v>7.2092547499999896E-2</v>
      </c>
    </row>
    <row r="2032" spans="1:6" x14ac:dyDescent="0.2">
      <c r="A2032" t="s">
        <v>3150</v>
      </c>
      <c r="B2032" t="s">
        <v>850</v>
      </c>
      <c r="C2032" t="s">
        <v>851</v>
      </c>
      <c r="D2032">
        <v>3.69639789999999E-3</v>
      </c>
      <c r="E2032">
        <v>1.3124725E-3</v>
      </c>
      <c r="F2032">
        <v>8.1387825000000004E-3</v>
      </c>
    </row>
    <row r="2033" spans="1:6" x14ac:dyDescent="0.2">
      <c r="A2033" t="s">
        <v>3151</v>
      </c>
      <c r="B2033" t="s">
        <v>853</v>
      </c>
      <c r="C2033" t="s">
        <v>854</v>
      </c>
      <c r="D2033">
        <v>5.1541961499999997E-2</v>
      </c>
      <c r="E2033">
        <v>3.3847374999999999E-2</v>
      </c>
      <c r="F2033">
        <v>7.5721812499999999E-2</v>
      </c>
    </row>
    <row r="2034" spans="1:6" x14ac:dyDescent="0.2">
      <c r="A2034" t="s">
        <v>3152</v>
      </c>
      <c r="B2034" t="s">
        <v>856</v>
      </c>
      <c r="C2034" t="s">
        <v>857</v>
      </c>
      <c r="D2034">
        <v>0.14876615300000001</v>
      </c>
      <c r="E2034">
        <v>0.10073293999999899</v>
      </c>
      <c r="F2034">
        <v>0.20911520249999899</v>
      </c>
    </row>
    <row r="2035" spans="1:6" x14ac:dyDescent="0.2">
      <c r="A2035" t="s">
        <v>3153</v>
      </c>
      <c r="B2035" t="s">
        <v>698</v>
      </c>
      <c r="D2035">
        <v>0</v>
      </c>
      <c r="E2035">
        <v>0</v>
      </c>
      <c r="F2035">
        <v>0</v>
      </c>
    </row>
    <row r="2036" spans="1:6" x14ac:dyDescent="0.2">
      <c r="A2036" t="s">
        <v>3154</v>
      </c>
      <c r="B2036" t="s">
        <v>898</v>
      </c>
      <c r="C2036" t="s">
        <v>899</v>
      </c>
      <c r="D2036">
        <v>4.14518940999999E-2</v>
      </c>
      <c r="E2036">
        <v>2.6103222499999999E-2</v>
      </c>
      <c r="F2036">
        <v>6.2339544999999899E-2</v>
      </c>
    </row>
    <row r="2037" spans="1:6" x14ac:dyDescent="0.2">
      <c r="A2037" t="s">
        <v>3155</v>
      </c>
      <c r="B2037" t="s">
        <v>901</v>
      </c>
      <c r="C2037" t="s">
        <v>902</v>
      </c>
      <c r="D2037">
        <v>7.1653432699999894E-2</v>
      </c>
      <c r="E2037">
        <v>4.6600777500000003E-2</v>
      </c>
      <c r="F2037">
        <v>0.10308943</v>
      </c>
    </row>
    <row r="2038" spans="1:6" x14ac:dyDescent="0.2">
      <c r="A2038" t="s">
        <v>3156</v>
      </c>
      <c r="B2038" t="s">
        <v>904</v>
      </c>
      <c r="C2038" t="s">
        <v>905</v>
      </c>
      <c r="D2038">
        <v>0.17906669619999999</v>
      </c>
      <c r="E2038">
        <v>0.1215548</v>
      </c>
      <c r="F2038">
        <v>0.25072915749999902</v>
      </c>
    </row>
    <row r="2039" spans="1:6" x14ac:dyDescent="0.2">
      <c r="A2039" t="s">
        <v>3157</v>
      </c>
      <c r="B2039" t="s">
        <v>850</v>
      </c>
      <c r="C2039" t="s">
        <v>851</v>
      </c>
      <c r="D2039">
        <v>3.69639789999999E-3</v>
      </c>
      <c r="E2039">
        <v>1.3124725E-3</v>
      </c>
      <c r="F2039">
        <v>8.1387825000000004E-3</v>
      </c>
    </row>
    <row r="2040" spans="1:6" x14ac:dyDescent="0.2">
      <c r="A2040" t="s">
        <v>3158</v>
      </c>
      <c r="B2040" t="s">
        <v>853</v>
      </c>
      <c r="C2040" t="s">
        <v>854</v>
      </c>
      <c r="D2040">
        <v>5.1541961499999997E-2</v>
      </c>
      <c r="E2040">
        <v>3.3847374999999999E-2</v>
      </c>
      <c r="F2040">
        <v>7.5721812499999999E-2</v>
      </c>
    </row>
    <row r="2041" spans="1:6" x14ac:dyDescent="0.2">
      <c r="A2041" t="s">
        <v>3159</v>
      </c>
      <c r="B2041" t="s">
        <v>856</v>
      </c>
      <c r="C2041" t="s">
        <v>857</v>
      </c>
      <c r="D2041">
        <v>0.14876615300000001</v>
      </c>
      <c r="E2041">
        <v>0.10073293999999899</v>
      </c>
      <c r="F2041">
        <v>0.20911520249999899</v>
      </c>
    </row>
    <row r="2042" spans="1:6" x14ac:dyDescent="0.2">
      <c r="A2042" t="s">
        <v>3160</v>
      </c>
      <c r="B2042" t="s">
        <v>911</v>
      </c>
      <c r="C2042" t="s">
        <v>912</v>
      </c>
      <c r="D2042">
        <v>4.9011414699999999E-2</v>
      </c>
      <c r="E2042">
        <v>3.1121342499999899E-2</v>
      </c>
      <c r="F2042">
        <v>7.2092547499999896E-2</v>
      </c>
    </row>
    <row r="2043" spans="1:6" x14ac:dyDescent="0.2">
      <c r="A2043" t="s">
        <v>3161</v>
      </c>
      <c r="B2043" t="s">
        <v>764</v>
      </c>
    </row>
    <row r="2044" spans="1:6" x14ac:dyDescent="0.2">
      <c r="A2044" t="s">
        <v>3162</v>
      </c>
      <c r="B2044" t="s">
        <v>698</v>
      </c>
      <c r="D2044">
        <v>0</v>
      </c>
      <c r="E2044">
        <v>0</v>
      </c>
      <c r="F2044">
        <v>0</v>
      </c>
    </row>
    <row r="2045" spans="1:6" x14ac:dyDescent="0.2">
      <c r="A2045" t="s">
        <v>3163</v>
      </c>
      <c r="B2045" t="s">
        <v>850</v>
      </c>
      <c r="C2045" t="s">
        <v>851</v>
      </c>
      <c r="D2045">
        <v>3.69639789999999E-3</v>
      </c>
      <c r="E2045">
        <v>1.3124725E-3</v>
      </c>
      <c r="F2045">
        <v>8.1387825000000004E-3</v>
      </c>
    </row>
    <row r="2046" spans="1:6" x14ac:dyDescent="0.2">
      <c r="A2046" t="s">
        <v>3164</v>
      </c>
      <c r="B2046" t="s">
        <v>853</v>
      </c>
      <c r="C2046" t="s">
        <v>854</v>
      </c>
      <c r="D2046">
        <v>5.1541961499999997E-2</v>
      </c>
      <c r="E2046">
        <v>3.3847374999999999E-2</v>
      </c>
      <c r="F2046">
        <v>7.5721812499999999E-2</v>
      </c>
    </row>
    <row r="2047" spans="1:6" x14ac:dyDescent="0.2">
      <c r="A2047" t="s">
        <v>3165</v>
      </c>
      <c r="B2047" t="s">
        <v>856</v>
      </c>
      <c r="C2047" t="s">
        <v>857</v>
      </c>
      <c r="D2047">
        <v>0.14876615300000001</v>
      </c>
      <c r="E2047">
        <v>0.10073293999999899</v>
      </c>
      <c r="F2047">
        <v>0.20911520249999899</v>
      </c>
    </row>
    <row r="2048" spans="1:6" x14ac:dyDescent="0.2">
      <c r="A2048" t="s">
        <v>3166</v>
      </c>
      <c r="B2048" t="s">
        <v>698</v>
      </c>
      <c r="D2048">
        <v>0</v>
      </c>
      <c r="E2048">
        <v>0</v>
      </c>
      <c r="F2048">
        <v>0</v>
      </c>
    </row>
    <row r="2049" spans="1:6" x14ac:dyDescent="0.2">
      <c r="A2049" t="s">
        <v>3167</v>
      </c>
      <c r="B2049" t="s">
        <v>850</v>
      </c>
      <c r="C2049" t="s">
        <v>851</v>
      </c>
      <c r="D2049">
        <v>3.69639789999999E-3</v>
      </c>
      <c r="E2049">
        <v>1.3124725E-3</v>
      </c>
      <c r="F2049">
        <v>8.1387825000000004E-3</v>
      </c>
    </row>
    <row r="2050" spans="1:6" x14ac:dyDescent="0.2">
      <c r="A2050" t="s">
        <v>3168</v>
      </c>
      <c r="B2050" t="s">
        <v>853</v>
      </c>
      <c r="C2050" t="s">
        <v>854</v>
      </c>
      <c r="D2050">
        <v>5.1541961499999997E-2</v>
      </c>
      <c r="E2050">
        <v>3.3847374999999999E-2</v>
      </c>
      <c r="F2050">
        <v>7.5721812499999999E-2</v>
      </c>
    </row>
    <row r="2051" spans="1:6" x14ac:dyDescent="0.2">
      <c r="A2051" t="s">
        <v>3169</v>
      </c>
      <c r="B2051" t="s">
        <v>856</v>
      </c>
      <c r="C2051" t="s">
        <v>857</v>
      </c>
      <c r="D2051">
        <v>0.14876615300000001</v>
      </c>
      <c r="E2051">
        <v>0.10073293999999899</v>
      </c>
      <c r="F2051">
        <v>0.20911520249999899</v>
      </c>
    </row>
    <row r="2052" spans="1:6" x14ac:dyDescent="0.2">
      <c r="A2052" t="s">
        <v>3170</v>
      </c>
      <c r="B2052" t="s">
        <v>898</v>
      </c>
      <c r="C2052" t="s">
        <v>899</v>
      </c>
      <c r="D2052">
        <v>4.14518940999999E-2</v>
      </c>
      <c r="E2052">
        <v>2.6103222499999999E-2</v>
      </c>
      <c r="F2052">
        <v>6.2339544999999899E-2</v>
      </c>
    </row>
    <row r="2053" spans="1:6" x14ac:dyDescent="0.2">
      <c r="A2053" t="s">
        <v>3171</v>
      </c>
      <c r="B2053" t="s">
        <v>901</v>
      </c>
      <c r="C2053" t="s">
        <v>902</v>
      </c>
      <c r="D2053">
        <v>7.1653432699999894E-2</v>
      </c>
      <c r="E2053">
        <v>4.6600777500000003E-2</v>
      </c>
      <c r="F2053">
        <v>0.10308943</v>
      </c>
    </row>
    <row r="2054" spans="1:6" x14ac:dyDescent="0.2">
      <c r="A2054" t="s">
        <v>3172</v>
      </c>
      <c r="B2054" t="s">
        <v>904</v>
      </c>
      <c r="C2054" t="s">
        <v>905</v>
      </c>
      <c r="D2054">
        <v>0.17906669619999999</v>
      </c>
      <c r="E2054">
        <v>0.1215548</v>
      </c>
      <c r="F2054">
        <v>0.25072915749999902</v>
      </c>
    </row>
    <row r="2055" spans="1:6" x14ac:dyDescent="0.2">
      <c r="A2055" t="s">
        <v>3173</v>
      </c>
      <c r="B2055" t="s">
        <v>911</v>
      </c>
      <c r="C2055" t="s">
        <v>912</v>
      </c>
      <c r="D2055">
        <v>4.9011414699999999E-2</v>
      </c>
      <c r="E2055">
        <v>3.1121342499999899E-2</v>
      </c>
      <c r="F2055">
        <v>7.2092547499999896E-2</v>
      </c>
    </row>
    <row r="2056" spans="1:6" x14ac:dyDescent="0.2">
      <c r="A2056" t="s">
        <v>3174</v>
      </c>
      <c r="B2056" t="s">
        <v>898</v>
      </c>
      <c r="C2056" t="s">
        <v>899</v>
      </c>
      <c r="D2056">
        <v>4.14518940999999E-2</v>
      </c>
      <c r="E2056">
        <v>2.6103222499999999E-2</v>
      </c>
      <c r="F2056">
        <v>6.2339544999999899E-2</v>
      </c>
    </row>
    <row r="2057" spans="1:6" x14ac:dyDescent="0.2">
      <c r="A2057" t="s">
        <v>3175</v>
      </c>
      <c r="B2057" t="s">
        <v>901</v>
      </c>
      <c r="C2057" t="s">
        <v>902</v>
      </c>
      <c r="D2057">
        <v>7.1653432699999894E-2</v>
      </c>
      <c r="E2057">
        <v>4.6600777500000003E-2</v>
      </c>
      <c r="F2057">
        <v>0.10308943</v>
      </c>
    </row>
    <row r="2058" spans="1:6" x14ac:dyDescent="0.2">
      <c r="A2058" t="s">
        <v>3176</v>
      </c>
      <c r="B2058" t="s">
        <v>904</v>
      </c>
      <c r="C2058" t="s">
        <v>905</v>
      </c>
      <c r="D2058">
        <v>0.17906669619999999</v>
      </c>
      <c r="E2058">
        <v>0.1215548</v>
      </c>
      <c r="F2058">
        <v>0.25072915749999902</v>
      </c>
    </row>
    <row r="2059" spans="1:6" x14ac:dyDescent="0.2">
      <c r="A2059" t="s">
        <v>3177</v>
      </c>
      <c r="B2059" t="s">
        <v>911</v>
      </c>
      <c r="C2059" t="s">
        <v>912</v>
      </c>
      <c r="D2059">
        <v>4.9011414699999999E-2</v>
      </c>
      <c r="E2059">
        <v>3.1121342499999899E-2</v>
      </c>
      <c r="F2059">
        <v>7.2092547499999896E-2</v>
      </c>
    </row>
    <row r="2060" spans="1:6" x14ac:dyDescent="0.2">
      <c r="A2060" t="s">
        <v>3178</v>
      </c>
      <c r="B2060" t="s">
        <v>698</v>
      </c>
      <c r="D2060">
        <v>0</v>
      </c>
      <c r="E2060">
        <v>0</v>
      </c>
      <c r="F2060">
        <v>0</v>
      </c>
    </row>
    <row r="2061" spans="1:6" x14ac:dyDescent="0.2">
      <c r="A2061" t="s">
        <v>3179</v>
      </c>
      <c r="B2061" t="s">
        <v>850</v>
      </c>
      <c r="C2061" t="s">
        <v>851</v>
      </c>
      <c r="D2061">
        <v>3.69639789999999E-3</v>
      </c>
      <c r="E2061">
        <v>1.3124725E-3</v>
      </c>
      <c r="F2061">
        <v>8.1387825000000004E-3</v>
      </c>
    </row>
    <row r="2062" spans="1:6" x14ac:dyDescent="0.2">
      <c r="A2062" t="s">
        <v>3180</v>
      </c>
      <c r="B2062" t="s">
        <v>853</v>
      </c>
      <c r="C2062" t="s">
        <v>854</v>
      </c>
      <c r="D2062">
        <v>5.1541961499999997E-2</v>
      </c>
      <c r="E2062">
        <v>3.3847374999999999E-2</v>
      </c>
      <c r="F2062">
        <v>7.5721812499999999E-2</v>
      </c>
    </row>
    <row r="2063" spans="1:6" x14ac:dyDescent="0.2">
      <c r="A2063" t="s">
        <v>3181</v>
      </c>
      <c r="B2063" t="s">
        <v>856</v>
      </c>
      <c r="C2063" t="s">
        <v>857</v>
      </c>
      <c r="D2063">
        <v>0.14876615300000001</v>
      </c>
      <c r="E2063">
        <v>0.10073293999999899</v>
      </c>
      <c r="F2063">
        <v>0.20911520249999899</v>
      </c>
    </row>
    <row r="2064" spans="1:6" x14ac:dyDescent="0.2">
      <c r="A2064" t="s">
        <v>3182</v>
      </c>
      <c r="B2064" t="s">
        <v>3183</v>
      </c>
      <c r="C2064" t="s">
        <v>3184</v>
      </c>
      <c r="D2064">
        <v>1.01597553E-2</v>
      </c>
      <c r="E2064">
        <v>4.6177049999999997E-3</v>
      </c>
      <c r="F2064">
        <v>1.9387962499999901E-2</v>
      </c>
    </row>
    <row r="2065" spans="1:6" x14ac:dyDescent="0.2">
      <c r="A2065" t="s">
        <v>3185</v>
      </c>
      <c r="B2065" t="s">
        <v>698</v>
      </c>
      <c r="D2065">
        <v>0</v>
      </c>
      <c r="E2065">
        <v>0</v>
      </c>
      <c r="F2065">
        <v>0</v>
      </c>
    </row>
    <row r="2066" spans="1:6" x14ac:dyDescent="0.2">
      <c r="A2066" t="s">
        <v>3186</v>
      </c>
      <c r="B2066" t="s">
        <v>3183</v>
      </c>
      <c r="C2066" t="s">
        <v>3184</v>
      </c>
      <c r="D2066">
        <v>1.01597553E-2</v>
      </c>
      <c r="E2066">
        <v>4.6177049999999997E-3</v>
      </c>
      <c r="F2066">
        <v>1.9387962499999901E-2</v>
      </c>
    </row>
    <row r="2067" spans="1:6" x14ac:dyDescent="0.2">
      <c r="A2067" t="s">
        <v>3187</v>
      </c>
      <c r="B2067" t="s">
        <v>698</v>
      </c>
      <c r="D2067">
        <v>0</v>
      </c>
      <c r="E2067">
        <v>0</v>
      </c>
      <c r="F2067">
        <v>0</v>
      </c>
    </row>
    <row r="2068" spans="1:6" x14ac:dyDescent="0.2">
      <c r="A2068" t="s">
        <v>3188</v>
      </c>
      <c r="B2068" t="s">
        <v>3189</v>
      </c>
      <c r="C2068" t="s">
        <v>3190</v>
      </c>
      <c r="D2068">
        <v>6.79631659999999E-3</v>
      </c>
      <c r="E2068">
        <v>2.7056624999999999E-3</v>
      </c>
      <c r="F2068">
        <v>1.4042045E-2</v>
      </c>
    </row>
    <row r="2069" spans="1:6" x14ac:dyDescent="0.2">
      <c r="A2069" t="s">
        <v>3191</v>
      </c>
      <c r="B2069" t="s">
        <v>3192</v>
      </c>
      <c r="C2069" t="s">
        <v>3193</v>
      </c>
      <c r="D2069">
        <v>6.7445715199999895E-2</v>
      </c>
      <c r="E2069">
        <v>4.4757399999999899E-2</v>
      </c>
      <c r="F2069">
        <v>9.5107044999999904E-2</v>
      </c>
    </row>
    <row r="2070" spans="1:6" x14ac:dyDescent="0.2">
      <c r="A2070" t="s">
        <v>3194</v>
      </c>
      <c r="B2070" t="s">
        <v>698</v>
      </c>
      <c r="D2070">
        <v>0</v>
      </c>
      <c r="E2070">
        <v>0</v>
      </c>
      <c r="F2070">
        <v>0</v>
      </c>
    </row>
    <row r="2071" spans="1:6" x14ac:dyDescent="0.2">
      <c r="A2071" t="s">
        <v>3195</v>
      </c>
      <c r="B2071" t="s">
        <v>714</v>
      </c>
      <c r="C2071" t="s">
        <v>715</v>
      </c>
      <c r="D2071">
        <v>5.7864971999999903E-3</v>
      </c>
      <c r="E2071">
        <v>2.29985E-3</v>
      </c>
      <c r="F2071">
        <v>1.2109072499999899E-2</v>
      </c>
    </row>
    <row r="2072" spans="1:6" x14ac:dyDescent="0.2">
      <c r="A2072" t="s">
        <v>3196</v>
      </c>
      <c r="B2072" t="s">
        <v>700</v>
      </c>
      <c r="C2072" t="s">
        <v>701</v>
      </c>
      <c r="D2072">
        <v>5.0594945799999902E-2</v>
      </c>
      <c r="E2072">
        <v>3.2378222499999998E-2</v>
      </c>
      <c r="F2072">
        <v>7.4050449999999907E-2</v>
      </c>
    </row>
    <row r="2073" spans="1:6" x14ac:dyDescent="0.2">
      <c r="A2073" t="s">
        <v>3197</v>
      </c>
      <c r="B2073" t="s">
        <v>3198</v>
      </c>
      <c r="C2073" t="s">
        <v>3199</v>
      </c>
      <c r="D2073">
        <v>1.8608607299999899E-2</v>
      </c>
      <c r="E2073">
        <v>9.7385724999999902E-3</v>
      </c>
      <c r="F2073">
        <v>3.1825087499999898E-2</v>
      </c>
    </row>
    <row r="2074" spans="1:6" x14ac:dyDescent="0.2">
      <c r="A2074" t="s">
        <v>3200</v>
      </c>
      <c r="B2074" t="s">
        <v>911</v>
      </c>
      <c r="C2074" t="s">
        <v>912</v>
      </c>
      <c r="D2074">
        <v>4.9011414699999999E-2</v>
      </c>
      <c r="E2074">
        <v>3.1121342499999899E-2</v>
      </c>
      <c r="F2074">
        <v>7.2092547499999896E-2</v>
      </c>
    </row>
    <row r="2075" spans="1:6" x14ac:dyDescent="0.2">
      <c r="A2075" t="s">
        <v>3201</v>
      </c>
      <c r="B2075" t="s">
        <v>3202</v>
      </c>
      <c r="C2075" t="s">
        <v>3203</v>
      </c>
      <c r="D2075">
        <v>0.14501638459999999</v>
      </c>
      <c r="E2075">
        <v>9.6211445000000007E-2</v>
      </c>
      <c r="F2075">
        <v>0.20248986999999899</v>
      </c>
    </row>
    <row r="2076" spans="1:6" x14ac:dyDescent="0.2">
      <c r="A2076" t="s">
        <v>3204</v>
      </c>
      <c r="B2076" t="s">
        <v>911</v>
      </c>
      <c r="C2076" t="s">
        <v>912</v>
      </c>
      <c r="D2076">
        <v>4.9011414699999999E-2</v>
      </c>
      <c r="E2076">
        <v>3.1121342499999899E-2</v>
      </c>
      <c r="F2076">
        <v>7.2092547499999896E-2</v>
      </c>
    </row>
    <row r="2077" spans="1:6" x14ac:dyDescent="0.2">
      <c r="A2077" t="s">
        <v>3205</v>
      </c>
      <c r="B2077" t="s">
        <v>3206</v>
      </c>
      <c r="C2077" t="s">
        <v>3207</v>
      </c>
      <c r="D2077">
        <v>0.15851353730000001</v>
      </c>
      <c r="E2077">
        <v>0.10577170749999899</v>
      </c>
      <c r="F2077">
        <v>0.226278484999999</v>
      </c>
    </row>
    <row r="2078" spans="1:6" x14ac:dyDescent="0.2">
      <c r="A2078" t="s">
        <v>3208</v>
      </c>
      <c r="B2078" t="s">
        <v>1216</v>
      </c>
      <c r="C2078" t="s">
        <v>1217</v>
      </c>
      <c r="D2078">
        <v>3.0370671000000001E-3</v>
      </c>
      <c r="E2078">
        <v>1.0119875E-3</v>
      </c>
      <c r="F2078">
        <v>6.95614499999999E-3</v>
      </c>
    </row>
    <row r="2079" spans="1:6" x14ac:dyDescent="0.2">
      <c r="A2079" t="s">
        <v>3209</v>
      </c>
      <c r="B2079" t="s">
        <v>1549</v>
      </c>
      <c r="C2079" t="s">
        <v>648</v>
      </c>
      <c r="D2079">
        <v>0.11550699671223399</v>
      </c>
      <c r="E2079">
        <v>7.6176283662702099E-2</v>
      </c>
      <c r="F2079">
        <v>0.16382252235911099</v>
      </c>
    </row>
    <row r="2080" spans="1:6" x14ac:dyDescent="0.2">
      <c r="A2080" t="s">
        <v>3210</v>
      </c>
      <c r="B2080" t="s">
        <v>1551</v>
      </c>
      <c r="C2080" t="s">
        <v>648</v>
      </c>
      <c r="D2080">
        <v>0.10849538907589</v>
      </c>
      <c r="E2080">
        <v>7.3519290042004998E-2</v>
      </c>
      <c r="F2080">
        <v>0.15402047107273001</v>
      </c>
    </row>
    <row r="2081" spans="1:6" x14ac:dyDescent="0.2">
      <c r="A2081" t="s">
        <v>3211</v>
      </c>
      <c r="B2081" t="s">
        <v>1553</v>
      </c>
      <c r="C2081" t="s">
        <v>648</v>
      </c>
      <c r="D2081">
        <v>0.13651289717948001</v>
      </c>
      <c r="E2081">
        <v>9.1287636148285098E-2</v>
      </c>
      <c r="F2081">
        <v>0.19065364996242601</v>
      </c>
    </row>
    <row r="2082" spans="1:6" x14ac:dyDescent="0.2">
      <c r="A2082" t="s">
        <v>3212</v>
      </c>
      <c r="B2082" t="s">
        <v>1555</v>
      </c>
      <c r="C2082" t="s">
        <v>648</v>
      </c>
      <c r="D2082">
        <v>0.236222262269112</v>
      </c>
      <c r="E2082">
        <v>0.165268246791726</v>
      </c>
      <c r="F2082">
        <v>0.31938408271870899</v>
      </c>
    </row>
    <row r="2083" spans="1:6" x14ac:dyDescent="0.2">
      <c r="A2083" t="s">
        <v>3213</v>
      </c>
      <c r="B2083" t="s">
        <v>1546</v>
      </c>
      <c r="C2083" t="s">
        <v>1547</v>
      </c>
      <c r="D2083">
        <v>7.0059834899999895E-2</v>
      </c>
      <c r="E2083">
        <v>4.6415625000000002E-2</v>
      </c>
      <c r="F2083">
        <v>9.9395024999999998E-2</v>
      </c>
    </row>
    <row r="2084" spans="1:6" x14ac:dyDescent="0.2">
      <c r="A2084" t="s">
        <v>3214</v>
      </c>
      <c r="B2084" t="s">
        <v>3118</v>
      </c>
      <c r="D2084">
        <v>0.32486781932866299</v>
      </c>
      <c r="E2084">
        <v>0.219193149524776</v>
      </c>
      <c r="F2084">
        <v>0.443466462821477</v>
      </c>
    </row>
    <row r="2085" spans="1:6" x14ac:dyDescent="0.2">
      <c r="A2085" t="s">
        <v>3215</v>
      </c>
      <c r="B2085" t="s">
        <v>1562</v>
      </c>
      <c r="C2085" t="s">
        <v>648</v>
      </c>
      <c r="D2085">
        <v>0.34449130984930698</v>
      </c>
      <c r="E2085">
        <v>0.23749653804307799</v>
      </c>
      <c r="F2085">
        <v>0.46443068990940301</v>
      </c>
    </row>
    <row r="2086" spans="1:6" x14ac:dyDescent="0.2">
      <c r="A2086" t="s">
        <v>3216</v>
      </c>
      <c r="B2086" t="s">
        <v>1564</v>
      </c>
      <c r="C2086" t="s">
        <v>648</v>
      </c>
      <c r="D2086">
        <v>0.36481637276607598</v>
      </c>
      <c r="E2086">
        <v>0.25318012588344602</v>
      </c>
      <c r="F2086">
        <v>0.48666830599338701</v>
      </c>
    </row>
    <row r="2087" spans="1:6" x14ac:dyDescent="0.2">
      <c r="A2087" t="s">
        <v>3217</v>
      </c>
      <c r="B2087" t="s">
        <v>1566</v>
      </c>
      <c r="C2087" t="s">
        <v>648</v>
      </c>
      <c r="D2087">
        <v>0.43701702717526802</v>
      </c>
      <c r="E2087">
        <v>0.30824900681738598</v>
      </c>
      <c r="F2087">
        <v>0.57526310552081905</v>
      </c>
    </row>
    <row r="2088" spans="1:6" x14ac:dyDescent="0.2">
      <c r="A2088" t="s">
        <v>3218</v>
      </c>
      <c r="B2088" t="s">
        <v>1557</v>
      </c>
      <c r="C2088" t="s">
        <v>1558</v>
      </c>
      <c r="D2088">
        <v>0.31634430260000002</v>
      </c>
      <c r="E2088">
        <v>0.205675055</v>
      </c>
      <c r="F2088">
        <v>0.4373492725</v>
      </c>
    </row>
    <row r="2089" spans="1:6" x14ac:dyDescent="0.2">
      <c r="A2089" t="s">
        <v>3219</v>
      </c>
      <c r="B2089" t="s">
        <v>1571</v>
      </c>
      <c r="C2089" t="s">
        <v>648</v>
      </c>
      <c r="D2089">
        <v>0.57375326559862805</v>
      </c>
      <c r="E2089">
        <v>0.40780612002858802</v>
      </c>
      <c r="F2089">
        <v>0.721438061881714</v>
      </c>
    </row>
    <row r="2090" spans="1:6" x14ac:dyDescent="0.2">
      <c r="A2090" t="s">
        <v>3220</v>
      </c>
      <c r="B2090" t="s">
        <v>1573</v>
      </c>
      <c r="C2090" t="s">
        <v>648</v>
      </c>
      <c r="D2090">
        <v>0.57045221168801397</v>
      </c>
      <c r="E2090">
        <v>0.40349875206823499</v>
      </c>
      <c r="F2090">
        <v>0.72040329063216701</v>
      </c>
    </row>
    <row r="2091" spans="1:6" x14ac:dyDescent="0.2">
      <c r="A2091" t="s">
        <v>3221</v>
      </c>
      <c r="B2091" t="s">
        <v>1575</v>
      </c>
      <c r="C2091" t="s">
        <v>648</v>
      </c>
      <c r="D2091">
        <v>0.58355582358288305</v>
      </c>
      <c r="E2091">
        <v>0.417199500716877</v>
      </c>
      <c r="F2091">
        <v>0.73236616822837197</v>
      </c>
    </row>
    <row r="2092" spans="1:6" x14ac:dyDescent="0.2">
      <c r="A2092" t="s">
        <v>3222</v>
      </c>
      <c r="B2092" t="s">
        <v>1577</v>
      </c>
      <c r="C2092" t="s">
        <v>648</v>
      </c>
      <c r="D2092">
        <v>0.62989166068075297</v>
      </c>
      <c r="E2092">
        <v>0.45832308006611999</v>
      </c>
      <c r="F2092">
        <v>0.77673933035490395</v>
      </c>
    </row>
    <row r="2093" spans="1:6" x14ac:dyDescent="0.2">
      <c r="A2093" t="s">
        <v>3223</v>
      </c>
      <c r="B2093" t="s">
        <v>1568</v>
      </c>
      <c r="C2093" t="s">
        <v>1569</v>
      </c>
      <c r="D2093">
        <v>0.55200139250000002</v>
      </c>
      <c r="E2093">
        <v>0.37678311249999902</v>
      </c>
      <c r="F2093">
        <v>0.70691958999999904</v>
      </c>
    </row>
    <row r="2094" spans="1:6" x14ac:dyDescent="0.2">
      <c r="A2094" t="s">
        <v>3224</v>
      </c>
      <c r="B2094" t="s">
        <v>1579</v>
      </c>
      <c r="C2094" t="s">
        <v>1580</v>
      </c>
      <c r="D2094">
        <v>0.58754583439999997</v>
      </c>
      <c r="E2094">
        <v>0.4109979775</v>
      </c>
      <c r="F2094">
        <v>0.74443417249999999</v>
      </c>
    </row>
    <row r="2095" spans="1:6" x14ac:dyDescent="0.2">
      <c r="A2095" t="s">
        <v>3225</v>
      </c>
      <c r="B2095" t="s">
        <v>1582</v>
      </c>
      <c r="C2095" t="s">
        <v>648</v>
      </c>
      <c r="D2095">
        <v>0.60757001409394795</v>
      </c>
      <c r="E2095">
        <v>0.43828786630579902</v>
      </c>
      <c r="F2095">
        <v>0.75934048659864295</v>
      </c>
    </row>
    <row r="2096" spans="1:6" x14ac:dyDescent="0.2">
      <c r="A2096" t="s">
        <v>3226</v>
      </c>
      <c r="B2096" t="s">
        <v>1584</v>
      </c>
      <c r="C2096" t="s">
        <v>648</v>
      </c>
      <c r="D2096">
        <v>0.604535787675755</v>
      </c>
      <c r="E2096">
        <v>0.43625818319187298</v>
      </c>
      <c r="F2096">
        <v>0.75809155397980998</v>
      </c>
    </row>
    <row r="2097" spans="1:6" x14ac:dyDescent="0.2">
      <c r="A2097" t="s">
        <v>3227</v>
      </c>
      <c r="B2097" t="s">
        <v>1586</v>
      </c>
      <c r="C2097" t="s">
        <v>648</v>
      </c>
      <c r="D2097">
        <v>0.616569518087146</v>
      </c>
      <c r="E2097">
        <v>0.447985945937315</v>
      </c>
      <c r="F2097">
        <v>0.76819352683282904</v>
      </c>
    </row>
    <row r="2098" spans="1:6" x14ac:dyDescent="0.2">
      <c r="A2098" t="s">
        <v>3228</v>
      </c>
      <c r="B2098" t="s">
        <v>1588</v>
      </c>
      <c r="C2098" t="s">
        <v>648</v>
      </c>
      <c r="D2098">
        <v>0.65906096991707197</v>
      </c>
      <c r="E2098">
        <v>0.48854045382489703</v>
      </c>
      <c r="F2098">
        <v>0.80805342256143697</v>
      </c>
    </row>
    <row r="2099" spans="1:6" x14ac:dyDescent="0.2">
      <c r="A2099" t="s">
        <v>3229</v>
      </c>
      <c r="B2099" t="s">
        <v>1549</v>
      </c>
      <c r="C2099" t="s">
        <v>648</v>
      </c>
      <c r="D2099">
        <v>0.11550699671223399</v>
      </c>
      <c r="E2099">
        <v>7.6176283662702099E-2</v>
      </c>
      <c r="F2099">
        <v>0.16382252235911099</v>
      </c>
    </row>
    <row r="2100" spans="1:6" x14ac:dyDescent="0.2">
      <c r="A2100" t="s">
        <v>3230</v>
      </c>
      <c r="B2100" t="s">
        <v>1551</v>
      </c>
      <c r="C2100" t="s">
        <v>648</v>
      </c>
      <c r="D2100">
        <v>0.10849538907589</v>
      </c>
      <c r="E2100">
        <v>7.3519290042004998E-2</v>
      </c>
      <c r="F2100">
        <v>0.15402047107273001</v>
      </c>
    </row>
    <row r="2101" spans="1:6" x14ac:dyDescent="0.2">
      <c r="A2101" t="s">
        <v>3231</v>
      </c>
      <c r="B2101" t="s">
        <v>1553</v>
      </c>
      <c r="C2101" t="s">
        <v>648</v>
      </c>
      <c r="D2101">
        <v>0.13651289717948001</v>
      </c>
      <c r="E2101">
        <v>9.1287636148285098E-2</v>
      </c>
      <c r="F2101">
        <v>0.19065364996242601</v>
      </c>
    </row>
    <row r="2102" spans="1:6" x14ac:dyDescent="0.2">
      <c r="A2102" t="s">
        <v>3232</v>
      </c>
      <c r="B2102" t="s">
        <v>1555</v>
      </c>
      <c r="C2102" t="s">
        <v>648</v>
      </c>
      <c r="D2102">
        <v>0.236222262269112</v>
      </c>
      <c r="E2102">
        <v>0.165268246791726</v>
      </c>
      <c r="F2102">
        <v>0.31938408271870899</v>
      </c>
    </row>
    <row r="2103" spans="1:6" x14ac:dyDescent="0.2">
      <c r="A2103" t="s">
        <v>3233</v>
      </c>
      <c r="B2103" t="s">
        <v>1546</v>
      </c>
      <c r="C2103" t="s">
        <v>1547</v>
      </c>
      <c r="D2103">
        <v>7.0059834899999895E-2</v>
      </c>
      <c r="E2103">
        <v>4.6415625000000002E-2</v>
      </c>
      <c r="F2103">
        <v>9.9395024999999998E-2</v>
      </c>
    </row>
    <row r="2104" spans="1:6" x14ac:dyDescent="0.2">
      <c r="A2104" t="s">
        <v>3234</v>
      </c>
      <c r="B2104" t="s">
        <v>3118</v>
      </c>
      <c r="D2104">
        <v>0.32486781932866299</v>
      </c>
      <c r="E2104">
        <v>0.219193149524776</v>
      </c>
      <c r="F2104">
        <v>0.443466462821477</v>
      </c>
    </row>
    <row r="2105" spans="1:6" x14ac:dyDescent="0.2">
      <c r="A2105" t="s">
        <v>3235</v>
      </c>
      <c r="B2105" t="s">
        <v>1562</v>
      </c>
      <c r="C2105" t="s">
        <v>648</v>
      </c>
      <c r="D2105">
        <v>0.34449130984930698</v>
      </c>
      <c r="E2105">
        <v>0.23749653804307799</v>
      </c>
      <c r="F2105">
        <v>0.46443068990940301</v>
      </c>
    </row>
    <row r="2106" spans="1:6" x14ac:dyDescent="0.2">
      <c r="A2106" t="s">
        <v>3236</v>
      </c>
      <c r="B2106" t="s">
        <v>1564</v>
      </c>
      <c r="C2106" t="s">
        <v>648</v>
      </c>
      <c r="D2106">
        <v>0.36481637276607598</v>
      </c>
      <c r="E2106">
        <v>0.25318012588344602</v>
      </c>
      <c r="F2106">
        <v>0.48666830599338701</v>
      </c>
    </row>
    <row r="2107" spans="1:6" x14ac:dyDescent="0.2">
      <c r="A2107" t="s">
        <v>3237</v>
      </c>
      <c r="B2107" t="s">
        <v>1566</v>
      </c>
      <c r="C2107" t="s">
        <v>648</v>
      </c>
      <c r="D2107">
        <v>0.43701702717526802</v>
      </c>
      <c r="E2107">
        <v>0.30824900681738598</v>
      </c>
      <c r="F2107">
        <v>0.57526310552081905</v>
      </c>
    </row>
    <row r="2108" spans="1:6" x14ac:dyDescent="0.2">
      <c r="A2108" t="s">
        <v>3238</v>
      </c>
      <c r="B2108" t="s">
        <v>1557</v>
      </c>
      <c r="C2108" t="s">
        <v>1558</v>
      </c>
      <c r="D2108">
        <v>0.31634430260000002</v>
      </c>
      <c r="E2108">
        <v>0.205675055</v>
      </c>
      <c r="F2108">
        <v>0.4373492725</v>
      </c>
    </row>
    <row r="2109" spans="1:6" x14ac:dyDescent="0.2">
      <c r="A2109" t="s">
        <v>3239</v>
      </c>
      <c r="B2109" t="s">
        <v>1571</v>
      </c>
      <c r="C2109" t="s">
        <v>648</v>
      </c>
      <c r="D2109">
        <v>0.57375326559862805</v>
      </c>
      <c r="E2109">
        <v>0.40780612002858802</v>
      </c>
      <c r="F2109">
        <v>0.721438061881714</v>
      </c>
    </row>
    <row r="2110" spans="1:6" x14ac:dyDescent="0.2">
      <c r="A2110" t="s">
        <v>3240</v>
      </c>
      <c r="B2110" t="s">
        <v>1573</v>
      </c>
      <c r="C2110" t="s">
        <v>648</v>
      </c>
      <c r="D2110">
        <v>0.57045221168801397</v>
      </c>
      <c r="E2110">
        <v>0.40349875206823499</v>
      </c>
      <c r="F2110">
        <v>0.72040329063216701</v>
      </c>
    </row>
    <row r="2111" spans="1:6" x14ac:dyDescent="0.2">
      <c r="A2111" t="s">
        <v>3241</v>
      </c>
      <c r="B2111" t="s">
        <v>1575</v>
      </c>
      <c r="C2111" t="s">
        <v>648</v>
      </c>
      <c r="D2111">
        <v>0.58355582358288305</v>
      </c>
      <c r="E2111">
        <v>0.417199500716877</v>
      </c>
      <c r="F2111">
        <v>0.73236616822837197</v>
      </c>
    </row>
    <row r="2112" spans="1:6" x14ac:dyDescent="0.2">
      <c r="A2112" t="s">
        <v>3242</v>
      </c>
      <c r="B2112" t="s">
        <v>1577</v>
      </c>
      <c r="C2112" t="s">
        <v>648</v>
      </c>
      <c r="D2112">
        <v>0.62989166068075297</v>
      </c>
      <c r="E2112">
        <v>0.45832308006611999</v>
      </c>
      <c r="F2112">
        <v>0.77673933035490395</v>
      </c>
    </row>
    <row r="2113" spans="1:6" x14ac:dyDescent="0.2">
      <c r="A2113" t="s">
        <v>3243</v>
      </c>
      <c r="B2113" t="s">
        <v>1568</v>
      </c>
      <c r="C2113" t="s">
        <v>1569</v>
      </c>
      <c r="D2113">
        <v>0.55200139250000002</v>
      </c>
      <c r="E2113">
        <v>0.37678311249999902</v>
      </c>
      <c r="F2113">
        <v>0.70691958999999904</v>
      </c>
    </row>
    <row r="2114" spans="1:6" x14ac:dyDescent="0.2">
      <c r="A2114" t="s">
        <v>3244</v>
      </c>
      <c r="B2114" t="s">
        <v>1582</v>
      </c>
      <c r="C2114" t="s">
        <v>648</v>
      </c>
      <c r="D2114">
        <v>0.60757001409394795</v>
      </c>
      <c r="E2114">
        <v>0.43828786630579902</v>
      </c>
      <c r="F2114">
        <v>0.75934048659864295</v>
      </c>
    </row>
    <row r="2115" spans="1:6" x14ac:dyDescent="0.2">
      <c r="A2115" t="s">
        <v>3245</v>
      </c>
      <c r="B2115" t="s">
        <v>1584</v>
      </c>
      <c r="C2115" t="s">
        <v>648</v>
      </c>
      <c r="D2115">
        <v>0.604535787675755</v>
      </c>
      <c r="E2115">
        <v>0.43625818319187298</v>
      </c>
      <c r="F2115">
        <v>0.75809155397980998</v>
      </c>
    </row>
    <row r="2116" spans="1:6" x14ac:dyDescent="0.2">
      <c r="A2116" t="s">
        <v>3246</v>
      </c>
      <c r="B2116" t="s">
        <v>1586</v>
      </c>
      <c r="C2116" t="s">
        <v>648</v>
      </c>
      <c r="D2116">
        <v>0.616569518087146</v>
      </c>
      <c r="E2116">
        <v>0.447985945937315</v>
      </c>
      <c r="F2116">
        <v>0.76819352683282904</v>
      </c>
    </row>
    <row r="2117" spans="1:6" x14ac:dyDescent="0.2">
      <c r="A2117" t="s">
        <v>3247</v>
      </c>
      <c r="B2117" t="s">
        <v>1588</v>
      </c>
      <c r="C2117" t="s">
        <v>648</v>
      </c>
      <c r="D2117">
        <v>0.65906096991707197</v>
      </c>
      <c r="E2117">
        <v>0.48854045382489703</v>
      </c>
      <c r="F2117">
        <v>0.80805342256143697</v>
      </c>
    </row>
    <row r="2118" spans="1:6" x14ac:dyDescent="0.2">
      <c r="A2118" t="s">
        <v>3248</v>
      </c>
      <c r="B2118" t="s">
        <v>1579</v>
      </c>
      <c r="C2118" t="s">
        <v>1580</v>
      </c>
      <c r="D2118">
        <v>0.58754583439999997</v>
      </c>
      <c r="E2118">
        <v>0.4109979775</v>
      </c>
      <c r="F2118">
        <v>0.74443417249999999</v>
      </c>
    </row>
    <row r="2119" spans="1:6" x14ac:dyDescent="0.2">
      <c r="A2119" t="s">
        <v>3249</v>
      </c>
      <c r="B2119" t="s">
        <v>1549</v>
      </c>
      <c r="C2119" t="s">
        <v>648</v>
      </c>
      <c r="D2119">
        <v>0.11550699671223399</v>
      </c>
      <c r="E2119">
        <v>7.6176283662702099E-2</v>
      </c>
      <c r="F2119">
        <v>0.16382252235911099</v>
      </c>
    </row>
    <row r="2120" spans="1:6" x14ac:dyDescent="0.2">
      <c r="A2120" t="s">
        <v>3250</v>
      </c>
      <c r="B2120" t="s">
        <v>1551</v>
      </c>
      <c r="C2120" t="s">
        <v>648</v>
      </c>
      <c r="D2120">
        <v>0.10849538907589</v>
      </c>
      <c r="E2120">
        <v>7.3519290042004998E-2</v>
      </c>
      <c r="F2120">
        <v>0.15402047107273001</v>
      </c>
    </row>
    <row r="2121" spans="1:6" x14ac:dyDescent="0.2">
      <c r="A2121" t="s">
        <v>3251</v>
      </c>
      <c r="B2121" t="s">
        <v>1553</v>
      </c>
      <c r="C2121" t="s">
        <v>648</v>
      </c>
      <c r="D2121">
        <v>0.13651289717948001</v>
      </c>
      <c r="E2121">
        <v>9.1287636148285098E-2</v>
      </c>
      <c r="F2121">
        <v>0.19065364996242601</v>
      </c>
    </row>
    <row r="2122" spans="1:6" x14ac:dyDescent="0.2">
      <c r="A2122" t="s">
        <v>3252</v>
      </c>
      <c r="B2122" t="s">
        <v>1555</v>
      </c>
      <c r="C2122" t="s">
        <v>648</v>
      </c>
      <c r="D2122">
        <v>0.236222262269112</v>
      </c>
      <c r="E2122">
        <v>0.165268246791726</v>
      </c>
      <c r="F2122">
        <v>0.31938408271870899</v>
      </c>
    </row>
    <row r="2123" spans="1:6" x14ac:dyDescent="0.2">
      <c r="A2123" t="s">
        <v>3253</v>
      </c>
      <c r="B2123" t="s">
        <v>1546</v>
      </c>
      <c r="C2123" t="s">
        <v>1547</v>
      </c>
      <c r="D2123">
        <v>7.0059834899999895E-2</v>
      </c>
      <c r="E2123">
        <v>4.6415625000000002E-2</v>
      </c>
      <c r="F2123">
        <v>9.9395024999999998E-2</v>
      </c>
    </row>
    <row r="2124" spans="1:6" x14ac:dyDescent="0.2">
      <c r="A2124" t="s">
        <v>3254</v>
      </c>
      <c r="B2124" t="s">
        <v>3118</v>
      </c>
      <c r="D2124">
        <v>0.32486781932866299</v>
      </c>
      <c r="E2124">
        <v>0.219193149524776</v>
      </c>
      <c r="F2124">
        <v>0.443466462821477</v>
      </c>
    </row>
    <row r="2125" spans="1:6" x14ac:dyDescent="0.2">
      <c r="A2125" t="s">
        <v>3255</v>
      </c>
      <c r="B2125" t="s">
        <v>1562</v>
      </c>
      <c r="C2125" t="s">
        <v>648</v>
      </c>
      <c r="D2125">
        <v>0.34449130984930698</v>
      </c>
      <c r="E2125">
        <v>0.23749653804307799</v>
      </c>
      <c r="F2125">
        <v>0.46443068990940301</v>
      </c>
    </row>
    <row r="2126" spans="1:6" x14ac:dyDescent="0.2">
      <c r="A2126" t="s">
        <v>3256</v>
      </c>
      <c r="B2126" t="s">
        <v>1564</v>
      </c>
      <c r="C2126" t="s">
        <v>648</v>
      </c>
      <c r="D2126">
        <v>0.36481637276607598</v>
      </c>
      <c r="E2126">
        <v>0.25318012588344602</v>
      </c>
      <c r="F2126">
        <v>0.48666830599338701</v>
      </c>
    </row>
    <row r="2127" spans="1:6" x14ac:dyDescent="0.2">
      <c r="A2127" t="s">
        <v>3257</v>
      </c>
      <c r="B2127" t="s">
        <v>1566</v>
      </c>
      <c r="C2127" t="s">
        <v>648</v>
      </c>
      <c r="D2127">
        <v>0.43701702717526802</v>
      </c>
      <c r="E2127">
        <v>0.30824900681738598</v>
      </c>
      <c r="F2127">
        <v>0.57526310552081905</v>
      </c>
    </row>
    <row r="2128" spans="1:6" x14ac:dyDescent="0.2">
      <c r="A2128" t="s">
        <v>3258</v>
      </c>
      <c r="B2128" t="s">
        <v>1557</v>
      </c>
      <c r="C2128" t="s">
        <v>1558</v>
      </c>
      <c r="D2128">
        <v>0.31634430260000002</v>
      </c>
      <c r="E2128">
        <v>0.205675055</v>
      </c>
      <c r="F2128">
        <v>0.4373492725</v>
      </c>
    </row>
    <row r="2129" spans="1:6" x14ac:dyDescent="0.2">
      <c r="A2129" t="s">
        <v>3259</v>
      </c>
      <c r="B2129" t="s">
        <v>1571</v>
      </c>
      <c r="C2129" t="s">
        <v>648</v>
      </c>
      <c r="D2129">
        <v>0.57375326559862805</v>
      </c>
      <c r="E2129">
        <v>0.40780612002858802</v>
      </c>
      <c r="F2129">
        <v>0.721438061881714</v>
      </c>
    </row>
    <row r="2130" spans="1:6" x14ac:dyDescent="0.2">
      <c r="A2130" t="s">
        <v>3260</v>
      </c>
      <c r="B2130" t="s">
        <v>1573</v>
      </c>
      <c r="C2130" t="s">
        <v>648</v>
      </c>
      <c r="D2130">
        <v>0.57045221168801397</v>
      </c>
      <c r="E2130">
        <v>0.40349875206823499</v>
      </c>
      <c r="F2130">
        <v>0.72040329063216701</v>
      </c>
    </row>
    <row r="2131" spans="1:6" x14ac:dyDescent="0.2">
      <c r="A2131" t="s">
        <v>3261</v>
      </c>
      <c r="B2131" t="s">
        <v>1575</v>
      </c>
      <c r="C2131" t="s">
        <v>648</v>
      </c>
      <c r="D2131">
        <v>0.58355582358288305</v>
      </c>
      <c r="E2131">
        <v>0.417199500716877</v>
      </c>
      <c r="F2131">
        <v>0.73236616822837197</v>
      </c>
    </row>
    <row r="2132" spans="1:6" x14ac:dyDescent="0.2">
      <c r="A2132" t="s">
        <v>3262</v>
      </c>
      <c r="B2132" t="s">
        <v>1577</v>
      </c>
      <c r="C2132" t="s">
        <v>648</v>
      </c>
      <c r="D2132">
        <v>0.62989166068075297</v>
      </c>
      <c r="E2132">
        <v>0.45832308006611999</v>
      </c>
      <c r="F2132">
        <v>0.77673933035490395</v>
      </c>
    </row>
    <row r="2133" spans="1:6" x14ac:dyDescent="0.2">
      <c r="A2133" t="s">
        <v>3263</v>
      </c>
      <c r="B2133" t="s">
        <v>1568</v>
      </c>
      <c r="C2133" t="s">
        <v>1569</v>
      </c>
      <c r="D2133">
        <v>0.55200139250000002</v>
      </c>
      <c r="E2133">
        <v>0.37678311249999902</v>
      </c>
      <c r="F2133">
        <v>0.70691958999999904</v>
      </c>
    </row>
    <row r="2134" spans="1:6" x14ac:dyDescent="0.2">
      <c r="A2134" t="s">
        <v>3264</v>
      </c>
      <c r="B2134" t="s">
        <v>1582</v>
      </c>
      <c r="C2134" t="s">
        <v>648</v>
      </c>
      <c r="D2134">
        <v>0.60757001409394795</v>
      </c>
      <c r="E2134">
        <v>0.43828786630579902</v>
      </c>
      <c r="F2134">
        <v>0.75934048659864295</v>
      </c>
    </row>
    <row r="2135" spans="1:6" x14ac:dyDescent="0.2">
      <c r="A2135" t="s">
        <v>3265</v>
      </c>
      <c r="B2135" t="s">
        <v>1584</v>
      </c>
      <c r="C2135" t="s">
        <v>648</v>
      </c>
      <c r="D2135">
        <v>0.604535787675755</v>
      </c>
      <c r="E2135">
        <v>0.43625818319187298</v>
      </c>
      <c r="F2135">
        <v>0.75809155397980998</v>
      </c>
    </row>
    <row r="2136" spans="1:6" x14ac:dyDescent="0.2">
      <c r="A2136" t="s">
        <v>3266</v>
      </c>
      <c r="B2136" t="s">
        <v>1586</v>
      </c>
      <c r="C2136" t="s">
        <v>648</v>
      </c>
      <c r="D2136">
        <v>0.616569518087146</v>
      </c>
      <c r="E2136">
        <v>0.447985945937315</v>
      </c>
      <c r="F2136">
        <v>0.76819352683282904</v>
      </c>
    </row>
    <row r="2137" spans="1:6" x14ac:dyDescent="0.2">
      <c r="A2137" t="s">
        <v>3267</v>
      </c>
      <c r="B2137" t="s">
        <v>1588</v>
      </c>
      <c r="C2137" t="s">
        <v>648</v>
      </c>
      <c r="D2137">
        <v>0.65906096991707197</v>
      </c>
      <c r="E2137">
        <v>0.48854045382489703</v>
      </c>
      <c r="F2137">
        <v>0.80805342256143697</v>
      </c>
    </row>
    <row r="2138" spans="1:6" x14ac:dyDescent="0.2">
      <c r="A2138" t="s">
        <v>3268</v>
      </c>
      <c r="B2138" t="s">
        <v>1579</v>
      </c>
      <c r="C2138" t="s">
        <v>1580</v>
      </c>
      <c r="D2138">
        <v>0.58754583439999997</v>
      </c>
      <c r="E2138">
        <v>0.4109979775</v>
      </c>
      <c r="F2138">
        <v>0.74443417249999999</v>
      </c>
    </row>
    <row r="2139" spans="1:6" x14ac:dyDescent="0.2">
      <c r="A2139" t="s">
        <v>3269</v>
      </c>
      <c r="B2139" t="s">
        <v>1549</v>
      </c>
      <c r="C2139" t="s">
        <v>648</v>
      </c>
      <c r="D2139">
        <v>0.11550699671223399</v>
      </c>
      <c r="E2139">
        <v>7.6176283662702099E-2</v>
      </c>
      <c r="F2139">
        <v>0.16382252235911099</v>
      </c>
    </row>
    <row r="2140" spans="1:6" x14ac:dyDescent="0.2">
      <c r="A2140" t="s">
        <v>3270</v>
      </c>
      <c r="B2140" t="s">
        <v>3271</v>
      </c>
      <c r="C2140" t="s">
        <v>648</v>
      </c>
      <c r="D2140">
        <v>0.16986413575138401</v>
      </c>
      <c r="E2140">
        <v>0.116538685582324</v>
      </c>
      <c r="F2140">
        <v>0.237890114870693</v>
      </c>
    </row>
    <row r="2141" spans="1:6" x14ac:dyDescent="0.2">
      <c r="A2141" t="s">
        <v>3272</v>
      </c>
      <c r="B2141" t="s">
        <v>3273</v>
      </c>
      <c r="C2141" t="s">
        <v>648</v>
      </c>
      <c r="D2141">
        <v>0.19588798240517499</v>
      </c>
      <c r="E2141">
        <v>0.13427417775220499</v>
      </c>
      <c r="F2141">
        <v>0.26993357417887098</v>
      </c>
    </row>
    <row r="2142" spans="1:6" x14ac:dyDescent="0.2">
      <c r="A2142" t="s">
        <v>3274</v>
      </c>
      <c r="B2142" t="s">
        <v>3275</v>
      </c>
      <c r="C2142" t="s">
        <v>648</v>
      </c>
      <c r="D2142">
        <v>0.28856137287195199</v>
      </c>
      <c r="E2142">
        <v>0.20633621822325701</v>
      </c>
      <c r="F2142">
        <v>0.38127896473157602</v>
      </c>
    </row>
    <row r="2143" spans="1:6" x14ac:dyDescent="0.2">
      <c r="A2143" t="s">
        <v>3276</v>
      </c>
      <c r="B2143" t="s">
        <v>3277</v>
      </c>
      <c r="C2143" t="s">
        <v>648</v>
      </c>
      <c r="D2143">
        <v>0.134181571042197</v>
      </c>
      <c r="E2143">
        <v>9.1407104986479595E-2</v>
      </c>
      <c r="F2143">
        <v>0.18678343836574501</v>
      </c>
    </row>
    <row r="2144" spans="1:6" x14ac:dyDescent="0.2">
      <c r="A2144" t="s">
        <v>3278</v>
      </c>
      <c r="B2144" t="s">
        <v>3277</v>
      </c>
      <c r="C2144" t="s">
        <v>648</v>
      </c>
      <c r="D2144">
        <v>0.134181571042197</v>
      </c>
      <c r="E2144">
        <v>9.1407104986479595E-2</v>
      </c>
      <c r="F2144">
        <v>0.18678343836574501</v>
      </c>
    </row>
    <row r="2145" spans="1:6" x14ac:dyDescent="0.2">
      <c r="A2145" t="s">
        <v>3279</v>
      </c>
      <c r="B2145" t="s">
        <v>3280</v>
      </c>
      <c r="C2145" t="s">
        <v>648</v>
      </c>
      <c r="D2145">
        <v>0.60269523858574003</v>
      </c>
      <c r="E2145">
        <v>0.44109445255929902</v>
      </c>
      <c r="F2145">
        <v>0.745595731395711</v>
      </c>
    </row>
    <row r="2146" spans="1:6" x14ac:dyDescent="0.2">
      <c r="A2146" t="s">
        <v>3281</v>
      </c>
      <c r="B2146" t="s">
        <v>3282</v>
      </c>
      <c r="C2146" t="s">
        <v>648</v>
      </c>
      <c r="D2146">
        <v>0.59962649202892704</v>
      </c>
      <c r="E2146">
        <v>0.43862073011548502</v>
      </c>
      <c r="F2146">
        <v>0.744648702227104</v>
      </c>
    </row>
    <row r="2147" spans="1:6" x14ac:dyDescent="0.2">
      <c r="A2147" t="s">
        <v>3283</v>
      </c>
      <c r="B2147" t="s">
        <v>3284</v>
      </c>
      <c r="C2147" t="s">
        <v>648</v>
      </c>
      <c r="D2147">
        <v>0.61181050040875495</v>
      </c>
      <c r="E2147">
        <v>0.45045183329407701</v>
      </c>
      <c r="F2147">
        <v>0.75644625070349003</v>
      </c>
    </row>
    <row r="2148" spans="1:6" x14ac:dyDescent="0.2">
      <c r="A2148" t="s">
        <v>3285</v>
      </c>
      <c r="B2148" t="s">
        <v>3286</v>
      </c>
      <c r="C2148" t="s">
        <v>648</v>
      </c>
      <c r="D2148">
        <v>0.65492189340353102</v>
      </c>
      <c r="E2148">
        <v>0.48902986659940401</v>
      </c>
      <c r="F2148">
        <v>0.79427802010471404</v>
      </c>
    </row>
    <row r="2149" spans="1:6" x14ac:dyDescent="0.2">
      <c r="A2149" t="s">
        <v>3287</v>
      </c>
      <c r="B2149" t="s">
        <v>3288</v>
      </c>
      <c r="C2149" t="s">
        <v>648</v>
      </c>
      <c r="D2149">
        <v>0.17637581227865201</v>
      </c>
      <c r="E2149">
        <v>0.120287618837238</v>
      </c>
      <c r="F2149">
        <v>0.245448953021358</v>
      </c>
    </row>
    <row r="2150" spans="1:6" x14ac:dyDescent="0.2">
      <c r="A2150" t="s">
        <v>3289</v>
      </c>
      <c r="B2150" t="s">
        <v>3271</v>
      </c>
      <c r="C2150" t="s">
        <v>648</v>
      </c>
      <c r="D2150">
        <v>0.16986413575138401</v>
      </c>
      <c r="E2150">
        <v>0.116538685582324</v>
      </c>
      <c r="F2150">
        <v>0.237890114870693</v>
      </c>
    </row>
    <row r="2151" spans="1:6" x14ac:dyDescent="0.2">
      <c r="A2151" t="s">
        <v>3290</v>
      </c>
      <c r="B2151" t="s">
        <v>3273</v>
      </c>
      <c r="C2151" t="s">
        <v>648</v>
      </c>
      <c r="D2151">
        <v>0.19588798240517499</v>
      </c>
      <c r="E2151">
        <v>0.13427417775220499</v>
      </c>
      <c r="F2151">
        <v>0.26993357417887098</v>
      </c>
    </row>
    <row r="2152" spans="1:6" x14ac:dyDescent="0.2">
      <c r="A2152" t="s">
        <v>3291</v>
      </c>
      <c r="B2152" t="s">
        <v>3275</v>
      </c>
      <c r="C2152" t="s">
        <v>648</v>
      </c>
      <c r="D2152">
        <v>0.28856137287195199</v>
      </c>
      <c r="E2152">
        <v>0.20633621822325701</v>
      </c>
      <c r="F2152">
        <v>0.38127896473157602</v>
      </c>
    </row>
    <row r="2153" spans="1:6" x14ac:dyDescent="0.2">
      <c r="A2153" t="s">
        <v>3292</v>
      </c>
      <c r="B2153" t="s">
        <v>3277</v>
      </c>
      <c r="C2153" t="s">
        <v>648</v>
      </c>
      <c r="D2153">
        <v>0.134181571042197</v>
      </c>
      <c r="E2153">
        <v>9.1407104986479595E-2</v>
      </c>
      <c r="F2153">
        <v>0.18678343836574501</v>
      </c>
    </row>
    <row r="2154" spans="1:6" x14ac:dyDescent="0.2">
      <c r="A2154" t="s">
        <v>3293</v>
      </c>
      <c r="B2154" t="s">
        <v>3280</v>
      </c>
      <c r="C2154" t="s">
        <v>648</v>
      </c>
      <c r="D2154">
        <v>0.60269523858574003</v>
      </c>
      <c r="E2154">
        <v>0.44109445255929902</v>
      </c>
      <c r="F2154">
        <v>0.745595731395711</v>
      </c>
    </row>
    <row r="2155" spans="1:6" x14ac:dyDescent="0.2">
      <c r="A2155" t="s">
        <v>3294</v>
      </c>
      <c r="B2155" t="s">
        <v>3282</v>
      </c>
      <c r="C2155" t="s">
        <v>648</v>
      </c>
      <c r="D2155">
        <v>0.59962649202892704</v>
      </c>
      <c r="E2155">
        <v>0.43862073011548502</v>
      </c>
      <c r="F2155">
        <v>0.744648702227104</v>
      </c>
    </row>
    <row r="2156" spans="1:6" x14ac:dyDescent="0.2">
      <c r="A2156" t="s">
        <v>3295</v>
      </c>
      <c r="B2156" t="s">
        <v>3284</v>
      </c>
      <c r="C2156" t="s">
        <v>648</v>
      </c>
      <c r="D2156">
        <v>0.61181050040875495</v>
      </c>
      <c r="E2156">
        <v>0.45045183329407701</v>
      </c>
      <c r="F2156">
        <v>0.75644625070349003</v>
      </c>
    </row>
    <row r="2157" spans="1:6" x14ac:dyDescent="0.2">
      <c r="A2157" t="s">
        <v>3296</v>
      </c>
      <c r="B2157" t="s">
        <v>3286</v>
      </c>
      <c r="C2157" t="s">
        <v>648</v>
      </c>
      <c r="D2157">
        <v>0.65492189340353102</v>
      </c>
      <c r="E2157">
        <v>0.48902986659940401</v>
      </c>
      <c r="F2157">
        <v>0.79427802010471404</v>
      </c>
    </row>
    <row r="2158" spans="1:6" x14ac:dyDescent="0.2">
      <c r="A2158" t="s">
        <v>3297</v>
      </c>
      <c r="B2158" t="s">
        <v>3277</v>
      </c>
      <c r="C2158" t="s">
        <v>648</v>
      </c>
      <c r="D2158">
        <v>0.134181571042197</v>
      </c>
      <c r="E2158">
        <v>9.1407104986479595E-2</v>
      </c>
      <c r="F2158">
        <v>0.18678343836574501</v>
      </c>
    </row>
    <row r="2159" spans="1:6" x14ac:dyDescent="0.2">
      <c r="A2159" t="s">
        <v>3298</v>
      </c>
      <c r="B2159" t="s">
        <v>3288</v>
      </c>
      <c r="C2159" t="s">
        <v>648</v>
      </c>
      <c r="D2159">
        <v>0.17637581227865201</v>
      </c>
      <c r="E2159">
        <v>0.120287618837238</v>
      </c>
      <c r="F2159">
        <v>0.245448953021358</v>
      </c>
    </row>
    <row r="2160" spans="1:6" x14ac:dyDescent="0.2">
      <c r="A2160" t="s">
        <v>3299</v>
      </c>
      <c r="B2160" t="s">
        <v>3271</v>
      </c>
      <c r="C2160" t="s">
        <v>648</v>
      </c>
      <c r="D2160">
        <v>0.16986413575138401</v>
      </c>
      <c r="E2160">
        <v>0.116538685582324</v>
      </c>
      <c r="F2160">
        <v>0.237890114870693</v>
      </c>
    </row>
    <row r="2161" spans="1:6" x14ac:dyDescent="0.2">
      <c r="A2161" t="s">
        <v>3300</v>
      </c>
      <c r="B2161" t="s">
        <v>3273</v>
      </c>
      <c r="C2161" t="s">
        <v>648</v>
      </c>
      <c r="D2161">
        <v>0.19588798240517499</v>
      </c>
      <c r="E2161">
        <v>0.13427417775220499</v>
      </c>
      <c r="F2161">
        <v>0.26993357417887098</v>
      </c>
    </row>
    <row r="2162" spans="1:6" x14ac:dyDescent="0.2">
      <c r="A2162" t="s">
        <v>3301</v>
      </c>
      <c r="B2162" t="s">
        <v>3275</v>
      </c>
      <c r="C2162" t="s">
        <v>648</v>
      </c>
      <c r="D2162">
        <v>0.28856137287195199</v>
      </c>
      <c r="E2162">
        <v>0.20633621822325701</v>
      </c>
      <c r="F2162">
        <v>0.38127896473157602</v>
      </c>
    </row>
    <row r="2163" spans="1:6" x14ac:dyDescent="0.2">
      <c r="A2163" t="s">
        <v>3302</v>
      </c>
      <c r="B2163" t="s">
        <v>3277</v>
      </c>
      <c r="C2163" t="s">
        <v>648</v>
      </c>
      <c r="D2163">
        <v>0.134181571042197</v>
      </c>
      <c r="E2163">
        <v>9.1407104986479595E-2</v>
      </c>
      <c r="F2163">
        <v>0.18678343836574501</v>
      </c>
    </row>
    <row r="2164" spans="1:6" x14ac:dyDescent="0.2">
      <c r="A2164" t="s">
        <v>3303</v>
      </c>
      <c r="B2164" t="s">
        <v>3280</v>
      </c>
      <c r="C2164" t="s">
        <v>648</v>
      </c>
      <c r="D2164">
        <v>0.60269523858574003</v>
      </c>
      <c r="E2164">
        <v>0.44109445255929902</v>
      </c>
      <c r="F2164">
        <v>0.745595731395711</v>
      </c>
    </row>
    <row r="2165" spans="1:6" x14ac:dyDescent="0.2">
      <c r="A2165" t="s">
        <v>3304</v>
      </c>
      <c r="B2165" t="s">
        <v>3282</v>
      </c>
      <c r="C2165" t="s">
        <v>648</v>
      </c>
      <c r="D2165">
        <v>0.59962649202892704</v>
      </c>
      <c r="E2165">
        <v>0.43862073011548502</v>
      </c>
      <c r="F2165">
        <v>0.744648702227104</v>
      </c>
    </row>
    <row r="2166" spans="1:6" x14ac:dyDescent="0.2">
      <c r="A2166" t="s">
        <v>3305</v>
      </c>
      <c r="B2166" t="s">
        <v>3284</v>
      </c>
      <c r="C2166" t="s">
        <v>648</v>
      </c>
      <c r="D2166">
        <v>0.61181050040875495</v>
      </c>
      <c r="E2166">
        <v>0.45045183329407701</v>
      </c>
      <c r="F2166">
        <v>0.75644625070349003</v>
      </c>
    </row>
    <row r="2167" spans="1:6" x14ac:dyDescent="0.2">
      <c r="A2167" t="s">
        <v>3306</v>
      </c>
      <c r="B2167" t="s">
        <v>3286</v>
      </c>
      <c r="C2167" t="s">
        <v>648</v>
      </c>
      <c r="D2167">
        <v>0.65492189340353102</v>
      </c>
      <c r="E2167">
        <v>0.48902986659940401</v>
      </c>
      <c r="F2167">
        <v>0.79427802010471404</v>
      </c>
    </row>
    <row r="2168" spans="1:6" x14ac:dyDescent="0.2">
      <c r="A2168" t="s">
        <v>3307</v>
      </c>
      <c r="B2168" t="s">
        <v>3277</v>
      </c>
      <c r="C2168" t="s">
        <v>648</v>
      </c>
      <c r="D2168">
        <v>0.134181571042197</v>
      </c>
      <c r="E2168">
        <v>9.1407104986479595E-2</v>
      </c>
      <c r="F2168">
        <v>0.18678343836574501</v>
      </c>
    </row>
    <row r="2169" spans="1:6" x14ac:dyDescent="0.2">
      <c r="A2169" t="s">
        <v>3308</v>
      </c>
      <c r="B2169" t="s">
        <v>3309</v>
      </c>
      <c r="C2169" t="s">
        <v>648</v>
      </c>
      <c r="D2169">
        <v>0.44812836502254699</v>
      </c>
      <c r="E2169">
        <v>0.324691136769861</v>
      </c>
      <c r="F2169">
        <v>0.57978085458888395</v>
      </c>
    </row>
    <row r="2170" spans="1:6" x14ac:dyDescent="0.2">
      <c r="A2170" t="s">
        <v>3310</v>
      </c>
      <c r="B2170" t="s">
        <v>3311</v>
      </c>
      <c r="C2170" t="s">
        <v>648</v>
      </c>
      <c r="D2170">
        <v>0.443823943401359</v>
      </c>
      <c r="E2170">
        <v>0.32046179997091401</v>
      </c>
      <c r="F2170">
        <v>0.57652477271967395</v>
      </c>
    </row>
    <row r="2171" spans="1:6" x14ac:dyDescent="0.2">
      <c r="A2171" t="s">
        <v>3312</v>
      </c>
      <c r="B2171" t="s">
        <v>3313</v>
      </c>
      <c r="C2171" t="s">
        <v>648</v>
      </c>
      <c r="D2171">
        <v>0.46096238010600898</v>
      </c>
      <c r="E2171">
        <v>0.33429476229838201</v>
      </c>
      <c r="F2171">
        <v>0.59546942830195104</v>
      </c>
    </row>
    <row r="2172" spans="1:6" x14ac:dyDescent="0.2">
      <c r="A2172" t="s">
        <v>3314</v>
      </c>
      <c r="B2172" t="s">
        <v>3315</v>
      </c>
      <c r="C2172" t="s">
        <v>648</v>
      </c>
      <c r="D2172">
        <v>0.52182174373328005</v>
      </c>
      <c r="E2172">
        <v>0.38457533654704001</v>
      </c>
      <c r="F2172">
        <v>0.66457300246724504</v>
      </c>
    </row>
    <row r="2173" spans="1:6" x14ac:dyDescent="0.2">
      <c r="A2173" t="s">
        <v>3316</v>
      </c>
      <c r="B2173" t="s">
        <v>3317</v>
      </c>
      <c r="C2173" t="s">
        <v>648</v>
      </c>
      <c r="D2173">
        <v>0.42002428310105</v>
      </c>
      <c r="E2173">
        <v>0.29523830020497399</v>
      </c>
      <c r="F2173">
        <v>0.55526131515376098</v>
      </c>
    </row>
    <row r="2174" spans="1:6" x14ac:dyDescent="0.2">
      <c r="A2174" t="s">
        <v>3318</v>
      </c>
      <c r="B2174" t="s">
        <v>3317</v>
      </c>
      <c r="C2174" t="s">
        <v>648</v>
      </c>
      <c r="D2174">
        <v>0.42002428310105</v>
      </c>
      <c r="E2174">
        <v>0.29523830020497399</v>
      </c>
      <c r="F2174">
        <v>0.55526131515376098</v>
      </c>
    </row>
    <row r="2175" spans="1:6" x14ac:dyDescent="0.2">
      <c r="A2175" t="s">
        <v>3319</v>
      </c>
      <c r="B2175" t="s">
        <v>3320</v>
      </c>
      <c r="C2175" t="s">
        <v>648</v>
      </c>
      <c r="D2175">
        <v>0.72924618430257804</v>
      </c>
      <c r="E2175">
        <v>0.55545262295808295</v>
      </c>
      <c r="F2175">
        <v>0.86244174413113694</v>
      </c>
    </row>
    <row r="2176" spans="1:6" x14ac:dyDescent="0.2">
      <c r="A2176" t="s">
        <v>3321</v>
      </c>
      <c r="B2176" t="s">
        <v>3322</v>
      </c>
      <c r="C2176" t="s">
        <v>648</v>
      </c>
      <c r="D2176">
        <v>0.72718211301740199</v>
      </c>
      <c r="E2176">
        <v>0.55342942249857696</v>
      </c>
      <c r="F2176">
        <v>0.86137797898875301</v>
      </c>
    </row>
    <row r="2177" spans="1:6" x14ac:dyDescent="0.2">
      <c r="A2177" t="s">
        <v>3323</v>
      </c>
      <c r="B2177" t="s">
        <v>3324</v>
      </c>
      <c r="C2177" t="s">
        <v>648</v>
      </c>
      <c r="D2177">
        <v>0.73534943549813403</v>
      </c>
      <c r="E2177">
        <v>0.56239395587803698</v>
      </c>
      <c r="F2177">
        <v>0.86780056139348605</v>
      </c>
    </row>
    <row r="2178" spans="1:6" x14ac:dyDescent="0.2">
      <c r="A2178" t="s">
        <v>3325</v>
      </c>
      <c r="B2178" t="s">
        <v>3326</v>
      </c>
      <c r="C2178" t="s">
        <v>648</v>
      </c>
      <c r="D2178">
        <v>0.76416168239367799</v>
      </c>
      <c r="E2178">
        <v>0.59329264338390997</v>
      </c>
      <c r="F2178">
        <v>0.88953947560095903</v>
      </c>
    </row>
    <row r="2179" spans="1:6" x14ac:dyDescent="0.2">
      <c r="A2179" t="s">
        <v>3327</v>
      </c>
      <c r="B2179" t="s">
        <v>3309</v>
      </c>
      <c r="C2179" t="s">
        <v>648</v>
      </c>
      <c r="D2179">
        <v>0.44812836502254699</v>
      </c>
      <c r="E2179">
        <v>0.324691136769861</v>
      </c>
      <c r="F2179">
        <v>0.57978085458888395</v>
      </c>
    </row>
    <row r="2180" spans="1:6" x14ac:dyDescent="0.2">
      <c r="A2180" t="s">
        <v>3328</v>
      </c>
      <c r="B2180" t="s">
        <v>3311</v>
      </c>
      <c r="C2180" t="s">
        <v>648</v>
      </c>
      <c r="D2180">
        <v>0.443823943401359</v>
      </c>
      <c r="E2180">
        <v>0.32046179997091401</v>
      </c>
      <c r="F2180">
        <v>0.57652477271967395</v>
      </c>
    </row>
    <row r="2181" spans="1:6" x14ac:dyDescent="0.2">
      <c r="A2181" t="s">
        <v>3329</v>
      </c>
      <c r="B2181" t="s">
        <v>3313</v>
      </c>
      <c r="C2181" t="s">
        <v>648</v>
      </c>
      <c r="D2181">
        <v>0.46096238010600898</v>
      </c>
      <c r="E2181">
        <v>0.33429476229838201</v>
      </c>
      <c r="F2181">
        <v>0.59546942830195104</v>
      </c>
    </row>
    <row r="2182" spans="1:6" x14ac:dyDescent="0.2">
      <c r="A2182" t="s">
        <v>3330</v>
      </c>
      <c r="B2182" t="s">
        <v>3315</v>
      </c>
      <c r="C2182" t="s">
        <v>648</v>
      </c>
      <c r="D2182">
        <v>0.52182174373328005</v>
      </c>
      <c r="E2182">
        <v>0.38457533654704001</v>
      </c>
      <c r="F2182">
        <v>0.66457300246724504</v>
      </c>
    </row>
    <row r="2183" spans="1:6" x14ac:dyDescent="0.2">
      <c r="A2183" t="s">
        <v>3331</v>
      </c>
      <c r="B2183" t="s">
        <v>3317</v>
      </c>
      <c r="C2183" t="s">
        <v>648</v>
      </c>
      <c r="D2183">
        <v>0.42002428310105</v>
      </c>
      <c r="E2183">
        <v>0.29523830020497399</v>
      </c>
      <c r="F2183">
        <v>0.55526131515376098</v>
      </c>
    </row>
    <row r="2184" spans="1:6" x14ac:dyDescent="0.2">
      <c r="A2184" t="s">
        <v>3332</v>
      </c>
      <c r="B2184" t="s">
        <v>3320</v>
      </c>
      <c r="C2184" t="s">
        <v>648</v>
      </c>
      <c r="D2184">
        <v>0.72924618430257804</v>
      </c>
      <c r="E2184">
        <v>0.55545262295808295</v>
      </c>
      <c r="F2184">
        <v>0.86244174413113694</v>
      </c>
    </row>
    <row r="2185" spans="1:6" x14ac:dyDescent="0.2">
      <c r="A2185" t="s">
        <v>3333</v>
      </c>
      <c r="B2185" t="s">
        <v>3322</v>
      </c>
      <c r="C2185" t="s">
        <v>648</v>
      </c>
      <c r="D2185">
        <v>0.72718211301740199</v>
      </c>
      <c r="E2185">
        <v>0.55342942249857696</v>
      </c>
      <c r="F2185">
        <v>0.86137797898875301</v>
      </c>
    </row>
    <row r="2186" spans="1:6" x14ac:dyDescent="0.2">
      <c r="A2186" t="s">
        <v>3334</v>
      </c>
      <c r="B2186" t="s">
        <v>3324</v>
      </c>
      <c r="C2186" t="s">
        <v>648</v>
      </c>
      <c r="D2186">
        <v>0.73534943549813403</v>
      </c>
      <c r="E2186">
        <v>0.56239395587803698</v>
      </c>
      <c r="F2186">
        <v>0.86780056139348605</v>
      </c>
    </row>
    <row r="2187" spans="1:6" x14ac:dyDescent="0.2">
      <c r="A2187" t="s">
        <v>3335</v>
      </c>
      <c r="B2187" t="s">
        <v>3326</v>
      </c>
      <c r="C2187" t="s">
        <v>648</v>
      </c>
      <c r="D2187">
        <v>0.76416168239367799</v>
      </c>
      <c r="E2187">
        <v>0.59329264338390997</v>
      </c>
      <c r="F2187">
        <v>0.88953947560095903</v>
      </c>
    </row>
    <row r="2188" spans="1:6" x14ac:dyDescent="0.2">
      <c r="A2188" t="s">
        <v>3336</v>
      </c>
      <c r="B2188" t="s">
        <v>3317</v>
      </c>
      <c r="C2188" t="s">
        <v>648</v>
      </c>
      <c r="D2188">
        <v>0.42002428310105</v>
      </c>
      <c r="E2188">
        <v>0.29523830020497399</v>
      </c>
      <c r="F2188">
        <v>0.55526131515376098</v>
      </c>
    </row>
    <row r="2189" spans="1:6" x14ac:dyDescent="0.2">
      <c r="A2189" t="s">
        <v>3337</v>
      </c>
      <c r="B2189" t="s">
        <v>3309</v>
      </c>
      <c r="C2189" t="s">
        <v>648</v>
      </c>
      <c r="D2189">
        <v>0.44812836502254699</v>
      </c>
      <c r="E2189">
        <v>0.324691136769861</v>
      </c>
      <c r="F2189">
        <v>0.57978085458888395</v>
      </c>
    </row>
    <row r="2190" spans="1:6" x14ac:dyDescent="0.2">
      <c r="A2190" t="s">
        <v>3338</v>
      </c>
      <c r="B2190" t="s">
        <v>3311</v>
      </c>
      <c r="C2190" t="s">
        <v>648</v>
      </c>
      <c r="D2190">
        <v>0.443823943401359</v>
      </c>
      <c r="E2190">
        <v>0.32046179997091401</v>
      </c>
      <c r="F2190">
        <v>0.57652477271967395</v>
      </c>
    </row>
    <row r="2191" spans="1:6" x14ac:dyDescent="0.2">
      <c r="A2191" t="s">
        <v>3339</v>
      </c>
      <c r="B2191" t="s">
        <v>3313</v>
      </c>
      <c r="C2191" t="s">
        <v>648</v>
      </c>
      <c r="D2191">
        <v>0.46096238010600898</v>
      </c>
      <c r="E2191">
        <v>0.33429476229838201</v>
      </c>
      <c r="F2191">
        <v>0.59546942830195104</v>
      </c>
    </row>
    <row r="2192" spans="1:6" x14ac:dyDescent="0.2">
      <c r="A2192" t="s">
        <v>3340</v>
      </c>
      <c r="B2192" t="s">
        <v>3315</v>
      </c>
      <c r="C2192" t="s">
        <v>648</v>
      </c>
      <c r="D2192">
        <v>0.52182174373328005</v>
      </c>
      <c r="E2192">
        <v>0.38457533654704001</v>
      </c>
      <c r="F2192">
        <v>0.66457300246724504</v>
      </c>
    </row>
    <row r="2193" spans="1:6" x14ac:dyDescent="0.2">
      <c r="A2193" t="s">
        <v>3341</v>
      </c>
      <c r="B2193" t="s">
        <v>3317</v>
      </c>
      <c r="C2193" t="s">
        <v>648</v>
      </c>
      <c r="D2193">
        <v>0.42002428310105</v>
      </c>
      <c r="E2193">
        <v>0.29523830020497399</v>
      </c>
      <c r="F2193">
        <v>0.55526131515376098</v>
      </c>
    </row>
    <row r="2194" spans="1:6" x14ac:dyDescent="0.2">
      <c r="A2194" t="s">
        <v>3342</v>
      </c>
      <c r="B2194" t="s">
        <v>3320</v>
      </c>
      <c r="C2194" t="s">
        <v>648</v>
      </c>
      <c r="D2194">
        <v>0.72924618430257804</v>
      </c>
      <c r="E2194">
        <v>0.55545262295808295</v>
      </c>
      <c r="F2194">
        <v>0.86244174413113694</v>
      </c>
    </row>
    <row r="2195" spans="1:6" x14ac:dyDescent="0.2">
      <c r="A2195" t="s">
        <v>3343</v>
      </c>
      <c r="B2195" t="s">
        <v>3322</v>
      </c>
      <c r="C2195" t="s">
        <v>648</v>
      </c>
      <c r="D2195">
        <v>0.72718211301740199</v>
      </c>
      <c r="E2195">
        <v>0.55342942249857696</v>
      </c>
      <c r="F2195">
        <v>0.86137797898875301</v>
      </c>
    </row>
    <row r="2196" spans="1:6" x14ac:dyDescent="0.2">
      <c r="A2196" t="s">
        <v>3344</v>
      </c>
      <c r="B2196" t="s">
        <v>3324</v>
      </c>
      <c r="C2196" t="s">
        <v>648</v>
      </c>
      <c r="D2196">
        <v>0.73534943549813403</v>
      </c>
      <c r="E2196">
        <v>0.56239395587803698</v>
      </c>
      <c r="F2196">
        <v>0.86780056139348605</v>
      </c>
    </row>
    <row r="2197" spans="1:6" x14ac:dyDescent="0.2">
      <c r="A2197" t="s">
        <v>3345</v>
      </c>
      <c r="B2197" t="s">
        <v>3326</v>
      </c>
      <c r="C2197" t="s">
        <v>648</v>
      </c>
      <c r="D2197">
        <v>0.76416168239367799</v>
      </c>
      <c r="E2197">
        <v>0.59329264338390997</v>
      </c>
      <c r="F2197">
        <v>0.88953947560095903</v>
      </c>
    </row>
    <row r="2198" spans="1:6" x14ac:dyDescent="0.2">
      <c r="A2198" t="s">
        <v>3346</v>
      </c>
      <c r="B2198" t="s">
        <v>3317</v>
      </c>
      <c r="C2198" t="s">
        <v>648</v>
      </c>
      <c r="D2198">
        <v>0.42002428310105</v>
      </c>
      <c r="E2198">
        <v>0.29523830020497399</v>
      </c>
      <c r="F2198">
        <v>0.55526131515376098</v>
      </c>
    </row>
    <row r="2199" spans="1:6" x14ac:dyDescent="0.2">
      <c r="A2199" t="s">
        <v>3347</v>
      </c>
      <c r="B2199" t="s">
        <v>3348</v>
      </c>
      <c r="C2199" t="s">
        <v>648</v>
      </c>
      <c r="D2199">
        <v>0.51152723895591201</v>
      </c>
      <c r="E2199">
        <v>0.37180684783877699</v>
      </c>
      <c r="F2199">
        <v>0.65093348688396602</v>
      </c>
    </row>
    <row r="2200" spans="1:6" x14ac:dyDescent="0.2">
      <c r="A2200" t="s">
        <v>3349</v>
      </c>
      <c r="B2200" t="s">
        <v>3350</v>
      </c>
      <c r="C2200" t="s">
        <v>648</v>
      </c>
      <c r="D2200">
        <v>0.50772973658845999</v>
      </c>
      <c r="E2200">
        <v>0.36830539669821</v>
      </c>
      <c r="F2200">
        <v>0.64698432516423598</v>
      </c>
    </row>
    <row r="2201" spans="1:6" x14ac:dyDescent="0.2">
      <c r="A2201" t="s">
        <v>3351</v>
      </c>
      <c r="B2201" t="s">
        <v>3352</v>
      </c>
      <c r="C2201" t="s">
        <v>648</v>
      </c>
      <c r="D2201">
        <v>0.52283253438281596</v>
      </c>
      <c r="E2201">
        <v>0.381215344515348</v>
      </c>
      <c r="F2201">
        <v>0.66299581738062496</v>
      </c>
    </row>
    <row r="2202" spans="1:6" x14ac:dyDescent="0.2">
      <c r="A2202" t="s">
        <v>3353</v>
      </c>
      <c r="B2202" t="s">
        <v>3354</v>
      </c>
      <c r="C2202" t="s">
        <v>648</v>
      </c>
      <c r="D2202">
        <v>0.57637141722338003</v>
      </c>
      <c r="E2202">
        <v>0.42764640207086002</v>
      </c>
      <c r="F2202">
        <v>0.72067046121846401</v>
      </c>
    </row>
    <row r="2203" spans="1:6" x14ac:dyDescent="0.2">
      <c r="A2203" t="s">
        <v>3355</v>
      </c>
      <c r="B2203" t="s">
        <v>3356</v>
      </c>
      <c r="C2203" t="s">
        <v>648</v>
      </c>
      <c r="D2203">
        <v>0.48666746516085901</v>
      </c>
      <c r="E2203">
        <v>0.34534308189833801</v>
      </c>
      <c r="F2203">
        <v>0.62808559323119095</v>
      </c>
    </row>
    <row r="2204" spans="1:6" x14ac:dyDescent="0.2">
      <c r="A2204" t="s">
        <v>3357</v>
      </c>
      <c r="B2204" t="s">
        <v>3348</v>
      </c>
      <c r="C2204" t="s">
        <v>648</v>
      </c>
      <c r="D2204">
        <v>0.51152723895591201</v>
      </c>
      <c r="E2204">
        <v>0.37180684783877699</v>
      </c>
      <c r="F2204">
        <v>0.65093348688396602</v>
      </c>
    </row>
    <row r="2205" spans="1:6" x14ac:dyDescent="0.2">
      <c r="A2205" t="s">
        <v>3358</v>
      </c>
      <c r="B2205" t="s">
        <v>3359</v>
      </c>
      <c r="C2205" t="s">
        <v>648</v>
      </c>
      <c r="D2205">
        <v>0.759066357083376</v>
      </c>
      <c r="E2205">
        <v>0.59171257447718495</v>
      </c>
      <c r="F2205">
        <v>0.88697536813283395</v>
      </c>
    </row>
    <row r="2206" spans="1:6" x14ac:dyDescent="0.2">
      <c r="A2206" t="s">
        <v>3360</v>
      </c>
      <c r="B2206" t="s">
        <v>3361</v>
      </c>
      <c r="C2206" t="s">
        <v>648</v>
      </c>
      <c r="D2206">
        <v>0.75723531840435299</v>
      </c>
      <c r="E2206">
        <v>0.58938418076935395</v>
      </c>
      <c r="F2206">
        <v>0.88581967601193401</v>
      </c>
    </row>
    <row r="2207" spans="1:6" x14ac:dyDescent="0.2">
      <c r="A2207" t="s">
        <v>3362</v>
      </c>
      <c r="B2207" t="s">
        <v>3363</v>
      </c>
      <c r="C2207" t="s">
        <v>648</v>
      </c>
      <c r="D2207">
        <v>0.76447246987030104</v>
      </c>
      <c r="E2207">
        <v>0.59649417291902296</v>
      </c>
      <c r="F2207">
        <v>0.89147996685241604</v>
      </c>
    </row>
    <row r="2208" spans="1:6" x14ac:dyDescent="0.2">
      <c r="A2208" t="s">
        <v>3364</v>
      </c>
      <c r="B2208" t="s">
        <v>3365</v>
      </c>
      <c r="C2208" t="s">
        <v>648</v>
      </c>
      <c r="D2208">
        <v>0.78995912091253795</v>
      </c>
      <c r="E2208">
        <v>0.62613523354575795</v>
      </c>
      <c r="F2208">
        <v>0.91002901411119297</v>
      </c>
    </row>
    <row r="2209" spans="1:6" x14ac:dyDescent="0.2">
      <c r="A2209" t="s">
        <v>3366</v>
      </c>
      <c r="B2209" t="s">
        <v>3348</v>
      </c>
      <c r="C2209" t="s">
        <v>648</v>
      </c>
      <c r="D2209">
        <v>0.51152723895591201</v>
      </c>
      <c r="E2209">
        <v>0.37180684783877699</v>
      </c>
      <c r="F2209">
        <v>0.65093348688396602</v>
      </c>
    </row>
    <row r="2210" spans="1:6" x14ac:dyDescent="0.2">
      <c r="A2210" t="s">
        <v>3367</v>
      </c>
      <c r="B2210" t="s">
        <v>3350</v>
      </c>
      <c r="C2210" t="s">
        <v>648</v>
      </c>
      <c r="D2210">
        <v>0.50772973658845999</v>
      </c>
      <c r="E2210">
        <v>0.36830539669821</v>
      </c>
      <c r="F2210">
        <v>0.64698432516423598</v>
      </c>
    </row>
    <row r="2211" spans="1:6" x14ac:dyDescent="0.2">
      <c r="A2211" t="s">
        <v>3368</v>
      </c>
      <c r="B2211" t="s">
        <v>3352</v>
      </c>
      <c r="C2211" t="s">
        <v>648</v>
      </c>
      <c r="D2211">
        <v>0.52283253438281596</v>
      </c>
      <c r="E2211">
        <v>0.381215344515348</v>
      </c>
      <c r="F2211">
        <v>0.66299581738062496</v>
      </c>
    </row>
    <row r="2212" spans="1:6" x14ac:dyDescent="0.2">
      <c r="A2212" t="s">
        <v>3369</v>
      </c>
      <c r="B2212" t="s">
        <v>3354</v>
      </c>
      <c r="C2212" t="s">
        <v>648</v>
      </c>
      <c r="D2212">
        <v>0.57637141722338003</v>
      </c>
      <c r="E2212">
        <v>0.42764640207086002</v>
      </c>
      <c r="F2212">
        <v>0.72067046121846401</v>
      </c>
    </row>
    <row r="2213" spans="1:6" x14ac:dyDescent="0.2">
      <c r="A2213" t="s">
        <v>3370</v>
      </c>
      <c r="B2213" t="s">
        <v>3356</v>
      </c>
      <c r="C2213" t="s">
        <v>648</v>
      </c>
      <c r="D2213">
        <v>0.48666746516085901</v>
      </c>
      <c r="E2213">
        <v>0.34534308189833801</v>
      </c>
      <c r="F2213">
        <v>0.62808559323119095</v>
      </c>
    </row>
    <row r="2214" spans="1:6" x14ac:dyDescent="0.2">
      <c r="A2214" t="s">
        <v>3371</v>
      </c>
      <c r="B2214" t="s">
        <v>3359</v>
      </c>
      <c r="C2214" t="s">
        <v>648</v>
      </c>
      <c r="D2214">
        <v>0.759066357083376</v>
      </c>
      <c r="E2214">
        <v>0.59171257447718495</v>
      </c>
      <c r="F2214">
        <v>0.88697536813283395</v>
      </c>
    </row>
    <row r="2215" spans="1:6" x14ac:dyDescent="0.2">
      <c r="A2215" t="s">
        <v>3372</v>
      </c>
      <c r="B2215" t="s">
        <v>3361</v>
      </c>
      <c r="C2215" t="s">
        <v>648</v>
      </c>
      <c r="D2215">
        <v>0.75723531840435299</v>
      </c>
      <c r="E2215">
        <v>0.58938418076935395</v>
      </c>
      <c r="F2215">
        <v>0.88581967601193401</v>
      </c>
    </row>
    <row r="2216" spans="1:6" x14ac:dyDescent="0.2">
      <c r="A2216" t="s">
        <v>3373</v>
      </c>
      <c r="B2216" t="s">
        <v>3363</v>
      </c>
      <c r="C2216" t="s">
        <v>648</v>
      </c>
      <c r="D2216">
        <v>0.76447246987030104</v>
      </c>
      <c r="E2216">
        <v>0.59649417291902296</v>
      </c>
      <c r="F2216">
        <v>0.89147996685241604</v>
      </c>
    </row>
    <row r="2217" spans="1:6" x14ac:dyDescent="0.2">
      <c r="A2217" t="s">
        <v>3374</v>
      </c>
      <c r="B2217" t="s">
        <v>3365</v>
      </c>
      <c r="C2217" t="s">
        <v>648</v>
      </c>
      <c r="D2217">
        <v>0.78995912091253795</v>
      </c>
      <c r="E2217">
        <v>0.62613523354575795</v>
      </c>
      <c r="F2217">
        <v>0.91002901411119297</v>
      </c>
    </row>
    <row r="2218" spans="1:6" x14ac:dyDescent="0.2">
      <c r="A2218" t="s">
        <v>3375</v>
      </c>
      <c r="B2218" t="s">
        <v>3356</v>
      </c>
      <c r="C2218" t="s">
        <v>648</v>
      </c>
      <c r="D2218">
        <v>0.48666746516085901</v>
      </c>
      <c r="E2218">
        <v>0.34534308189833801</v>
      </c>
      <c r="F2218">
        <v>0.62808559323119095</v>
      </c>
    </row>
    <row r="2219" spans="1:6" x14ac:dyDescent="0.2">
      <c r="A2219" t="s">
        <v>3376</v>
      </c>
      <c r="B2219" t="s">
        <v>3348</v>
      </c>
      <c r="C2219" t="s">
        <v>648</v>
      </c>
      <c r="D2219">
        <v>0.51152723895591201</v>
      </c>
      <c r="E2219">
        <v>0.37180684783877699</v>
      </c>
      <c r="F2219">
        <v>0.65093348688396602</v>
      </c>
    </row>
    <row r="2220" spans="1:6" x14ac:dyDescent="0.2">
      <c r="A2220" t="s">
        <v>3377</v>
      </c>
      <c r="B2220" t="s">
        <v>3350</v>
      </c>
      <c r="C2220" t="s">
        <v>648</v>
      </c>
      <c r="D2220">
        <v>0.50772973658845999</v>
      </c>
      <c r="E2220">
        <v>0.36830539669821</v>
      </c>
      <c r="F2220">
        <v>0.64698432516423598</v>
      </c>
    </row>
    <row r="2221" spans="1:6" x14ac:dyDescent="0.2">
      <c r="A2221" t="s">
        <v>3378</v>
      </c>
      <c r="B2221" t="s">
        <v>3352</v>
      </c>
      <c r="C2221" t="s">
        <v>648</v>
      </c>
      <c r="D2221">
        <v>0.52283253438281596</v>
      </c>
      <c r="E2221">
        <v>0.381215344515348</v>
      </c>
      <c r="F2221">
        <v>0.66299581738062496</v>
      </c>
    </row>
    <row r="2222" spans="1:6" x14ac:dyDescent="0.2">
      <c r="A2222" t="s">
        <v>3379</v>
      </c>
      <c r="B2222" t="s">
        <v>3354</v>
      </c>
      <c r="C2222" t="s">
        <v>648</v>
      </c>
      <c r="D2222">
        <v>0.57637141722338003</v>
      </c>
      <c r="E2222">
        <v>0.42764640207086002</v>
      </c>
      <c r="F2222">
        <v>0.72067046121846401</v>
      </c>
    </row>
    <row r="2223" spans="1:6" x14ac:dyDescent="0.2">
      <c r="A2223" t="s">
        <v>3380</v>
      </c>
      <c r="B2223" t="s">
        <v>3356</v>
      </c>
      <c r="C2223" t="s">
        <v>648</v>
      </c>
      <c r="D2223">
        <v>0.48666746516085901</v>
      </c>
      <c r="E2223">
        <v>0.34534308189833801</v>
      </c>
      <c r="F2223">
        <v>0.62808559323119095</v>
      </c>
    </row>
    <row r="2224" spans="1:6" x14ac:dyDescent="0.2">
      <c r="A2224" t="s">
        <v>3381</v>
      </c>
      <c r="B2224" t="s">
        <v>3359</v>
      </c>
      <c r="C2224" t="s">
        <v>648</v>
      </c>
      <c r="D2224">
        <v>0.759066357083376</v>
      </c>
      <c r="E2224">
        <v>0.59171257447718495</v>
      </c>
      <c r="F2224">
        <v>0.88697536813283395</v>
      </c>
    </row>
    <row r="2225" spans="1:6" x14ac:dyDescent="0.2">
      <c r="A2225" t="s">
        <v>3382</v>
      </c>
      <c r="B2225" t="s">
        <v>3361</v>
      </c>
      <c r="C2225" t="s">
        <v>648</v>
      </c>
      <c r="D2225">
        <v>0.75723531840435299</v>
      </c>
      <c r="E2225">
        <v>0.58938418076935395</v>
      </c>
      <c r="F2225">
        <v>0.88581967601193401</v>
      </c>
    </row>
    <row r="2226" spans="1:6" x14ac:dyDescent="0.2">
      <c r="A2226" t="s">
        <v>3383</v>
      </c>
      <c r="B2226" t="s">
        <v>3363</v>
      </c>
      <c r="C2226" t="s">
        <v>648</v>
      </c>
      <c r="D2226">
        <v>0.76447246987030104</v>
      </c>
      <c r="E2226">
        <v>0.59649417291902296</v>
      </c>
      <c r="F2226">
        <v>0.89147996685241604</v>
      </c>
    </row>
    <row r="2227" spans="1:6" x14ac:dyDescent="0.2">
      <c r="A2227" t="s">
        <v>3384</v>
      </c>
      <c r="B2227" t="s">
        <v>3365</v>
      </c>
      <c r="C2227" t="s">
        <v>648</v>
      </c>
      <c r="D2227">
        <v>0.78995912091253795</v>
      </c>
      <c r="E2227">
        <v>0.62613523354575795</v>
      </c>
      <c r="F2227">
        <v>0.91002901411119297</v>
      </c>
    </row>
    <row r="2228" spans="1:6" x14ac:dyDescent="0.2">
      <c r="A2228" t="s">
        <v>3385</v>
      </c>
      <c r="B2228" t="s">
        <v>3356</v>
      </c>
      <c r="C2228" t="s">
        <v>648</v>
      </c>
      <c r="D2228">
        <v>0.48666746516085901</v>
      </c>
      <c r="E2228">
        <v>0.34534308189833801</v>
      </c>
      <c r="F2228">
        <v>0.62808559323119095</v>
      </c>
    </row>
    <row r="2229" spans="1:6" x14ac:dyDescent="0.2">
      <c r="A2229" t="s">
        <v>3386</v>
      </c>
      <c r="B2229" t="s">
        <v>971</v>
      </c>
      <c r="C2229" t="s">
        <v>972</v>
      </c>
      <c r="D2229">
        <v>0.218848731399999</v>
      </c>
      <c r="E2229">
        <v>0.14806672500000001</v>
      </c>
      <c r="F2229">
        <v>0.30782901499999998</v>
      </c>
    </row>
    <row r="2230" spans="1:6" x14ac:dyDescent="0.2">
      <c r="A2230" t="s">
        <v>3387</v>
      </c>
      <c r="B2230" t="s">
        <v>1911</v>
      </c>
      <c r="C2230" t="s">
        <v>1912</v>
      </c>
      <c r="D2230">
        <v>6.9140862800000105E-2</v>
      </c>
      <c r="E2230">
        <v>4.5942015000000003E-2</v>
      </c>
      <c r="F2230">
        <v>9.8852454999999895E-2</v>
      </c>
    </row>
    <row r="2231" spans="1:6" x14ac:dyDescent="0.2">
      <c r="A2231" t="s">
        <v>3388</v>
      </c>
      <c r="B2231" t="s">
        <v>1914</v>
      </c>
      <c r="C2231" t="s">
        <v>1915</v>
      </c>
      <c r="D2231">
        <v>0.376894274299999</v>
      </c>
      <c r="E2231">
        <v>0.25230419249999902</v>
      </c>
      <c r="F2231">
        <v>0.50846592999999995</v>
      </c>
    </row>
    <row r="2232" spans="1:6" x14ac:dyDescent="0.2">
      <c r="A2232" t="s">
        <v>3389</v>
      </c>
      <c r="B2232" t="s">
        <v>940</v>
      </c>
      <c r="C2232" t="s">
        <v>941</v>
      </c>
      <c r="D2232">
        <v>1.9316720799999899E-2</v>
      </c>
      <c r="E2232">
        <v>1.06353925E-2</v>
      </c>
      <c r="F2232">
        <v>3.2722879999999899E-2</v>
      </c>
    </row>
    <row r="2233" spans="1:6" x14ac:dyDescent="0.2">
      <c r="A2233" t="s">
        <v>3390</v>
      </c>
      <c r="B2233" t="s">
        <v>1005</v>
      </c>
      <c r="C2233" t="s">
        <v>1006</v>
      </c>
      <c r="D2233">
        <v>0.22517170789999999</v>
      </c>
      <c r="E2233">
        <v>0.15291988000000001</v>
      </c>
      <c r="F2233">
        <v>0.30972899249999902</v>
      </c>
    </row>
    <row r="2234" spans="1:6" x14ac:dyDescent="0.2">
      <c r="A2234" t="s">
        <v>3391</v>
      </c>
      <c r="B2234" t="s">
        <v>1008</v>
      </c>
      <c r="C2234" t="s">
        <v>1009</v>
      </c>
      <c r="D2234">
        <v>0.40785797679999902</v>
      </c>
      <c r="E2234">
        <v>0.273411367499999</v>
      </c>
      <c r="F2234">
        <v>0.55565908499999905</v>
      </c>
    </row>
    <row r="2235" spans="1:6" x14ac:dyDescent="0.2">
      <c r="A2235" t="s">
        <v>3392</v>
      </c>
      <c r="B2235" t="s">
        <v>3393</v>
      </c>
      <c r="C2235" t="s">
        <v>648</v>
      </c>
      <c r="D2235">
        <v>0.27245404859638001</v>
      </c>
      <c r="E2235">
        <v>0.188822236203956</v>
      </c>
      <c r="F2235">
        <v>0.373066796650736</v>
      </c>
    </row>
    <row r="2236" spans="1:6" x14ac:dyDescent="0.2">
      <c r="A2236" t="s">
        <v>3394</v>
      </c>
      <c r="B2236" t="s">
        <v>3395</v>
      </c>
      <c r="C2236" t="s">
        <v>648</v>
      </c>
      <c r="D2236">
        <v>0.51071158025798802</v>
      </c>
      <c r="E2236">
        <v>0.36429521764675599</v>
      </c>
      <c r="F2236">
        <v>0.66326078640481301</v>
      </c>
    </row>
    <row r="2237" spans="1:6" x14ac:dyDescent="0.2">
      <c r="A2237" t="s">
        <v>3396</v>
      </c>
      <c r="B2237" t="s">
        <v>3397</v>
      </c>
      <c r="C2237" t="s">
        <v>648</v>
      </c>
      <c r="D2237">
        <v>0.233890841246122</v>
      </c>
      <c r="E2237">
        <v>0.16127760236705899</v>
      </c>
      <c r="F2237">
        <v>0.32434477051948302</v>
      </c>
    </row>
    <row r="2238" spans="1:6" x14ac:dyDescent="0.2">
      <c r="A2238" t="s">
        <v>3398</v>
      </c>
      <c r="B2238" t="s">
        <v>3399</v>
      </c>
      <c r="C2238" t="s">
        <v>648</v>
      </c>
      <c r="D2238">
        <v>0.39312190401138503</v>
      </c>
      <c r="E2238">
        <v>0.27840845760142702</v>
      </c>
      <c r="F2238">
        <v>0.52270944835729305</v>
      </c>
    </row>
    <row r="2239" spans="1:6" x14ac:dyDescent="0.2">
      <c r="A2239" t="s">
        <v>3400</v>
      </c>
      <c r="B2239" t="s">
        <v>3401</v>
      </c>
      <c r="C2239" t="s">
        <v>648</v>
      </c>
      <c r="D2239">
        <v>0.53475042726010502</v>
      </c>
      <c r="E2239">
        <v>0.37948842330759103</v>
      </c>
      <c r="F2239">
        <v>0.68666486368615698</v>
      </c>
    </row>
    <row r="2240" spans="1:6" x14ac:dyDescent="0.2">
      <c r="A2240" t="s">
        <v>3402</v>
      </c>
      <c r="B2240" t="s">
        <v>3403</v>
      </c>
      <c r="C2240" t="s">
        <v>648</v>
      </c>
      <c r="D2240">
        <v>8.7064981255004906E-2</v>
      </c>
      <c r="E2240">
        <v>5.6863409292283E-2</v>
      </c>
      <c r="F2240">
        <v>0.12701930036039699</v>
      </c>
    </row>
    <row r="2241" spans="1:6" x14ac:dyDescent="0.2">
      <c r="A2241" t="s">
        <v>3404</v>
      </c>
      <c r="B2241" t="s">
        <v>3405</v>
      </c>
      <c r="C2241" t="s">
        <v>648</v>
      </c>
      <c r="D2241">
        <v>0.38893616840872303</v>
      </c>
      <c r="E2241">
        <v>0.26820308725701297</v>
      </c>
      <c r="F2241">
        <v>0.52129733928720601</v>
      </c>
    </row>
    <row r="2242" spans="1:6" x14ac:dyDescent="0.2">
      <c r="A2242" t="s">
        <v>3406</v>
      </c>
      <c r="B2242" t="s">
        <v>3407</v>
      </c>
      <c r="C2242" t="s">
        <v>648</v>
      </c>
      <c r="D2242">
        <v>0.27835115712226599</v>
      </c>
      <c r="E2242">
        <v>0.194258619433507</v>
      </c>
      <c r="F2242">
        <v>0.37601141451412401</v>
      </c>
    </row>
    <row r="2243" spans="1:6" x14ac:dyDescent="0.2">
      <c r="A2243" t="s">
        <v>3408</v>
      </c>
      <c r="B2243" t="s">
        <v>3409</v>
      </c>
      <c r="C2243" t="s">
        <v>648</v>
      </c>
      <c r="D2243">
        <v>0.514652673834047</v>
      </c>
      <c r="E2243">
        <v>0.36784049418766301</v>
      </c>
      <c r="F2243">
        <v>0.66365927596827301</v>
      </c>
    </row>
    <row r="2244" spans="1:6" x14ac:dyDescent="0.2">
      <c r="A2244" t="s">
        <v>3410</v>
      </c>
      <c r="B2244" t="s">
        <v>3411</v>
      </c>
      <c r="C2244" t="s">
        <v>648</v>
      </c>
      <c r="D2244">
        <v>0.44828208186359703</v>
      </c>
      <c r="E2244">
        <v>0.31262508052028498</v>
      </c>
      <c r="F2244">
        <v>0.59563894864109701</v>
      </c>
    </row>
    <row r="2245" spans="1:6" x14ac:dyDescent="0.2">
      <c r="A2245" t="s">
        <v>3412</v>
      </c>
      <c r="B2245" t="s">
        <v>3413</v>
      </c>
      <c r="C2245" t="s">
        <v>648</v>
      </c>
      <c r="D2245">
        <v>0.62653607046443605</v>
      </c>
      <c r="E2245">
        <v>0.456956863142432</v>
      </c>
      <c r="F2245">
        <v>0.781259250911162</v>
      </c>
    </row>
    <row r="2246" spans="1:6" x14ac:dyDescent="0.2">
      <c r="A2246" t="s">
        <v>3414</v>
      </c>
      <c r="B2246" t="s">
        <v>3415</v>
      </c>
      <c r="C2246" t="s">
        <v>648</v>
      </c>
      <c r="D2246">
        <v>0.28641964384535401</v>
      </c>
      <c r="E2246">
        <v>0.202484129355545</v>
      </c>
      <c r="F2246">
        <v>0.38803766215054297</v>
      </c>
    </row>
    <row r="2247" spans="1:6" x14ac:dyDescent="0.2">
      <c r="A2247" t="s">
        <v>3416</v>
      </c>
      <c r="B2247" t="s">
        <v>3417</v>
      </c>
      <c r="C2247" t="s">
        <v>648</v>
      </c>
      <c r="D2247">
        <v>0.52013896659681702</v>
      </c>
      <c r="E2247">
        <v>0.38112100619335199</v>
      </c>
      <c r="F2247">
        <v>0.66748407529895804</v>
      </c>
    </row>
    <row r="2248" spans="1:6" x14ac:dyDescent="0.2">
      <c r="A2248" t="s">
        <v>3418</v>
      </c>
      <c r="B2248" t="s">
        <v>3419</v>
      </c>
      <c r="C2248" t="s">
        <v>648</v>
      </c>
      <c r="D2248">
        <v>0.43446846560131502</v>
      </c>
      <c r="E2248">
        <v>0.31251852401136898</v>
      </c>
      <c r="F2248">
        <v>0.56724813002277097</v>
      </c>
    </row>
    <row r="2249" spans="1:6" x14ac:dyDescent="0.2">
      <c r="A2249" t="s">
        <v>3420</v>
      </c>
      <c r="B2249" t="s">
        <v>3421</v>
      </c>
      <c r="C2249" t="s">
        <v>648</v>
      </c>
      <c r="D2249">
        <v>0.61791911267810795</v>
      </c>
      <c r="E2249">
        <v>0.466890479892275</v>
      </c>
      <c r="F2249">
        <v>0.76789686672718205</v>
      </c>
    </row>
    <row r="2250" spans="1:6" x14ac:dyDescent="0.2">
      <c r="A2250" t="s">
        <v>3422</v>
      </c>
      <c r="B2250" t="s">
        <v>3423</v>
      </c>
      <c r="C2250" t="s">
        <v>648</v>
      </c>
      <c r="D2250">
        <v>0.56628276983511805</v>
      </c>
      <c r="E2250">
        <v>0.41365807907764002</v>
      </c>
      <c r="F2250">
        <v>0.71474326037886404</v>
      </c>
    </row>
    <row r="2251" spans="1:6" x14ac:dyDescent="0.2">
      <c r="A2251" t="s">
        <v>3424</v>
      </c>
      <c r="B2251" t="s">
        <v>3425</v>
      </c>
      <c r="C2251" t="s">
        <v>648</v>
      </c>
      <c r="D2251">
        <v>0.70511587264062203</v>
      </c>
      <c r="E2251">
        <v>0.53603319913839798</v>
      </c>
      <c r="F2251">
        <v>0.84959577375975603</v>
      </c>
    </row>
    <row r="2252" spans="1:6" x14ac:dyDescent="0.2">
      <c r="A2252" t="s">
        <v>3426</v>
      </c>
      <c r="B2252" t="s">
        <v>698</v>
      </c>
      <c r="D2252">
        <v>0</v>
      </c>
      <c r="E2252">
        <v>0</v>
      </c>
      <c r="F2252">
        <v>0</v>
      </c>
    </row>
    <row r="2253" spans="1:6" x14ac:dyDescent="0.2">
      <c r="A2253" t="s">
        <v>3427</v>
      </c>
      <c r="B2253" t="s">
        <v>714</v>
      </c>
      <c r="C2253" t="s">
        <v>715</v>
      </c>
      <c r="D2253">
        <v>5.7864971999999903E-3</v>
      </c>
      <c r="E2253">
        <v>2.29985E-3</v>
      </c>
      <c r="F2253">
        <v>1.2109072499999899E-2</v>
      </c>
    </row>
    <row r="2254" spans="1:6" x14ac:dyDescent="0.2">
      <c r="A2254" t="s">
        <v>3428</v>
      </c>
      <c r="B2254" t="s">
        <v>700</v>
      </c>
      <c r="C2254" t="s">
        <v>701</v>
      </c>
      <c r="D2254">
        <v>5.0594945799999902E-2</v>
      </c>
      <c r="E2254">
        <v>3.2378222499999998E-2</v>
      </c>
      <c r="F2254">
        <v>7.4050449999999907E-2</v>
      </c>
    </row>
    <row r="2255" spans="1:6" x14ac:dyDescent="0.2">
      <c r="A2255" t="s">
        <v>3429</v>
      </c>
      <c r="B2255" t="s">
        <v>776</v>
      </c>
      <c r="C2255" t="s">
        <v>777</v>
      </c>
      <c r="D2255">
        <v>0.13341151879999999</v>
      </c>
      <c r="E2255">
        <v>8.8459514999999905E-2</v>
      </c>
      <c r="F2255">
        <v>0.18950166500000001</v>
      </c>
    </row>
    <row r="2256" spans="1:6" x14ac:dyDescent="0.2">
      <c r="A2256" t="s">
        <v>3430</v>
      </c>
      <c r="B2256" t="s">
        <v>3431</v>
      </c>
      <c r="C2256" t="s">
        <v>3432</v>
      </c>
      <c r="D2256">
        <v>0.74335970159999998</v>
      </c>
      <c r="E2256">
        <v>0.55564373</v>
      </c>
      <c r="F2256">
        <v>0.87777810249999899</v>
      </c>
    </row>
    <row r="2257" spans="1:6" x14ac:dyDescent="0.2">
      <c r="A2257" t="s">
        <v>3433</v>
      </c>
      <c r="B2257" t="s">
        <v>772</v>
      </c>
      <c r="C2257" t="s">
        <v>773</v>
      </c>
      <c r="D2257">
        <v>0.29616484669999898</v>
      </c>
      <c r="E2257">
        <v>0.19813263</v>
      </c>
      <c r="F2257">
        <v>0.41379708999999998</v>
      </c>
    </row>
    <row r="2258" spans="1:6" x14ac:dyDescent="0.2">
      <c r="A2258" t="s">
        <v>3434</v>
      </c>
      <c r="B2258" t="s">
        <v>1299</v>
      </c>
      <c r="C2258" t="s">
        <v>1300</v>
      </c>
      <c r="D2258">
        <v>0.28750118009999998</v>
      </c>
      <c r="E2258">
        <v>0.19259088999999999</v>
      </c>
      <c r="F2258">
        <v>0.39893967000000002</v>
      </c>
    </row>
    <row r="2259" spans="1:6" x14ac:dyDescent="0.2">
      <c r="A2259" t="s">
        <v>3435</v>
      </c>
      <c r="B2259" t="s">
        <v>911</v>
      </c>
      <c r="C2259" t="s">
        <v>912</v>
      </c>
      <c r="D2259">
        <v>4.9011414699999999E-2</v>
      </c>
      <c r="E2259">
        <v>3.1121342499999899E-2</v>
      </c>
      <c r="F2259">
        <v>7.2092547499999896E-2</v>
      </c>
    </row>
    <row r="2260" spans="1:6" x14ac:dyDescent="0.2">
      <c r="A2260" t="s">
        <v>3436</v>
      </c>
      <c r="B2260" t="s">
        <v>1302</v>
      </c>
      <c r="C2260" t="s">
        <v>1303</v>
      </c>
      <c r="D2260">
        <v>0.45136111719999999</v>
      </c>
      <c r="E2260">
        <v>0.30716694</v>
      </c>
      <c r="F2260">
        <v>0.60029983249999996</v>
      </c>
    </row>
    <row r="2261" spans="1:6" x14ac:dyDescent="0.2">
      <c r="A2261" t="s">
        <v>3437</v>
      </c>
      <c r="B2261" t="s">
        <v>1305</v>
      </c>
      <c r="C2261" t="s">
        <v>1306</v>
      </c>
      <c r="D2261">
        <v>0.539560491899999</v>
      </c>
      <c r="E2261">
        <v>0.37669583249999999</v>
      </c>
      <c r="F2261">
        <v>0.68709526999999904</v>
      </c>
    </row>
    <row r="2262" spans="1:6" x14ac:dyDescent="0.2">
      <c r="A2262" t="s">
        <v>3438</v>
      </c>
      <c r="B2262" t="s">
        <v>959</v>
      </c>
      <c r="C2262" t="s">
        <v>960</v>
      </c>
      <c r="D2262">
        <v>3.0842126399999899E-2</v>
      </c>
      <c r="E2262">
        <v>1.8822002500000001E-2</v>
      </c>
      <c r="F2262">
        <v>4.8710372499999897E-2</v>
      </c>
    </row>
    <row r="2263" spans="1:6" x14ac:dyDescent="0.2">
      <c r="A2263" t="s">
        <v>3439</v>
      </c>
      <c r="B2263" t="s">
        <v>962</v>
      </c>
      <c r="C2263" t="s">
        <v>963</v>
      </c>
      <c r="D2263">
        <v>0.18404848779999999</v>
      </c>
      <c r="E2263">
        <v>0.1251250575</v>
      </c>
      <c r="F2263">
        <v>0.25828618249999902</v>
      </c>
    </row>
    <row r="2264" spans="1:6" x14ac:dyDescent="0.2">
      <c r="A2264" t="s">
        <v>3440</v>
      </c>
      <c r="B2264" t="s">
        <v>965</v>
      </c>
      <c r="C2264" t="s">
        <v>966</v>
      </c>
      <c r="D2264">
        <v>0.18736458340000001</v>
      </c>
      <c r="E2264">
        <v>0.1244286775</v>
      </c>
      <c r="F2264">
        <v>0.26021716249999999</v>
      </c>
    </row>
    <row r="2265" spans="1:6" x14ac:dyDescent="0.2">
      <c r="A2265" t="s">
        <v>3441</v>
      </c>
      <c r="B2265" t="s">
        <v>898</v>
      </c>
      <c r="C2265" t="s">
        <v>899</v>
      </c>
      <c r="D2265">
        <v>4.14518940999999E-2</v>
      </c>
      <c r="E2265">
        <v>2.6103222499999999E-2</v>
      </c>
      <c r="F2265">
        <v>6.2339544999999899E-2</v>
      </c>
    </row>
    <row r="2266" spans="1:6" x14ac:dyDescent="0.2">
      <c r="A2266" t="s">
        <v>3442</v>
      </c>
      <c r="B2266" t="s">
        <v>901</v>
      </c>
      <c r="C2266" t="s">
        <v>902</v>
      </c>
      <c r="D2266">
        <v>7.1653432699999894E-2</v>
      </c>
      <c r="E2266">
        <v>4.6600777500000003E-2</v>
      </c>
      <c r="F2266">
        <v>0.10308943</v>
      </c>
    </row>
    <row r="2267" spans="1:6" x14ac:dyDescent="0.2">
      <c r="A2267" t="s">
        <v>3443</v>
      </c>
      <c r="B2267" t="s">
        <v>904</v>
      </c>
      <c r="C2267" t="s">
        <v>905</v>
      </c>
      <c r="D2267">
        <v>0.17906669619999999</v>
      </c>
      <c r="E2267">
        <v>0.1215548</v>
      </c>
      <c r="F2267">
        <v>0.25072915749999902</v>
      </c>
    </row>
    <row r="2268" spans="1:6" x14ac:dyDescent="0.2">
      <c r="A2268" t="s">
        <v>3444</v>
      </c>
      <c r="B2268" t="s">
        <v>911</v>
      </c>
      <c r="C2268" t="s">
        <v>912</v>
      </c>
      <c r="D2268">
        <v>4.9011414699999999E-2</v>
      </c>
      <c r="E2268">
        <v>3.1121342499999899E-2</v>
      </c>
      <c r="F2268">
        <v>7.2092547499999896E-2</v>
      </c>
    </row>
    <row r="2269" spans="1:6" x14ac:dyDescent="0.2">
      <c r="A2269" t="s">
        <v>3445</v>
      </c>
      <c r="B2269" t="s">
        <v>911</v>
      </c>
      <c r="C2269" t="s">
        <v>912</v>
      </c>
      <c r="D2269">
        <v>4.9011414699999999E-2</v>
      </c>
      <c r="E2269">
        <v>3.1121342499999899E-2</v>
      </c>
      <c r="F2269">
        <v>7.2092547499999896E-2</v>
      </c>
    </row>
    <row r="2270" spans="1:6" x14ac:dyDescent="0.2">
      <c r="A2270" t="s">
        <v>3446</v>
      </c>
      <c r="B2270" t="s">
        <v>698</v>
      </c>
      <c r="D2270">
        <v>0</v>
      </c>
      <c r="E2270">
        <v>0</v>
      </c>
      <c r="F2270">
        <v>0</v>
      </c>
    </row>
    <row r="2271" spans="1:6" x14ac:dyDescent="0.2">
      <c r="A2271" t="s">
        <v>3447</v>
      </c>
      <c r="B2271" t="s">
        <v>907</v>
      </c>
      <c r="C2271" t="s">
        <v>908</v>
      </c>
      <c r="D2271">
        <v>1.1009249599999899E-2</v>
      </c>
      <c r="E2271">
        <v>5.3773199999999997E-3</v>
      </c>
      <c r="F2271">
        <v>2.08201875E-2</v>
      </c>
    </row>
    <row r="2272" spans="1:6" x14ac:dyDescent="0.2">
      <c r="A2272" t="s">
        <v>3448</v>
      </c>
      <c r="B2272" t="s">
        <v>742</v>
      </c>
      <c r="C2272" t="s">
        <v>743</v>
      </c>
      <c r="D2272">
        <v>0.114339967</v>
      </c>
      <c r="E2272">
        <v>7.7947084999999999E-2</v>
      </c>
      <c r="F2272">
        <v>0.15867681249999999</v>
      </c>
    </row>
    <row r="2273" spans="1:6" x14ac:dyDescent="0.2">
      <c r="A2273" t="s">
        <v>3449</v>
      </c>
      <c r="B2273" t="s">
        <v>745</v>
      </c>
      <c r="C2273" t="s">
        <v>746</v>
      </c>
      <c r="D2273">
        <v>0.32424655079999898</v>
      </c>
      <c r="E2273">
        <v>0.21972131750000001</v>
      </c>
      <c r="F2273">
        <v>0.44180473999999997</v>
      </c>
    </row>
    <row r="2274" spans="1:6" x14ac:dyDescent="0.2">
      <c r="A2274" t="s">
        <v>3450</v>
      </c>
      <c r="B2274" t="s">
        <v>843</v>
      </c>
      <c r="C2274" t="s">
        <v>648</v>
      </c>
      <c r="D2274">
        <v>0.136608729508858</v>
      </c>
      <c r="E2274">
        <v>9.1457382015738706E-2</v>
      </c>
      <c r="F2274">
        <v>0.192488150004933</v>
      </c>
    </row>
    <row r="2275" spans="1:6" x14ac:dyDescent="0.2">
      <c r="A2275" t="s">
        <v>3451</v>
      </c>
      <c r="B2275" t="s">
        <v>845</v>
      </c>
      <c r="C2275" t="s">
        <v>648</v>
      </c>
      <c r="D2275">
        <v>0.177867946714338</v>
      </c>
      <c r="E2275">
        <v>0.12183736967690199</v>
      </c>
      <c r="F2275">
        <v>0.247376207280356</v>
      </c>
    </row>
    <row r="2276" spans="1:6" x14ac:dyDescent="0.2">
      <c r="A2276" t="s">
        <v>3452</v>
      </c>
      <c r="B2276" t="s">
        <v>847</v>
      </c>
      <c r="C2276" t="s">
        <v>648</v>
      </c>
      <c r="D2276">
        <v>0.26167538066322099</v>
      </c>
      <c r="E2276">
        <v>0.183516715919878</v>
      </c>
      <c r="F2276">
        <v>0.35904947510167801</v>
      </c>
    </row>
    <row r="2277" spans="1:6" x14ac:dyDescent="0.2">
      <c r="A2277" s="217" t="s">
        <v>3453</v>
      </c>
      <c r="B2277" s="215" t="s">
        <v>3453</v>
      </c>
      <c r="C2277" s="216" t="s">
        <v>3454</v>
      </c>
      <c r="D2277" s="216">
        <v>0.123</v>
      </c>
      <c r="E2277" s="216">
        <v>8.1000000000000003E-2</v>
      </c>
      <c r="F2277" s="216">
        <v>0.17599999999999999</v>
      </c>
    </row>
    <row r="2278" spans="1:6" x14ac:dyDescent="0.2">
      <c r="A2278" s="217" t="s">
        <v>3455</v>
      </c>
      <c r="B2278" s="215" t="s">
        <v>3455</v>
      </c>
      <c r="C2278" s="216" t="s">
        <v>3456</v>
      </c>
      <c r="D2278" s="216">
        <v>0.38300000000000001</v>
      </c>
      <c r="E2278" s="216">
        <v>0.251</v>
      </c>
      <c r="F2278" s="216">
        <v>0.52500000000000002</v>
      </c>
    </row>
    <row r="2279" spans="1:6" x14ac:dyDescent="0.2">
      <c r="A2279" s="218" t="s">
        <v>3457</v>
      </c>
      <c r="B2279" s="216" t="s">
        <v>3457</v>
      </c>
      <c r="C2279" s="216" t="s">
        <v>3458</v>
      </c>
      <c r="D2279" s="216">
        <v>3.9E-2</v>
      </c>
      <c r="E2279" s="216">
        <v>2.4E-2</v>
      </c>
      <c r="F2279" s="216">
        <v>5.8999999999999997E-2</v>
      </c>
    </row>
    <row r="2280" spans="1:6" x14ac:dyDescent="0.2">
      <c r="A2280" s="218" t="s">
        <v>3459</v>
      </c>
      <c r="B2280" s="216" t="s">
        <v>3459</v>
      </c>
      <c r="C2280" s="216" t="s">
        <v>3460</v>
      </c>
      <c r="D2280" s="216">
        <v>0.11799999999999999</v>
      </c>
      <c r="E2280" s="216">
        <v>7.9000000000000001E-2</v>
      </c>
      <c r="F2280" s="216">
        <v>0.16700000000000001</v>
      </c>
    </row>
    <row r="2281" spans="1:6" ht="32" x14ac:dyDescent="0.2">
      <c r="A2281" s="218" t="s">
        <v>3461</v>
      </c>
      <c r="B2281" s="216" t="s">
        <v>3461</v>
      </c>
      <c r="C2281" s="216" t="s">
        <v>3462</v>
      </c>
      <c r="D2281" s="216">
        <v>5.0000000000000001E-3</v>
      </c>
      <c r="E2281" s="216">
        <v>2E-3</v>
      </c>
      <c r="F2281" s="216">
        <v>0.01</v>
      </c>
    </row>
    <row r="2282" spans="1:6" x14ac:dyDescent="0.2">
      <c r="A2282" s="217" t="s">
        <v>3463</v>
      </c>
      <c r="B2282" s="215" t="s">
        <v>3463</v>
      </c>
      <c r="C2282" s="216" t="s">
        <v>3464</v>
      </c>
      <c r="D2282" s="216">
        <v>8.7999999999999995E-2</v>
      </c>
      <c r="E2282" s="216">
        <v>5.7000000000000002E-2</v>
      </c>
      <c r="F2282" s="216">
        <v>0.124</v>
      </c>
    </row>
    <row r="2283" spans="1:6" x14ac:dyDescent="0.2">
      <c r="A2283" s="217" t="s">
        <v>3465</v>
      </c>
      <c r="B2283" s="215" t="s">
        <v>3465</v>
      </c>
      <c r="C2283" s="216" t="s">
        <v>3466</v>
      </c>
      <c r="D2283" s="216">
        <v>0.443</v>
      </c>
      <c r="E2283" s="216">
        <v>0.29699999999999999</v>
      </c>
      <c r="F2283" s="216">
        <v>0.58899999999999997</v>
      </c>
    </row>
    <row r="2284" spans="1:6" x14ac:dyDescent="0.2">
      <c r="A2284" s="217" t="s">
        <v>3467</v>
      </c>
      <c r="B2284" s="215" t="s">
        <v>3467</v>
      </c>
      <c r="C2284" s="216" t="s">
        <v>3468</v>
      </c>
      <c r="D2284" s="216">
        <v>3.9E-2</v>
      </c>
      <c r="E2284" s="216">
        <v>2.3E-2</v>
      </c>
      <c r="F2284" s="216">
        <v>5.8999999999999997E-2</v>
      </c>
    </row>
    <row r="2285" spans="1:6" x14ac:dyDescent="0.2">
      <c r="A2285" s="217" t="s">
        <v>3469</v>
      </c>
      <c r="B2285" s="215" t="s">
        <v>3469</v>
      </c>
      <c r="C2285" s="215" t="s">
        <v>3470</v>
      </c>
      <c r="D2285" s="216">
        <v>0.17299999999999999</v>
      </c>
      <c r="E2285" s="216">
        <v>0.11799999999999999</v>
      </c>
      <c r="F2285" s="216">
        <v>0.24</v>
      </c>
    </row>
    <row r="2286" spans="1:6" x14ac:dyDescent="0.2">
      <c r="A2286" s="217" t="s">
        <v>3471</v>
      </c>
      <c r="B2286" s="215" t="s">
        <v>3471</v>
      </c>
      <c r="C2286" s="215" t="s">
        <v>3472</v>
      </c>
      <c r="D2286" s="216">
        <v>1.0999999999999999E-2</v>
      </c>
      <c r="E2286" s="216">
        <v>5.0000000000000001E-3</v>
      </c>
      <c r="F2286" s="216">
        <v>2.1000000000000001E-2</v>
      </c>
    </row>
    <row r="2287" spans="1:6" x14ac:dyDescent="0.2">
      <c r="A2287" s="218" t="s">
        <v>3473</v>
      </c>
      <c r="B2287" s="216" t="s">
        <v>3473</v>
      </c>
      <c r="C2287" s="215" t="s">
        <v>3474</v>
      </c>
      <c r="D2287" s="216">
        <v>6.0000000000000001E-3</v>
      </c>
      <c r="E2287" s="216">
        <v>2E-3</v>
      </c>
      <c r="F2287" s="216">
        <v>1.2E-2</v>
      </c>
    </row>
    <row r="2288" spans="1:6" x14ac:dyDescent="0.2">
      <c r="A2288" s="217" t="s">
        <v>3475</v>
      </c>
      <c r="B2288" s="215" t="s">
        <v>3475</v>
      </c>
      <c r="C2288" s="215" t="s">
        <v>3476</v>
      </c>
      <c r="D2288" s="216">
        <v>0.376</v>
      </c>
      <c r="E2288" s="216">
        <v>0.24</v>
      </c>
      <c r="F2288" s="216">
        <v>0.52400000000000002</v>
      </c>
    </row>
    <row r="2289" spans="1:6" ht="48" x14ac:dyDescent="0.2">
      <c r="A2289" s="217" t="s">
        <v>3477</v>
      </c>
      <c r="B2289" s="215" t="s">
        <v>3477</v>
      </c>
      <c r="C2289" s="215" t="s">
        <v>3478</v>
      </c>
      <c r="D2289" s="216">
        <v>1.6E-2</v>
      </c>
      <c r="E2289" s="216">
        <v>8.0000000000000002E-3</v>
      </c>
      <c r="F2289" s="216">
        <v>2.8000000000000001E-2</v>
      </c>
    </row>
    <row r="2290" spans="1:6" ht="32" x14ac:dyDescent="0.2">
      <c r="A2290" s="217" t="s">
        <v>3479</v>
      </c>
      <c r="B2290" s="215" t="s">
        <v>3479</v>
      </c>
      <c r="C2290" s="215" t="s">
        <v>3480</v>
      </c>
      <c r="D2290" s="216">
        <v>0.14099999999999999</v>
      </c>
      <c r="E2290" s="216">
        <v>9.4E-2</v>
      </c>
      <c r="F2290" s="216">
        <v>0.19600000000000001</v>
      </c>
    </row>
    <row r="2291" spans="1:6" ht="32" x14ac:dyDescent="0.2">
      <c r="A2291" s="217" t="s">
        <v>3481</v>
      </c>
      <c r="B2291" s="215" t="s">
        <v>3481</v>
      </c>
      <c r="C2291" s="215" t="s">
        <v>3482</v>
      </c>
      <c r="D2291" s="216">
        <v>0.13500000000000001</v>
      </c>
      <c r="E2291" s="216">
        <v>9.1999999999999998E-2</v>
      </c>
      <c r="F2291" s="216">
        <v>0.19</v>
      </c>
    </row>
    <row r="2292" spans="1:6" ht="32" x14ac:dyDescent="0.2">
      <c r="A2292" s="217" t="s">
        <v>3483</v>
      </c>
      <c r="B2292" s="215" t="s">
        <v>3483</v>
      </c>
      <c r="C2292" s="215" t="s">
        <v>3484</v>
      </c>
      <c r="D2292" s="216">
        <v>0.45500000000000002</v>
      </c>
      <c r="E2292" s="216">
        <v>0.30199999999999999</v>
      </c>
      <c r="F2292" s="216">
        <v>0.60099999999999998</v>
      </c>
    </row>
    <row r="2293" spans="1:6" ht="32" x14ac:dyDescent="0.2">
      <c r="A2293" s="217" t="s">
        <v>3485</v>
      </c>
      <c r="B2293" s="215" t="s">
        <v>3485</v>
      </c>
      <c r="C2293" s="215" t="s">
        <v>3486</v>
      </c>
      <c r="D2293" s="216">
        <v>0.314</v>
      </c>
      <c r="E2293" s="216">
        <v>0.21099999999999999</v>
      </c>
      <c r="F2293" s="216">
        <v>0.441</v>
      </c>
    </row>
    <row r="2294" spans="1:6" x14ac:dyDescent="0.2">
      <c r="A2294" s="218" t="s">
        <v>3487</v>
      </c>
      <c r="B2294" s="216" t="s">
        <v>3487</v>
      </c>
      <c r="C2294" s="215" t="s">
        <v>3488</v>
      </c>
      <c r="D2294" s="216">
        <v>1.6E-2</v>
      </c>
      <c r="E2294" s="216">
        <v>8.0000000000000002E-3</v>
      </c>
      <c r="F2294" s="216">
        <v>2.8000000000000001E-2</v>
      </c>
    </row>
    <row r="2295" spans="1:6" x14ac:dyDescent="0.2">
      <c r="A2295" s="218" t="s">
        <v>3489</v>
      </c>
      <c r="B2295" s="216" t="s">
        <v>3489</v>
      </c>
      <c r="C2295" s="215" t="s">
        <v>3490</v>
      </c>
      <c r="D2295" s="216">
        <v>0.113</v>
      </c>
      <c r="E2295" s="216">
        <v>7.4999999999999997E-2</v>
      </c>
      <c r="F2295" s="216">
        <v>0.16</v>
      </c>
    </row>
    <row r="2296" spans="1:6" x14ac:dyDescent="0.2">
      <c r="A2296" s="218" t="s">
        <v>3491</v>
      </c>
      <c r="B2296" s="216" t="s">
        <v>3491</v>
      </c>
      <c r="C2296" s="215" t="s">
        <v>3492</v>
      </c>
      <c r="D2296" s="216">
        <v>6.2E-2</v>
      </c>
      <c r="E2296" s="216">
        <v>4.1000000000000002E-2</v>
      </c>
      <c r="F2296" s="216">
        <v>8.7999999999999995E-2</v>
      </c>
    </row>
    <row r="2297" spans="1:6" ht="32" x14ac:dyDescent="0.2">
      <c r="A2297" s="217" t="s">
        <v>3493</v>
      </c>
      <c r="B2297" s="215" t="s">
        <v>3493</v>
      </c>
      <c r="C2297" s="215" t="s">
        <v>3494</v>
      </c>
      <c r="D2297" s="216">
        <v>0.247</v>
      </c>
      <c r="E2297" s="216">
        <v>0.16400000000000001</v>
      </c>
      <c r="F2297" s="216">
        <v>0.34100000000000003</v>
      </c>
    </row>
    <row r="2298" spans="1:6" ht="32" x14ac:dyDescent="0.2">
      <c r="A2298" s="217" t="s">
        <v>3495</v>
      </c>
      <c r="B2298" s="215" t="s">
        <v>3495</v>
      </c>
      <c r="C2298" s="215" t="s">
        <v>3496</v>
      </c>
      <c r="D2298" s="216">
        <v>3.5000000000000003E-2</v>
      </c>
      <c r="E2298" s="216">
        <v>2.1000000000000001E-2</v>
      </c>
      <c r="F2298" s="216">
        <v>5.2999999999999999E-2</v>
      </c>
    </row>
    <row r="2299" spans="1:6" x14ac:dyDescent="0.2">
      <c r="A2299" s="217" t="s">
        <v>3497</v>
      </c>
      <c r="B2299" s="215" t="s">
        <v>3497</v>
      </c>
      <c r="C2299" s="216" t="s">
        <v>3498</v>
      </c>
      <c r="D2299" s="216">
        <v>6.7000000000000004E-2</v>
      </c>
      <c r="E2299" s="216">
        <v>4.3999999999999997E-2</v>
      </c>
      <c r="F2299" s="216">
        <v>9.7000000000000003E-2</v>
      </c>
    </row>
    <row r="2300" spans="1:6" x14ac:dyDescent="0.2">
      <c r="A2300" s="217" t="s">
        <v>3499</v>
      </c>
      <c r="B2300" s="215" t="s">
        <v>3499</v>
      </c>
      <c r="C2300" s="215" t="s">
        <v>3500</v>
      </c>
      <c r="D2300" s="216">
        <v>5.8000000000000003E-2</v>
      </c>
      <c r="E2300" s="216">
        <v>3.7999999999999999E-2</v>
      </c>
      <c r="F2300" s="216">
        <v>8.4000000000000005E-2</v>
      </c>
    </row>
    <row r="2301" spans="1:6" x14ac:dyDescent="0.2">
      <c r="A2301" s="217" t="s">
        <v>3501</v>
      </c>
      <c r="B2301" s="215" t="s">
        <v>3501</v>
      </c>
      <c r="C2301" s="215" t="s">
        <v>3502</v>
      </c>
      <c r="D2301" s="216">
        <v>0.40200000000000002</v>
      </c>
      <c r="E2301" s="216">
        <v>0.26900000000000002</v>
      </c>
      <c r="F2301" s="216">
        <v>0.54100000000000004</v>
      </c>
    </row>
    <row r="2302" spans="1:6" x14ac:dyDescent="0.2">
      <c r="A2302" s="217" t="s">
        <v>3503</v>
      </c>
      <c r="B2302" s="215" t="s">
        <v>3503</v>
      </c>
      <c r="C2302" s="215" t="s">
        <v>3504</v>
      </c>
      <c r="D2302" s="216">
        <v>0.25800000000000001</v>
      </c>
      <c r="E2302" s="216">
        <v>0.17199999999999999</v>
      </c>
      <c r="F2302" s="216">
        <v>0.35599999999999998</v>
      </c>
    </row>
    <row r="2303" spans="1:6" ht="32" x14ac:dyDescent="0.2">
      <c r="A2303" s="218" t="s">
        <v>3505</v>
      </c>
      <c r="B2303" s="216" t="s">
        <v>3505</v>
      </c>
      <c r="C2303" s="215" t="s">
        <v>3506</v>
      </c>
      <c r="D2303" s="216">
        <v>4.2000000000000003E-2</v>
      </c>
      <c r="E2303" s="216">
        <v>2.7E-2</v>
      </c>
      <c r="F2303" s="216">
        <v>6.3E-2</v>
      </c>
    </row>
    <row r="2304" spans="1:6" ht="32" x14ac:dyDescent="0.2">
      <c r="A2304" s="218" t="s">
        <v>3507</v>
      </c>
      <c r="B2304" s="216" t="s">
        <v>3507</v>
      </c>
      <c r="C2304" s="215" t="s">
        <v>3508</v>
      </c>
      <c r="D2304" s="216">
        <v>0.111</v>
      </c>
      <c r="E2304" s="216">
        <v>7.3999999999999996E-2</v>
      </c>
      <c r="F2304" s="216">
        <v>0.156</v>
      </c>
    </row>
    <row r="2305" spans="1:6" x14ac:dyDescent="0.2">
      <c r="A2305" s="217" t="s">
        <v>3509</v>
      </c>
      <c r="B2305" s="215" t="s">
        <v>3509</v>
      </c>
      <c r="C2305" s="215" t="s">
        <v>3510</v>
      </c>
      <c r="D2305" s="216">
        <v>2.5999999999999999E-2</v>
      </c>
      <c r="E2305" s="216">
        <v>1.4999999999999999E-2</v>
      </c>
      <c r="F2305" s="216">
        <v>4.2000000000000003E-2</v>
      </c>
    </row>
    <row r="2306" spans="1:6" x14ac:dyDescent="0.2">
      <c r="A2306" s="217" t="s">
        <v>3511</v>
      </c>
      <c r="B2306" s="215" t="s">
        <v>3511</v>
      </c>
      <c r="C2306" s="215" t="s">
        <v>3512</v>
      </c>
      <c r="D2306" s="216">
        <v>2.5999999999999999E-2</v>
      </c>
      <c r="E2306" s="216">
        <v>1.4999999999999999E-2</v>
      </c>
      <c r="F2306" s="216">
        <v>4.2999999999999997E-2</v>
      </c>
    </row>
    <row r="2307" spans="1:6" x14ac:dyDescent="0.2">
      <c r="A2307" s="217" t="s">
        <v>3513</v>
      </c>
      <c r="B2307" s="215" t="s">
        <v>3513</v>
      </c>
      <c r="C2307" s="215" t="s">
        <v>3514</v>
      </c>
      <c r="D2307" s="216">
        <v>4.2999999999999997E-2</v>
      </c>
      <c r="E2307" s="216">
        <v>2.8000000000000001E-2</v>
      </c>
      <c r="F2307" s="216">
        <v>6.4000000000000001E-2</v>
      </c>
    </row>
    <row r="2308" spans="1:6" x14ac:dyDescent="0.2">
      <c r="A2308" s="217" t="s">
        <v>3515</v>
      </c>
      <c r="B2308" s="215" t="s">
        <v>3515</v>
      </c>
      <c r="C2308" s="215" t="s">
        <v>3516</v>
      </c>
      <c r="D2308" s="216">
        <v>2.8000000000000001E-2</v>
      </c>
      <c r="E2308" s="216">
        <v>1.6E-2</v>
      </c>
      <c r="F2308" s="216">
        <v>4.5999999999999999E-2</v>
      </c>
    </row>
    <row r="2309" spans="1:6" x14ac:dyDescent="0.2">
      <c r="A2309" s="217" t="s">
        <v>3517</v>
      </c>
      <c r="B2309" s="215" t="s">
        <v>3517</v>
      </c>
      <c r="C2309" s="215" t="s">
        <v>3518</v>
      </c>
      <c r="D2309" s="216">
        <v>1.4E-2</v>
      </c>
      <c r="E2309" s="216">
        <v>7.0000000000000001E-3</v>
      </c>
      <c r="F2309" s="216">
        <v>2.5000000000000001E-2</v>
      </c>
    </row>
    <row r="2310" spans="1:6" x14ac:dyDescent="0.2">
      <c r="A2310" s="217" t="s">
        <v>3519</v>
      </c>
      <c r="B2310" s="215" t="s">
        <v>3519</v>
      </c>
      <c r="C2310" s="215" t="s">
        <v>3520</v>
      </c>
      <c r="D2310" s="216">
        <v>0.01</v>
      </c>
      <c r="E2310" s="216">
        <v>5.0000000000000001E-3</v>
      </c>
      <c r="F2310" s="216">
        <v>1.9E-2</v>
      </c>
    </row>
    <row r="2311" spans="1:6" ht="32" x14ac:dyDescent="0.2">
      <c r="A2311" s="217" t="s">
        <v>3521</v>
      </c>
      <c r="B2311" s="215" t="s">
        <v>3521</v>
      </c>
      <c r="C2311" s="215" t="s">
        <v>3522</v>
      </c>
      <c r="D2311" s="216">
        <v>5.5E-2</v>
      </c>
      <c r="E2311" s="216">
        <v>3.5999999999999997E-2</v>
      </c>
      <c r="F2311" s="216">
        <v>8.1000000000000003E-2</v>
      </c>
    </row>
    <row r="2312" spans="1:6" ht="32" x14ac:dyDescent="0.2">
      <c r="A2312" s="217" t="s">
        <v>3523</v>
      </c>
      <c r="B2312" s="215" t="s">
        <v>3523</v>
      </c>
      <c r="C2312" s="215" t="s">
        <v>3524</v>
      </c>
      <c r="D2312" s="216">
        <v>0.05</v>
      </c>
      <c r="E2312" s="216">
        <v>3.2000000000000001E-2</v>
      </c>
      <c r="F2312" s="216">
        <v>7.4999999999999997E-2</v>
      </c>
    </row>
    <row r="2313" spans="1:6" x14ac:dyDescent="0.2">
      <c r="A2313" s="218" t="s">
        <v>3525</v>
      </c>
      <c r="B2313" s="216" t="s">
        <v>3525</v>
      </c>
      <c r="C2313" s="215" t="s">
        <v>3526</v>
      </c>
      <c r="D2313" s="216">
        <v>0.182</v>
      </c>
      <c r="E2313" s="216">
        <v>0.123</v>
      </c>
      <c r="F2313" s="216">
        <v>0.253</v>
      </c>
    </row>
    <row r="2314" spans="1:6" x14ac:dyDescent="0.2">
      <c r="A2314" s="218" t="s">
        <v>3527</v>
      </c>
      <c r="B2314" s="216" t="s">
        <v>3527</v>
      </c>
      <c r="C2314" s="215" t="s">
        <v>3528</v>
      </c>
      <c r="D2314" s="216">
        <v>0.27900000000000003</v>
      </c>
      <c r="E2314" s="216">
        <v>0.188</v>
      </c>
      <c r="F2314" s="216">
        <v>0.38400000000000001</v>
      </c>
    </row>
    <row r="2315" spans="1:6" ht="32" x14ac:dyDescent="0.2">
      <c r="A2315" s="218" t="s">
        <v>3529</v>
      </c>
      <c r="B2315" s="216" t="s">
        <v>3529</v>
      </c>
      <c r="C2315" s="215" t="s">
        <v>3530</v>
      </c>
      <c r="D2315" s="216">
        <v>0.10299999999999999</v>
      </c>
      <c r="E2315" s="216">
        <v>6.8000000000000005E-2</v>
      </c>
      <c r="F2315" s="216">
        <v>0.14499999999999999</v>
      </c>
    </row>
    <row r="2316" spans="1:6" x14ac:dyDescent="0.2">
      <c r="A2316" s="217" t="s">
        <v>3531</v>
      </c>
      <c r="B2316" s="215" t="s">
        <v>3531</v>
      </c>
      <c r="C2316" s="215" t="s">
        <v>3532</v>
      </c>
      <c r="D2316" s="216">
        <v>7.0999999999999994E-2</v>
      </c>
      <c r="E2316" s="216">
        <v>4.8000000000000001E-2</v>
      </c>
      <c r="F2316" s="216">
        <v>0.1</v>
      </c>
    </row>
    <row r="2317" spans="1:6" ht="32" x14ac:dyDescent="0.2">
      <c r="A2317" s="217" t="s">
        <v>3533</v>
      </c>
      <c r="B2317" s="215" t="s">
        <v>3533</v>
      </c>
      <c r="C2317" s="215" t="s">
        <v>3534</v>
      </c>
      <c r="D2317" s="216">
        <v>0.111</v>
      </c>
      <c r="E2317" s="216">
        <v>7.4999999999999997E-2</v>
      </c>
      <c r="F2317" s="216">
        <v>0.156</v>
      </c>
    </row>
    <row r="2318" spans="1:6" ht="32" x14ac:dyDescent="0.2">
      <c r="A2318" s="223" t="s">
        <v>3535</v>
      </c>
      <c r="B2318" s="224" t="s">
        <v>3535</v>
      </c>
      <c r="C2318" s="224" t="s">
        <v>3536</v>
      </c>
      <c r="D2318" s="216">
        <v>9.4E-2</v>
      </c>
      <c r="E2318" s="216">
        <v>6.3E-2</v>
      </c>
      <c r="F2318" s="216">
        <v>0.13300000000000001</v>
      </c>
    </row>
    <row r="2319" spans="1:6" ht="32" x14ac:dyDescent="0.2">
      <c r="A2319" s="223" t="s">
        <v>3537</v>
      </c>
      <c r="B2319" s="224" t="s">
        <v>3537</v>
      </c>
      <c r="C2319" s="224" t="s">
        <v>3538</v>
      </c>
      <c r="D2319" s="216">
        <v>0.23100000000000001</v>
      </c>
      <c r="E2319" s="216">
        <v>0.156</v>
      </c>
      <c r="F2319" s="216">
        <v>0.32400000000000001</v>
      </c>
    </row>
    <row r="2320" spans="1:6" ht="32" x14ac:dyDescent="0.2">
      <c r="A2320" s="223" t="s">
        <v>3539</v>
      </c>
      <c r="B2320" s="224" t="s">
        <v>3539</v>
      </c>
      <c r="C2320" s="224" t="s">
        <v>3540</v>
      </c>
      <c r="D2320" s="216">
        <v>0.63700000000000001</v>
      </c>
      <c r="E2320" s="216">
        <v>0.46200000000000002</v>
      </c>
      <c r="F2320" s="216">
        <v>0.78900000000000003</v>
      </c>
    </row>
    <row r="2321" spans="1:6" ht="32" x14ac:dyDescent="0.2">
      <c r="A2321" s="218" t="s">
        <v>3541</v>
      </c>
      <c r="B2321" s="216" t="s">
        <v>3541</v>
      </c>
      <c r="C2321" s="216" t="s">
        <v>3542</v>
      </c>
      <c r="D2321" s="216">
        <v>0.214</v>
      </c>
      <c r="E2321" s="216">
        <v>0.14099999999999999</v>
      </c>
      <c r="F2321" s="216">
        <v>0.29699999999999999</v>
      </c>
    </row>
    <row r="2322" spans="1:6" x14ac:dyDescent="0.2">
      <c r="A2322" s="217" t="s">
        <v>3543</v>
      </c>
      <c r="B2322" s="215" t="s">
        <v>3543</v>
      </c>
      <c r="C2322" s="215" t="s">
        <v>3544</v>
      </c>
      <c r="D2322" s="216">
        <v>4.7E-2</v>
      </c>
      <c r="E2322" s="216">
        <v>0.03</v>
      </c>
      <c r="F2322" s="216">
        <v>7.0000000000000007E-2</v>
      </c>
    </row>
    <row r="2323" spans="1:6" x14ac:dyDescent="0.2">
      <c r="A2323" s="217" t="s">
        <v>3545</v>
      </c>
      <c r="B2323" s="215" t="s">
        <v>3545</v>
      </c>
      <c r="C2323" s="215" t="s">
        <v>3546</v>
      </c>
      <c r="D2323" s="216">
        <v>0.36899999999999999</v>
      </c>
      <c r="E2323" s="216">
        <v>0.248</v>
      </c>
      <c r="F2323" s="216">
        <v>0.501</v>
      </c>
    </row>
    <row r="2324" spans="1:6" x14ac:dyDescent="0.2">
      <c r="A2324" s="218" t="s">
        <v>3547</v>
      </c>
      <c r="B2324" s="216" t="s">
        <v>3547</v>
      </c>
      <c r="C2324" s="216" t="s">
        <v>3548</v>
      </c>
      <c r="D2324" s="216">
        <v>0.11</v>
      </c>
      <c r="E2324" s="216">
        <v>7.3999999999999996E-2</v>
      </c>
      <c r="F2324" s="216">
        <v>0.158</v>
      </c>
    </row>
    <row r="2325" spans="1:6" x14ac:dyDescent="0.2">
      <c r="A2325" s="217" t="s">
        <v>3549</v>
      </c>
      <c r="B2325" s="215" t="s">
        <v>3549</v>
      </c>
      <c r="C2325" s="215" t="s">
        <v>3550</v>
      </c>
      <c r="D2325" s="216">
        <v>0.13200000000000001</v>
      </c>
      <c r="E2325" s="216">
        <v>8.8999999999999996E-2</v>
      </c>
      <c r="F2325" s="216">
        <v>0.189</v>
      </c>
    </row>
    <row r="2326" spans="1:6" x14ac:dyDescent="0.2">
      <c r="A2326" s="217" t="s">
        <v>3551</v>
      </c>
      <c r="B2326" s="215" t="s">
        <v>3551</v>
      </c>
      <c r="C2326" s="215" t="s">
        <v>3552</v>
      </c>
      <c r="D2326" s="216">
        <v>5.3999999999999999E-2</v>
      </c>
      <c r="E2326" s="216">
        <v>3.5000000000000003E-2</v>
      </c>
      <c r="F2326" s="216">
        <v>8.1000000000000003E-2</v>
      </c>
    </row>
    <row r="2327" spans="1:6" ht="32" x14ac:dyDescent="0.2">
      <c r="A2327" s="217" t="s">
        <v>3553</v>
      </c>
      <c r="B2327" s="215" t="s">
        <v>3553</v>
      </c>
      <c r="C2327" s="215" t="s">
        <v>3554</v>
      </c>
      <c r="D2327" s="216">
        <v>8.0000000000000002E-3</v>
      </c>
      <c r="E2327" s="216">
        <v>3.0000000000000001E-3</v>
      </c>
      <c r="F2327" s="216">
        <v>1.4999999999999999E-2</v>
      </c>
    </row>
    <row r="2328" spans="1:6" x14ac:dyDescent="0.2">
      <c r="A2328" s="217" t="s">
        <v>3555</v>
      </c>
      <c r="B2328" s="215" t="s">
        <v>3555</v>
      </c>
      <c r="C2328" s="215" t="s">
        <v>3556</v>
      </c>
      <c r="D2328" s="216">
        <v>0.113</v>
      </c>
      <c r="E2328" s="216">
        <v>7.5999999999999998E-2</v>
      </c>
      <c r="F2328" s="216">
        <v>0.157</v>
      </c>
    </row>
    <row r="2329" spans="1:6" x14ac:dyDescent="0.2">
      <c r="A2329" s="217" t="s">
        <v>3557</v>
      </c>
      <c r="B2329" s="215" t="s">
        <v>3557</v>
      </c>
      <c r="C2329" s="215" t="s">
        <v>3558</v>
      </c>
      <c r="D2329" s="216">
        <v>0.1</v>
      </c>
      <c r="E2329" s="216">
        <v>6.7000000000000004E-2</v>
      </c>
      <c r="F2329" s="216">
        <v>-0.14000000000000001</v>
      </c>
    </row>
    <row r="2330" spans="1:6" x14ac:dyDescent="0.2">
      <c r="A2330" s="217" t="s">
        <v>772</v>
      </c>
      <c r="B2330" s="215" t="s">
        <v>772</v>
      </c>
      <c r="C2330" s="216" t="s">
        <v>773</v>
      </c>
      <c r="D2330" s="216">
        <v>0.29599999999999999</v>
      </c>
      <c r="E2330" s="216">
        <v>0.19800000000000001</v>
      </c>
      <c r="F2330" s="216">
        <v>0.41399999999999998</v>
      </c>
    </row>
    <row r="2331" spans="1:6" x14ac:dyDescent="0.2">
      <c r="A2331" s="217" t="s">
        <v>3559</v>
      </c>
      <c r="B2331" s="215" t="s">
        <v>3559</v>
      </c>
      <c r="C2331" s="216" t="s">
        <v>3560</v>
      </c>
      <c r="D2331" s="216">
        <v>0.623</v>
      </c>
      <c r="E2331" s="216">
        <v>0.434</v>
      </c>
      <c r="F2331" s="216">
        <v>0.77700000000000002</v>
      </c>
    </row>
    <row r="2332" spans="1:6" x14ac:dyDescent="0.2">
      <c r="A2332" s="217" t="s">
        <v>3561</v>
      </c>
      <c r="B2332" s="215" t="s">
        <v>3561</v>
      </c>
      <c r="C2332" s="216" t="s">
        <v>3562</v>
      </c>
      <c r="D2332" s="216">
        <v>0.58899999999999997</v>
      </c>
      <c r="E2332" s="216">
        <v>0.41499999999999998</v>
      </c>
      <c r="F2332" s="216">
        <v>0.748</v>
      </c>
    </row>
    <row r="2333" spans="1:6" x14ac:dyDescent="0.2">
      <c r="A2333" s="217" t="s">
        <v>3563</v>
      </c>
      <c r="B2333" s="215" t="s">
        <v>3563</v>
      </c>
      <c r="C2333" s="216" t="s">
        <v>3564</v>
      </c>
      <c r="D2333" s="216">
        <v>0.73199999999999998</v>
      </c>
      <c r="E2333" s="216">
        <v>0.54400000000000004</v>
      </c>
      <c r="F2333" s="216">
        <v>0.871</v>
      </c>
    </row>
    <row r="2334" spans="1:6" x14ac:dyDescent="0.2">
      <c r="A2334" s="217" t="s">
        <v>3565</v>
      </c>
      <c r="B2334" s="215" t="s">
        <v>3565</v>
      </c>
      <c r="C2334" s="215" t="s">
        <v>3566</v>
      </c>
      <c r="D2334" s="216">
        <v>6.0000000000000001E-3</v>
      </c>
      <c r="E2334" s="216">
        <v>2E-3</v>
      </c>
      <c r="F2334" s="216">
        <v>1.2E-2</v>
      </c>
    </row>
    <row r="2335" spans="1:6" x14ac:dyDescent="0.2">
      <c r="A2335" s="218" t="s">
        <v>3567</v>
      </c>
      <c r="B2335" s="216" t="s">
        <v>3567</v>
      </c>
      <c r="C2335" s="225" t="s">
        <v>3568</v>
      </c>
      <c r="D2335" s="216">
        <v>0.16300000000000001</v>
      </c>
      <c r="E2335" s="216">
        <v>0.109</v>
      </c>
      <c r="F2335" s="216">
        <v>0.22700000000000001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48B0D-6E58-B648-A327-1EDF76A0B5CD}">
  <sheetPr>
    <tabColor rgb="FF0070C0"/>
  </sheetPr>
  <dimension ref="A1"/>
  <sheetViews>
    <sheetView workbookViewId="0">
      <selection sqref="A1:XFD1048576"/>
    </sheetView>
  </sheetViews>
  <sheetFormatPr baseColWidth="10" defaultRowHeight="16" x14ac:dyDescent="0.2"/>
  <cols>
    <col min="1" max="16384" width="10.83203125" style="183"/>
  </cols>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BB64C-2DFB-304E-8B0C-9F0A1DAA7AC3}">
  <dimension ref="A1:H10"/>
  <sheetViews>
    <sheetView zoomScale="180" zoomScaleNormal="180" workbookViewId="0">
      <selection activeCell="A10" sqref="A10"/>
    </sheetView>
  </sheetViews>
  <sheetFormatPr baseColWidth="10" defaultRowHeight="16" x14ac:dyDescent="0.2"/>
  <cols>
    <col min="1" max="1" width="26" style="183" customWidth="1"/>
    <col min="2" max="2" width="14.5" style="187" bestFit="1" customWidth="1"/>
    <col min="3" max="3" width="13.33203125" style="187" customWidth="1"/>
    <col min="4" max="4" width="8.83203125" style="187" customWidth="1"/>
    <col min="5" max="5" width="9.5" style="187" customWidth="1"/>
    <col min="6" max="6" width="10.83203125" style="183"/>
    <col min="7" max="7" width="28.33203125" style="183" customWidth="1"/>
    <col min="8" max="8" width="22.6640625" style="183" customWidth="1"/>
    <col min="9" max="16384" width="10.83203125" style="183"/>
  </cols>
  <sheetData>
    <row r="1" spans="1:8" x14ac:dyDescent="0.2">
      <c r="A1" s="184" t="s">
        <v>380</v>
      </c>
      <c r="B1" s="190" t="s">
        <v>377</v>
      </c>
      <c r="C1" s="190" t="s">
        <v>371</v>
      </c>
      <c r="D1" s="190" t="s">
        <v>151</v>
      </c>
      <c r="E1" s="190" t="s">
        <v>150</v>
      </c>
      <c r="F1" s="184" t="s">
        <v>376</v>
      </c>
      <c r="G1" s="184" t="s">
        <v>378</v>
      </c>
      <c r="H1" s="184" t="s">
        <v>379</v>
      </c>
    </row>
    <row r="2" spans="1:8" x14ac:dyDescent="0.2">
      <c r="A2" s="183" t="s">
        <v>369</v>
      </c>
      <c r="B2" s="210">
        <v>29</v>
      </c>
      <c r="C2" s="211">
        <v>0.98899999999999999</v>
      </c>
      <c r="D2" s="211">
        <v>0.96699999999999997</v>
      </c>
      <c r="E2" s="211">
        <v>0.998</v>
      </c>
      <c r="F2" s="183" t="s">
        <v>370</v>
      </c>
      <c r="G2" s="183" t="s">
        <v>630</v>
      </c>
      <c r="H2" s="183" t="s">
        <v>628</v>
      </c>
    </row>
    <row r="3" spans="1:8" x14ac:dyDescent="0.2">
      <c r="A3" s="183" t="s">
        <v>369</v>
      </c>
      <c r="B3" s="209">
        <v>29</v>
      </c>
      <c r="C3" s="209">
        <v>0.99099999999999999</v>
      </c>
      <c r="D3" s="209">
        <v>0.97499999999999998</v>
      </c>
      <c r="E3" s="209">
        <v>0.998</v>
      </c>
      <c r="F3" s="183" t="s">
        <v>370</v>
      </c>
      <c r="G3" s="183" t="s">
        <v>629</v>
      </c>
      <c r="H3" s="183" t="s">
        <v>603</v>
      </c>
    </row>
    <row r="4" spans="1:8" x14ac:dyDescent="0.2">
      <c r="A4" s="183" t="s">
        <v>369</v>
      </c>
      <c r="B4" s="210">
        <f>6*30.44</f>
        <v>182.64000000000001</v>
      </c>
      <c r="C4" s="209">
        <v>0.97799999999999998</v>
      </c>
      <c r="D4" s="209">
        <v>0.95599999999999996</v>
      </c>
      <c r="E4" s="211">
        <v>0.99</v>
      </c>
      <c r="F4" s="183" t="s">
        <v>370</v>
      </c>
      <c r="G4" s="183" t="s">
        <v>629</v>
      </c>
      <c r="H4" s="183" t="s">
        <v>603</v>
      </c>
    </row>
    <row r="5" spans="1:8" x14ac:dyDescent="0.2">
      <c r="A5" s="183" t="s">
        <v>369</v>
      </c>
      <c r="B5" s="209">
        <v>365</v>
      </c>
      <c r="C5" s="209">
        <v>0.98899999999999999</v>
      </c>
      <c r="D5" s="209">
        <v>0.97199999999999998</v>
      </c>
      <c r="E5" s="209">
        <v>0.997</v>
      </c>
      <c r="F5" s="183" t="s">
        <v>370</v>
      </c>
      <c r="G5" s="183" t="s">
        <v>629</v>
      </c>
      <c r="H5" s="183" t="s">
        <v>603</v>
      </c>
    </row>
    <row r="6" spans="1:8" x14ac:dyDescent="0.2">
      <c r="A6" s="185" t="s">
        <v>369</v>
      </c>
      <c r="B6" s="198">
        <f>+B5*2</f>
        <v>730</v>
      </c>
      <c r="C6" s="198">
        <v>0.96799999999999997</v>
      </c>
      <c r="D6" s="198">
        <v>0.94299999999999995</v>
      </c>
      <c r="E6" s="198">
        <v>0.98499999999999999</v>
      </c>
      <c r="F6" s="185" t="s">
        <v>370</v>
      </c>
      <c r="G6" s="185" t="s">
        <v>629</v>
      </c>
      <c r="H6" s="185" t="s">
        <v>603</v>
      </c>
    </row>
    <row r="7" spans="1:8" x14ac:dyDescent="0.2">
      <c r="A7" s="183" t="s">
        <v>381</v>
      </c>
      <c r="B7" s="209">
        <v>8</v>
      </c>
      <c r="C7" s="209">
        <v>0.46100000000000002</v>
      </c>
      <c r="D7" s="209">
        <v>0.438</v>
      </c>
      <c r="E7" s="209">
        <v>0.48099999999999998</v>
      </c>
      <c r="F7" s="183" t="s">
        <v>374</v>
      </c>
      <c r="G7" s="183" t="s">
        <v>375</v>
      </c>
      <c r="H7" s="183" t="s">
        <v>361</v>
      </c>
    </row>
    <row r="8" spans="1:8" x14ac:dyDescent="0.2">
      <c r="A8" s="183" t="s">
        <v>381</v>
      </c>
      <c r="B8" s="209">
        <v>15</v>
      </c>
      <c r="C8" s="211">
        <v>0.96</v>
      </c>
      <c r="D8" s="209">
        <v>0.94299999999999995</v>
      </c>
      <c r="E8" s="209">
        <v>0.96799999999999997</v>
      </c>
      <c r="F8" s="183" t="s">
        <v>374</v>
      </c>
      <c r="G8" s="183" t="s">
        <v>375</v>
      </c>
      <c r="H8" s="183" t="s">
        <v>361</v>
      </c>
    </row>
    <row r="9" spans="1:8" x14ac:dyDescent="0.2">
      <c r="A9" s="183" t="s">
        <v>381</v>
      </c>
      <c r="B9" s="210">
        <v>22</v>
      </c>
      <c r="C9" s="211">
        <v>0.96599999999999997</v>
      </c>
      <c r="D9" s="211">
        <v>0.95</v>
      </c>
      <c r="E9" s="209">
        <v>0.97499999999999998</v>
      </c>
      <c r="F9" s="183" t="s">
        <v>374</v>
      </c>
      <c r="G9" s="183" t="s">
        <v>375</v>
      </c>
      <c r="H9" s="183" t="s">
        <v>361</v>
      </c>
    </row>
    <row r="10" spans="1:8" x14ac:dyDescent="0.2">
      <c r="A10" s="185" t="s">
        <v>381</v>
      </c>
      <c r="B10" s="198">
        <v>183</v>
      </c>
      <c r="C10" s="212">
        <v>0.84</v>
      </c>
      <c r="D10" s="198">
        <v>0.81699999999999995</v>
      </c>
      <c r="E10" s="198">
        <v>0.85599999999999998</v>
      </c>
      <c r="F10" s="185" t="s">
        <v>374</v>
      </c>
      <c r="G10" s="185" t="s">
        <v>375</v>
      </c>
      <c r="H10" s="185" t="s">
        <v>361</v>
      </c>
    </row>
  </sheetData>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AEEE9-76D1-C44F-9678-76D522A0A2D0}">
  <sheetPr>
    <tabColor rgb="FF0070C0"/>
  </sheetPr>
  <dimension ref="A1"/>
  <sheetViews>
    <sheetView workbookViewId="0">
      <selection sqref="A1:XFD1048576"/>
    </sheetView>
  </sheetViews>
  <sheetFormatPr baseColWidth="10" defaultRowHeight="16" x14ac:dyDescent="0.2"/>
  <cols>
    <col min="1" max="16384" width="10.83203125" style="183"/>
  </cols>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4E8A02-B768-2D4A-AEB5-029FAE7F00BC}">
  <dimension ref="A2:H110"/>
  <sheetViews>
    <sheetView zoomScale="140" zoomScaleNormal="140" workbookViewId="0">
      <selection activeCell="C33" sqref="C33"/>
    </sheetView>
  </sheetViews>
  <sheetFormatPr baseColWidth="10" defaultColWidth="11.5" defaultRowHeight="16" x14ac:dyDescent="0.2"/>
  <cols>
    <col min="1" max="1" width="11.1640625" style="62" customWidth="1"/>
    <col min="2" max="2" width="25.83203125" style="60" customWidth="1"/>
    <col min="3" max="3" width="9.33203125" style="60" customWidth="1"/>
    <col min="4" max="4" width="12.5" style="60" customWidth="1"/>
    <col min="5" max="5" width="11.5" style="60"/>
    <col min="6" max="6" width="13.6640625" style="60" customWidth="1"/>
    <col min="7" max="7" width="19.83203125" style="60" customWidth="1"/>
    <col min="8" max="8" width="20.1640625" style="58" customWidth="1"/>
  </cols>
  <sheetData>
    <row r="2" spans="1:7" x14ac:dyDescent="0.2">
      <c r="A2" s="229" t="s">
        <v>631</v>
      </c>
      <c r="B2" s="229"/>
      <c r="C2" s="229"/>
      <c r="D2" s="229"/>
      <c r="E2" s="229"/>
      <c r="F2" s="229"/>
      <c r="G2" s="229"/>
    </row>
    <row r="3" spans="1:7" x14ac:dyDescent="0.2">
      <c r="A3" s="63"/>
      <c r="B3" s="64"/>
      <c r="C3" s="64"/>
      <c r="D3" s="64"/>
      <c r="E3" s="64"/>
      <c r="F3" s="65"/>
      <c r="G3" s="65" t="s">
        <v>199</v>
      </c>
    </row>
    <row r="4" spans="1:7" x14ac:dyDescent="0.2">
      <c r="A4" s="60" t="s">
        <v>200</v>
      </c>
      <c r="B4" s="66" t="s">
        <v>201</v>
      </c>
      <c r="C4" s="66" t="s">
        <v>202</v>
      </c>
      <c r="D4" s="230" t="s">
        <v>203</v>
      </c>
      <c r="E4" s="230" t="s">
        <v>204</v>
      </c>
      <c r="F4" s="230" t="s">
        <v>205</v>
      </c>
      <c r="G4" s="60" t="s">
        <v>206</v>
      </c>
    </row>
    <row r="5" spans="1:7" x14ac:dyDescent="0.2">
      <c r="A5" s="60" t="s">
        <v>207</v>
      </c>
      <c r="B5" s="67" t="s">
        <v>208</v>
      </c>
      <c r="C5" s="67" t="s">
        <v>209</v>
      </c>
      <c r="D5" s="230"/>
      <c r="E5" s="230"/>
      <c r="F5" s="230"/>
      <c r="G5" s="60" t="s">
        <v>210</v>
      </c>
    </row>
    <row r="6" spans="1:7" x14ac:dyDescent="0.2">
      <c r="A6" s="64" t="s">
        <v>211</v>
      </c>
      <c r="B6" s="68" t="s">
        <v>212</v>
      </c>
      <c r="C6" s="68"/>
      <c r="D6" s="230"/>
      <c r="E6" s="230"/>
      <c r="F6" s="230"/>
      <c r="G6" s="69" t="s">
        <v>213</v>
      </c>
    </row>
    <row r="7" spans="1:7" x14ac:dyDescent="0.2">
      <c r="A7" s="60" t="s">
        <v>353</v>
      </c>
      <c r="B7" s="60" t="s">
        <v>354</v>
      </c>
      <c r="D7" s="110"/>
      <c r="E7" s="110"/>
      <c r="F7" s="110"/>
      <c r="G7" s="60" t="s">
        <v>355</v>
      </c>
    </row>
    <row r="8" spans="1:7" x14ac:dyDescent="0.2">
      <c r="A8" s="70">
        <v>0</v>
      </c>
      <c r="B8" s="71">
        <v>12.255129142538699</v>
      </c>
      <c r="C8" s="72">
        <v>1225.5129142538599</v>
      </c>
      <c r="D8" s="72">
        <v>100000</v>
      </c>
      <c r="E8" s="72">
        <v>98926.550967401796</v>
      </c>
      <c r="F8" s="72">
        <v>7660788.3679197803</v>
      </c>
      <c r="G8" s="73">
        <v>76.607883679197798</v>
      </c>
    </row>
    <row r="9" spans="1:7" x14ac:dyDescent="0.2">
      <c r="A9" s="70">
        <v>1</v>
      </c>
      <c r="B9" s="71">
        <v>0.74460443305674495</v>
      </c>
      <c r="C9" s="72">
        <v>73.547920956960297</v>
      </c>
      <c r="D9" s="72">
        <v>98774.487085746106</v>
      </c>
      <c r="E9" s="72">
        <v>98737.713125267604</v>
      </c>
      <c r="F9" s="72">
        <v>7561861.8169523804</v>
      </c>
      <c r="G9" s="73">
        <v>76.556832032829703</v>
      </c>
    </row>
    <row r="10" spans="1:7" x14ac:dyDescent="0.2">
      <c r="A10" s="70">
        <v>2</v>
      </c>
      <c r="B10" s="71">
        <v>0.59254521224370904</v>
      </c>
      <c r="C10" s="72">
        <v>58.484768946058502</v>
      </c>
      <c r="D10" s="72">
        <v>98700.939164789204</v>
      </c>
      <c r="E10" s="72">
        <v>98671.696780316197</v>
      </c>
      <c r="F10" s="72">
        <v>7463124.1038271096</v>
      </c>
      <c r="G10" s="73">
        <v>75.613506487175599</v>
      </c>
    </row>
    <row r="11" spans="1:7" x14ac:dyDescent="0.2">
      <c r="A11" s="70">
        <v>3</v>
      </c>
      <c r="B11" s="71">
        <v>0.47361226782771199</v>
      </c>
      <c r="C11" s="72">
        <v>46.718276530504198</v>
      </c>
      <c r="D11" s="72">
        <v>98642.454395843102</v>
      </c>
      <c r="E11" s="72">
        <v>98619.095257577894</v>
      </c>
      <c r="F11" s="72">
        <v>7364452.4070467902</v>
      </c>
      <c r="G11" s="73">
        <v>74.658041024546307</v>
      </c>
    </row>
    <row r="12" spans="1:7" x14ac:dyDescent="0.2">
      <c r="A12" s="70">
        <v>4</v>
      </c>
      <c r="B12" s="71">
        <v>0.382096174315399</v>
      </c>
      <c r="C12" s="72">
        <v>37.673053574995699</v>
      </c>
      <c r="D12" s="72">
        <v>98595.736119312598</v>
      </c>
      <c r="E12" s="72">
        <v>98576.899592525093</v>
      </c>
      <c r="F12" s="72">
        <v>7265833.3117892202</v>
      </c>
      <c r="G12" s="73">
        <v>73.693179824700394</v>
      </c>
    </row>
    <row r="13" spans="1:7" x14ac:dyDescent="0.2">
      <c r="A13" s="70">
        <v>5</v>
      </c>
      <c r="B13" s="71">
        <v>0.31305261625040798</v>
      </c>
      <c r="C13" s="72">
        <v>30.853859495298799</v>
      </c>
      <c r="D13" s="72">
        <v>98558.063065737602</v>
      </c>
      <c r="E13" s="72">
        <v>98542.636135990004</v>
      </c>
      <c r="F13" s="72">
        <v>7167256.4121966902</v>
      </c>
      <c r="G13" s="73">
        <v>72.721157348802393</v>
      </c>
    </row>
    <row r="14" spans="1:7" x14ac:dyDescent="0.2">
      <c r="A14" s="70">
        <v>6</v>
      </c>
      <c r="B14" s="71">
        <v>0.26253592065445802</v>
      </c>
      <c r="C14" s="72">
        <v>25.8669315784791</v>
      </c>
      <c r="D14" s="72">
        <v>98527.209206242303</v>
      </c>
      <c r="E14" s="72">
        <v>98514.2757404531</v>
      </c>
      <c r="F14" s="72">
        <v>7068713.7760607004</v>
      </c>
      <c r="G14" s="73">
        <v>71.743773451088998</v>
      </c>
    </row>
    <row r="15" spans="1:7" x14ac:dyDescent="0.2">
      <c r="A15" s="70">
        <v>7</v>
      </c>
      <c r="B15" s="71">
        <v>0.22730590843856699</v>
      </c>
      <c r="C15" s="72">
        <v>22.389937088170001</v>
      </c>
      <c r="D15" s="72">
        <v>98501.342274663795</v>
      </c>
      <c r="E15" s="72">
        <v>98490.147306119805</v>
      </c>
      <c r="F15" s="72">
        <v>6970199.5003202502</v>
      </c>
      <c r="G15" s="73">
        <v>70.762482412517301</v>
      </c>
    </row>
    <row r="16" spans="1:7" x14ac:dyDescent="0.2">
      <c r="A16" s="70">
        <v>8</v>
      </c>
      <c r="B16" s="71">
        <v>0.20513093166598301</v>
      </c>
      <c r="C16" s="72">
        <v>20.201079242498999</v>
      </c>
      <c r="D16" s="72">
        <v>98478.952337575698</v>
      </c>
      <c r="E16" s="72">
        <v>98468.851797954398</v>
      </c>
      <c r="F16" s="72">
        <v>6871709.3530141301</v>
      </c>
      <c r="G16" s="73">
        <v>69.778457121056903</v>
      </c>
    </row>
    <row r="17" spans="1:7" x14ac:dyDescent="0.2">
      <c r="A17" s="70">
        <v>9</v>
      </c>
      <c r="B17" s="71">
        <v>0.19482618915390301</v>
      </c>
      <c r="C17" s="72">
        <v>19.1823432965029</v>
      </c>
      <c r="D17" s="72">
        <v>98458.751258333199</v>
      </c>
      <c r="E17" s="72">
        <v>98449.160086684904</v>
      </c>
      <c r="F17" s="72">
        <v>6773240.5012161704</v>
      </c>
      <c r="G17" s="73">
        <v>68.792671191256005</v>
      </c>
    </row>
    <row r="18" spans="1:7" x14ac:dyDescent="0.2">
      <c r="A18" s="70">
        <v>10</v>
      </c>
      <c r="B18" s="71">
        <v>0.196626707379921</v>
      </c>
      <c r="C18" s="72">
        <v>19.3558483116649</v>
      </c>
      <c r="D18" s="72">
        <v>98439.568915036696</v>
      </c>
      <c r="E18" s="72">
        <v>98429.890990880798</v>
      </c>
      <c r="F18" s="72">
        <v>6674791.3411294902</v>
      </c>
      <c r="G18" s="73">
        <v>67.805978984838006</v>
      </c>
    </row>
    <row r="19" spans="1:7" x14ac:dyDescent="0.2">
      <c r="A19" s="70">
        <v>11</v>
      </c>
      <c r="B19" s="71">
        <v>0.21238233577126001</v>
      </c>
      <c r="C19" s="72">
        <v>20.9027147382149</v>
      </c>
      <c r="D19" s="72">
        <v>98420.213066725002</v>
      </c>
      <c r="E19" s="72">
        <v>98409.761709355895</v>
      </c>
      <c r="F19" s="72">
        <v>6576361.4501386099</v>
      </c>
      <c r="G19" s="73">
        <v>66.819215740572503</v>
      </c>
    </row>
    <row r="20" spans="1:7" x14ac:dyDescent="0.2">
      <c r="A20" s="70">
        <v>12</v>
      </c>
      <c r="B20" s="71">
        <v>0.24577571005733401</v>
      </c>
      <c r="C20" s="72">
        <v>24.1841603709181</v>
      </c>
      <c r="D20" s="72">
        <v>98399.310351986802</v>
      </c>
      <c r="E20" s="72">
        <v>98387.218271801306</v>
      </c>
      <c r="F20" s="72">
        <v>6477951.6884292504</v>
      </c>
      <c r="G20" s="73">
        <v>65.833303762564995</v>
      </c>
    </row>
    <row r="21" spans="1:7" x14ac:dyDescent="0.2">
      <c r="A21" s="70">
        <v>13</v>
      </c>
      <c r="B21" s="71">
        <v>0.30333462847451997</v>
      </c>
      <c r="C21" s="72">
        <v>29.840582354474499</v>
      </c>
      <c r="D21" s="72">
        <v>98375.126191615898</v>
      </c>
      <c r="E21" s="72">
        <v>98360.205900438596</v>
      </c>
      <c r="F21" s="72">
        <v>6379564.4701574501</v>
      </c>
      <c r="G21" s="73">
        <v>64.849365049161705</v>
      </c>
    </row>
    <row r="22" spans="1:7" x14ac:dyDescent="0.2">
      <c r="A22" s="70">
        <v>14</v>
      </c>
      <c r="B22" s="71">
        <v>0.39257242363158001</v>
      </c>
      <c r="C22" s="72">
        <v>38.607647124357797</v>
      </c>
      <c r="D22" s="72">
        <v>98345.285609261395</v>
      </c>
      <c r="E22" s="72">
        <v>98325.981785699201</v>
      </c>
      <c r="F22" s="72">
        <v>6281204.2642570101</v>
      </c>
      <c r="G22" s="73">
        <v>63.8688903626052</v>
      </c>
    </row>
    <row r="23" spans="1:7" x14ac:dyDescent="0.2">
      <c r="A23" s="70">
        <v>15</v>
      </c>
      <c r="B23" s="71">
        <v>0.52121840265279096</v>
      </c>
      <c r="C23" s="72">
        <v>51.239249657533897</v>
      </c>
      <c r="D23" s="72">
        <v>98306.677962136993</v>
      </c>
      <c r="E23" s="72">
        <v>98281.058337308306</v>
      </c>
      <c r="F23" s="72">
        <v>6182878.2824713103</v>
      </c>
      <c r="G23" s="73">
        <v>62.8937770112897</v>
      </c>
    </row>
    <row r="24" spans="1:7" x14ac:dyDescent="0.2">
      <c r="A24" s="70">
        <v>16</v>
      </c>
      <c r="B24" s="71">
        <v>0.68876106281649496</v>
      </c>
      <c r="C24" s="72">
        <v>67.674520395099506</v>
      </c>
      <c r="D24" s="72">
        <v>98255.438712479503</v>
      </c>
      <c r="E24" s="72">
        <v>98221.601452282004</v>
      </c>
      <c r="F24" s="72">
        <v>6084597.224134</v>
      </c>
      <c r="G24" s="73">
        <v>61.926314755349999</v>
      </c>
    </row>
    <row r="25" spans="1:7" x14ac:dyDescent="0.2">
      <c r="A25" s="70">
        <v>17</v>
      </c>
      <c r="B25" s="71">
        <v>0.88076644196120502</v>
      </c>
      <c r="C25" s="72">
        <v>86.480487711596695</v>
      </c>
      <c r="D25" s="72">
        <v>98187.764192084403</v>
      </c>
      <c r="E25" s="72">
        <v>98144.523948228598</v>
      </c>
      <c r="F25" s="72">
        <v>5986375.6226817202</v>
      </c>
      <c r="G25" s="73">
        <v>60.968651969410303</v>
      </c>
    </row>
    <row r="26" spans="1:7" x14ac:dyDescent="0.2">
      <c r="A26" s="70">
        <v>18</v>
      </c>
      <c r="B26" s="71">
        <v>1.07138626414037</v>
      </c>
      <c r="C26" s="72">
        <v>105.104367855398</v>
      </c>
      <c r="D26" s="72">
        <v>98101.283704372807</v>
      </c>
      <c r="E26" s="72">
        <v>98048.731520445101</v>
      </c>
      <c r="F26" s="72">
        <v>5888231.0987334903</v>
      </c>
      <c r="G26" s="73">
        <v>60.021957678735497</v>
      </c>
    </row>
    <row r="27" spans="1:7" x14ac:dyDescent="0.2">
      <c r="A27" s="70">
        <v>19</v>
      </c>
      <c r="B27" s="71">
        <v>1.2280232852349899</v>
      </c>
      <c r="C27" s="72">
        <v>120.34159008930099</v>
      </c>
      <c r="D27" s="72">
        <v>97996.179336517394</v>
      </c>
      <c r="E27" s="72">
        <v>97936.008541472795</v>
      </c>
      <c r="F27" s="72">
        <v>5790182.3672130499</v>
      </c>
      <c r="G27" s="73">
        <v>59.085797083268403</v>
      </c>
    </row>
    <row r="28" spans="1:7" x14ac:dyDescent="0.2">
      <c r="A28" s="70">
        <v>20</v>
      </c>
      <c r="B28" s="71">
        <v>1.3378617794954799</v>
      </c>
      <c r="C28" s="72">
        <v>130.944342457049</v>
      </c>
      <c r="D28" s="72">
        <v>97875.837746428093</v>
      </c>
      <c r="E28" s="72">
        <v>97810.365575199598</v>
      </c>
      <c r="F28" s="72">
        <v>5692246.3586715804</v>
      </c>
      <c r="G28" s="73">
        <v>58.157830264694802</v>
      </c>
    </row>
    <row r="29" spans="1:7" x14ac:dyDescent="0.2">
      <c r="A29" s="70">
        <v>21</v>
      </c>
      <c r="B29" s="71">
        <v>1.4037197788797899</v>
      </c>
      <c r="C29" s="72">
        <v>137.20644015564201</v>
      </c>
      <c r="D29" s="72">
        <v>97744.893403971102</v>
      </c>
      <c r="E29" s="72">
        <v>97676.290183893201</v>
      </c>
      <c r="F29" s="72">
        <v>5594435.9930963796</v>
      </c>
      <c r="G29" s="73">
        <v>57.235071810606698</v>
      </c>
    </row>
    <row r="30" spans="1:7" x14ac:dyDescent="0.2">
      <c r="A30" s="70">
        <v>22</v>
      </c>
      <c r="B30" s="71">
        <v>1.44142609492434</v>
      </c>
      <c r="C30" s="72">
        <v>140.69426705486001</v>
      </c>
      <c r="D30" s="72">
        <v>97607.686963815402</v>
      </c>
      <c r="E30" s="72">
        <v>97537.339830287994</v>
      </c>
      <c r="F30" s="72">
        <v>5496759.7029124796</v>
      </c>
      <c r="G30" s="73">
        <v>56.3148239026524</v>
      </c>
    </row>
    <row r="31" spans="1:7" x14ac:dyDescent="0.2">
      <c r="A31" s="70">
        <v>23</v>
      </c>
      <c r="B31" s="71">
        <v>1.46970785891375</v>
      </c>
      <c r="C31" s="72">
        <v>143.24800515112301</v>
      </c>
      <c r="D31" s="72">
        <v>97466.992696760601</v>
      </c>
      <c r="E31" s="72">
        <v>97395.368694185003</v>
      </c>
      <c r="F31" s="72">
        <v>5399222.3630822003</v>
      </c>
      <c r="G31" s="73">
        <v>55.395392980680803</v>
      </c>
    </row>
    <row r="32" spans="1:7" x14ac:dyDescent="0.2">
      <c r="A32" s="70">
        <v>24</v>
      </c>
      <c r="B32" s="71">
        <v>1.49715305306906</v>
      </c>
      <c r="C32" s="72">
        <v>145.70854150115301</v>
      </c>
      <c r="D32" s="72">
        <v>97323.744691609405</v>
      </c>
      <c r="E32" s="72">
        <v>97250.890420858894</v>
      </c>
      <c r="F32" s="72">
        <v>5301826.9943880104</v>
      </c>
      <c r="G32" s="73">
        <v>54.476191922001703</v>
      </c>
    </row>
    <row r="33" spans="1:7" x14ac:dyDescent="0.2">
      <c r="A33" s="70">
        <v>25</v>
      </c>
      <c r="B33" s="71">
        <v>1.5281848011589201</v>
      </c>
      <c r="C33" s="72">
        <v>148.505997851069</v>
      </c>
      <c r="D33" s="72">
        <v>97178.036150108295</v>
      </c>
      <c r="E33" s="72">
        <v>97103.783151182797</v>
      </c>
      <c r="F33" s="72">
        <v>5204576.1039671497</v>
      </c>
      <c r="G33" s="73">
        <v>53.557123709804003</v>
      </c>
    </row>
    <row r="34" spans="1:7" x14ac:dyDescent="0.2">
      <c r="A34" s="70">
        <v>26</v>
      </c>
      <c r="B34" s="71">
        <v>1.5596820777024001</v>
      </c>
      <c r="C34" s="72">
        <v>151.335219186367</v>
      </c>
      <c r="D34" s="72">
        <v>97029.530152257197</v>
      </c>
      <c r="E34" s="72">
        <v>96953.862542664006</v>
      </c>
      <c r="F34" s="72">
        <v>5107472.3208159702</v>
      </c>
      <c r="G34" s="73">
        <v>52.638328896382397</v>
      </c>
    </row>
    <row r="35" spans="1:7" x14ac:dyDescent="0.2">
      <c r="A35" s="70">
        <v>27</v>
      </c>
      <c r="B35" s="71">
        <v>1.5869260250230299</v>
      </c>
      <c r="C35" s="72">
        <v>153.73852879654399</v>
      </c>
      <c r="D35" s="72">
        <v>96878.194933070801</v>
      </c>
      <c r="E35" s="72">
        <v>96801.325668672594</v>
      </c>
      <c r="F35" s="72">
        <v>5010518.4582733</v>
      </c>
      <c r="G35" s="73">
        <v>51.719775143775799</v>
      </c>
    </row>
    <row r="36" spans="1:7" x14ac:dyDescent="0.2">
      <c r="A36" s="70">
        <v>28</v>
      </c>
      <c r="B36" s="71">
        <v>1.6078902395974499</v>
      </c>
      <c r="C36" s="72">
        <v>155.52230938279499</v>
      </c>
      <c r="D36" s="72">
        <v>96724.4564042743</v>
      </c>
      <c r="E36" s="72">
        <v>96646.695249582903</v>
      </c>
      <c r="F36" s="72">
        <v>4913717.1326046297</v>
      </c>
      <c r="G36" s="73">
        <v>50.801186331479798</v>
      </c>
    </row>
    <row r="37" spans="1:7" x14ac:dyDescent="0.2">
      <c r="A37" s="70">
        <v>29</v>
      </c>
      <c r="B37" s="71">
        <v>1.6222241129782999</v>
      </c>
      <c r="C37" s="72">
        <v>156.656453453339</v>
      </c>
      <c r="D37" s="72">
        <v>96568.934094891505</v>
      </c>
      <c r="E37" s="72">
        <v>96490.605868164799</v>
      </c>
      <c r="F37" s="72">
        <v>4817070.4373550499</v>
      </c>
      <c r="G37" s="73">
        <v>49.8821953716674</v>
      </c>
    </row>
    <row r="38" spans="1:7" x14ac:dyDescent="0.2">
      <c r="A38" s="70">
        <v>30</v>
      </c>
      <c r="B38" s="71">
        <v>1.6338207786588299</v>
      </c>
      <c r="C38" s="72">
        <v>157.520382528412</v>
      </c>
      <c r="D38" s="72">
        <v>96412.277641438195</v>
      </c>
      <c r="E38" s="72">
        <v>96333.517450173997</v>
      </c>
      <c r="F38" s="72">
        <v>4720579.8314868798</v>
      </c>
      <c r="G38" s="73">
        <v>48.962434525641498</v>
      </c>
    </row>
    <row r="39" spans="1:7" x14ac:dyDescent="0.2">
      <c r="A39" s="70">
        <v>31</v>
      </c>
      <c r="B39" s="71">
        <v>1.64788517818963</v>
      </c>
      <c r="C39" s="72">
        <v>158.616787817198</v>
      </c>
      <c r="D39" s="72">
        <v>96254.757258909798</v>
      </c>
      <c r="E39" s="72">
        <v>96175.448865001104</v>
      </c>
      <c r="F39" s="72">
        <v>4624246.3140367102</v>
      </c>
      <c r="G39" s="73">
        <v>48.041743034042803</v>
      </c>
    </row>
    <row r="40" spans="1:7" x14ac:dyDescent="0.2">
      <c r="A40" s="70">
        <v>32</v>
      </c>
      <c r="B40" s="71">
        <v>1.6694934886194499</v>
      </c>
      <c r="C40" s="72">
        <v>160.43188079794299</v>
      </c>
      <c r="D40" s="72">
        <v>96096.1404710926</v>
      </c>
      <c r="E40" s="72">
        <v>96015.924530693606</v>
      </c>
      <c r="F40" s="72">
        <v>4528070.86517171</v>
      </c>
      <c r="G40" s="73">
        <v>47.120215681646798</v>
      </c>
    </row>
    <row r="41" spans="1:7" x14ac:dyDescent="0.2">
      <c r="A41" s="70">
        <v>33</v>
      </c>
      <c r="B41" s="71">
        <v>1.7034395508041</v>
      </c>
      <c r="C41" s="72">
        <v>163.42068034713199</v>
      </c>
      <c r="D41" s="72">
        <v>95935.708590294598</v>
      </c>
      <c r="E41" s="72">
        <v>95853.998250121003</v>
      </c>
      <c r="F41" s="72">
        <v>4432054.9406410204</v>
      </c>
      <c r="G41" s="73">
        <v>46.198177985724399</v>
      </c>
    </row>
    <row r="42" spans="1:7" x14ac:dyDescent="0.2">
      <c r="A42" s="70">
        <v>34</v>
      </c>
      <c r="B42" s="71">
        <v>1.75224494195178</v>
      </c>
      <c r="C42" s="72">
        <v>167.81650706935</v>
      </c>
      <c r="D42" s="72">
        <v>95772.287909947496</v>
      </c>
      <c r="E42" s="72">
        <v>95688.379656412799</v>
      </c>
      <c r="F42" s="72">
        <v>4336200.9423908899</v>
      </c>
      <c r="G42" s="73">
        <v>45.276154898462103</v>
      </c>
    </row>
    <row r="43" spans="1:7" x14ac:dyDescent="0.2">
      <c r="A43" s="70">
        <v>35</v>
      </c>
      <c r="B43" s="71">
        <v>1.8176519351942</v>
      </c>
      <c r="C43" s="72">
        <v>173.77565245865799</v>
      </c>
      <c r="D43" s="72">
        <v>95604.471402878102</v>
      </c>
      <c r="E43" s="72">
        <v>95517.583576648802</v>
      </c>
      <c r="F43" s="72">
        <v>4240512.56273448</v>
      </c>
      <c r="G43" s="73">
        <v>44.354751409742398</v>
      </c>
    </row>
    <row r="44" spans="1:7" x14ac:dyDescent="0.2">
      <c r="A44" s="70">
        <v>36</v>
      </c>
      <c r="B44" s="71">
        <v>1.8998296554828</v>
      </c>
      <c r="C44" s="72">
        <v>181.302065830023</v>
      </c>
      <c r="D44" s="72">
        <v>95430.695750419502</v>
      </c>
      <c r="E44" s="72">
        <v>95340.044717504497</v>
      </c>
      <c r="F44" s="72">
        <v>4144994.9791578301</v>
      </c>
      <c r="G44" s="73">
        <v>43.434609237244402</v>
      </c>
    </row>
    <row r="45" spans="1:7" x14ac:dyDescent="0.2">
      <c r="A45" s="70">
        <v>37</v>
      </c>
      <c r="B45" s="71">
        <v>1.9982920051422901</v>
      </c>
      <c r="C45" s="72">
        <v>190.336101894558</v>
      </c>
      <c r="D45" s="72">
        <v>95249.393684589406</v>
      </c>
      <c r="E45" s="72">
        <v>95154.2256336422</v>
      </c>
      <c r="F45" s="72">
        <v>4049654.9344403301</v>
      </c>
      <c r="G45" s="73">
        <v>42.516332942238201</v>
      </c>
    </row>
    <row r="46" spans="1:7" x14ac:dyDescent="0.2">
      <c r="A46" s="80">
        <v>38</v>
      </c>
      <c r="B46" s="81">
        <v>2.1120514715659402</v>
      </c>
      <c r="C46" s="82">
        <v>200.76962245318299</v>
      </c>
      <c r="D46" s="82">
        <v>95059.057582694906</v>
      </c>
      <c r="E46" s="82">
        <v>94958.672771468293</v>
      </c>
      <c r="F46" s="82">
        <v>3954500.7088066898</v>
      </c>
      <c r="G46" s="83">
        <v>41.600461958783299</v>
      </c>
    </row>
    <row r="47" spans="1:7" x14ac:dyDescent="0.2">
      <c r="A47" s="70">
        <v>39</v>
      </c>
      <c r="B47" s="71">
        <v>2.2396432498115399</v>
      </c>
      <c r="C47" s="72">
        <v>212.448724318834</v>
      </c>
      <c r="D47" s="72">
        <v>94858.287960241694</v>
      </c>
      <c r="E47" s="72">
        <v>94752.063598082299</v>
      </c>
      <c r="F47" s="72">
        <v>3859542.0360352201</v>
      </c>
      <c r="G47" s="73">
        <v>40.6874519773421</v>
      </c>
    </row>
    <row r="48" spans="1:7" x14ac:dyDescent="0.2">
      <c r="A48" s="70">
        <v>40</v>
      </c>
      <c r="B48" s="71">
        <v>2.3791489877064902</v>
      </c>
      <c r="C48" s="72">
        <v>225.176552608798</v>
      </c>
      <c r="D48" s="72">
        <v>94645.839235922904</v>
      </c>
      <c r="E48" s="72">
        <v>94533.250959618497</v>
      </c>
      <c r="F48" s="72">
        <v>3764789.9724371401</v>
      </c>
      <c r="G48" s="73">
        <v>39.7776595657066</v>
      </c>
    </row>
    <row r="49" spans="1:7" x14ac:dyDescent="0.2">
      <c r="A49" s="70">
        <v>41</v>
      </c>
      <c r="B49" s="71">
        <v>2.5282142769741598</v>
      </c>
      <c r="C49" s="72">
        <v>238.71566743729599</v>
      </c>
      <c r="D49" s="72">
        <v>94420.662683314105</v>
      </c>
      <c r="E49" s="72">
        <v>94301.304849595399</v>
      </c>
      <c r="F49" s="72">
        <v>3670256.7214775202</v>
      </c>
      <c r="G49" s="73">
        <v>38.871329825204903</v>
      </c>
    </row>
    <row r="50" spans="1:7" x14ac:dyDescent="0.2">
      <c r="A50" s="70">
        <v>42</v>
      </c>
      <c r="B50" s="71">
        <v>2.6853511262093201</v>
      </c>
      <c r="C50" s="72">
        <v>252.911597487677</v>
      </c>
      <c r="D50" s="72">
        <v>94181.947015876794</v>
      </c>
      <c r="E50" s="72">
        <v>94055.491217132905</v>
      </c>
      <c r="F50" s="72">
        <v>3575955.4166279202</v>
      </c>
      <c r="G50" s="73">
        <v>37.968586655201598</v>
      </c>
    </row>
    <row r="51" spans="1:7" x14ac:dyDescent="0.2">
      <c r="A51" s="70">
        <v>43</v>
      </c>
      <c r="B51" s="71">
        <v>2.84967676559131</v>
      </c>
      <c r="C51" s="72">
        <v>267.667389846189</v>
      </c>
      <c r="D51" s="72">
        <v>93929.035418389103</v>
      </c>
      <c r="E51" s="72">
        <v>93795.201723466002</v>
      </c>
      <c r="F51" s="72">
        <v>3481899.9254107899</v>
      </c>
      <c r="G51" s="73">
        <v>37.069473884207603</v>
      </c>
    </row>
    <row r="52" spans="1:7" ht="17" customHeight="1" x14ac:dyDescent="0.2">
      <c r="A52" s="74">
        <v>44</v>
      </c>
      <c r="B52" s="75">
        <v>3.0227454670957901</v>
      </c>
      <c r="C52" s="76">
        <v>283.11447565027601</v>
      </c>
      <c r="D52" s="76">
        <v>93661.3680285429</v>
      </c>
      <c r="E52" s="76">
        <v>93519.810790717806</v>
      </c>
      <c r="F52" s="76">
        <v>3388104.72368732</v>
      </c>
      <c r="G52" s="77">
        <v>36.173982881125703</v>
      </c>
    </row>
    <row r="53" spans="1:7" x14ac:dyDescent="0.2">
      <c r="A53" s="70">
        <v>45</v>
      </c>
      <c r="B53" s="71">
        <v>3.2079128309410301</v>
      </c>
      <c r="C53" s="72">
        <v>299.54929770318302</v>
      </c>
      <c r="D53" s="72">
        <v>93378.253552892595</v>
      </c>
      <c r="E53" s="72">
        <v>93228.478904041098</v>
      </c>
      <c r="F53" s="72">
        <v>3294584.9128966099</v>
      </c>
      <c r="G53" s="73">
        <v>35.282143192263099</v>
      </c>
    </row>
    <row r="54" spans="1:7" x14ac:dyDescent="0.2">
      <c r="A54" s="70">
        <v>46</v>
      </c>
      <c r="B54" s="71">
        <v>3.4102138518186398</v>
      </c>
      <c r="C54" s="72">
        <v>317.41828656038001</v>
      </c>
      <c r="D54" s="72">
        <v>93078.704255189499</v>
      </c>
      <c r="E54" s="72">
        <v>92919.995111909302</v>
      </c>
      <c r="F54" s="72">
        <v>3201356.43399256</v>
      </c>
      <c r="G54" s="73">
        <v>34.394080360375</v>
      </c>
    </row>
    <row r="55" spans="1:7" x14ac:dyDescent="0.2">
      <c r="A55" s="70">
        <v>47</v>
      </c>
      <c r="B55" s="71">
        <v>3.6360529027112301</v>
      </c>
      <c r="C55" s="72">
        <v>337.28494310544897</v>
      </c>
      <c r="D55" s="72">
        <v>92761.285968629105</v>
      </c>
      <c r="E55" s="72">
        <v>92592.643497076395</v>
      </c>
      <c r="F55" s="72">
        <v>3108436.4388806499</v>
      </c>
      <c r="G55" s="73">
        <v>33.5100619447201</v>
      </c>
    </row>
    <row r="56" spans="1:7" x14ac:dyDescent="0.2">
      <c r="A56" s="70">
        <v>48</v>
      </c>
      <c r="B56" s="71">
        <v>3.8906946061984402</v>
      </c>
      <c r="C56" s="72">
        <v>359.59356227327999</v>
      </c>
      <c r="D56" s="72">
        <v>92424.001025523597</v>
      </c>
      <c r="E56" s="72">
        <v>92244.204244387001</v>
      </c>
      <c r="F56" s="72">
        <v>3015843.79538358</v>
      </c>
      <c r="G56" s="73">
        <v>32.630526291008898</v>
      </c>
    </row>
    <row r="57" spans="1:7" x14ac:dyDescent="0.2">
      <c r="A57" s="70">
        <v>49</v>
      </c>
      <c r="B57" s="71">
        <v>4.1787102665368803</v>
      </c>
      <c r="C57" s="72">
        <v>384.71048464933102</v>
      </c>
      <c r="D57" s="72">
        <v>92064.407463250303</v>
      </c>
      <c r="E57" s="72">
        <v>91872.052220925703</v>
      </c>
      <c r="F57" s="72">
        <v>2923599.5911391899</v>
      </c>
      <c r="G57" s="73">
        <v>31.7560246320622</v>
      </c>
    </row>
    <row r="58" spans="1:7" x14ac:dyDescent="0.2">
      <c r="A58" s="70">
        <v>50</v>
      </c>
      <c r="B58" s="71">
        <v>4.5023666094277699</v>
      </c>
      <c r="C58" s="72">
        <v>412.77560643889598</v>
      </c>
      <c r="D58" s="72">
        <v>91679.696978601001</v>
      </c>
      <c r="E58" s="72">
        <v>91473.309175381597</v>
      </c>
      <c r="F58" s="72">
        <v>2831727.5389182698</v>
      </c>
      <c r="G58" s="73">
        <v>30.887182574122399</v>
      </c>
    </row>
    <row r="59" spans="1:7" x14ac:dyDescent="0.2">
      <c r="A59" s="70">
        <v>51</v>
      </c>
      <c r="B59" s="71">
        <v>4.8619325381813496</v>
      </c>
      <c r="C59" s="72">
        <v>443.73361467896001</v>
      </c>
      <c r="D59" s="72">
        <v>91266.921372162105</v>
      </c>
      <c r="E59" s="72">
        <v>91045.054564822596</v>
      </c>
      <c r="F59" s="72">
        <v>2740254.22974288</v>
      </c>
      <c r="G59" s="73">
        <v>30.024615584093802</v>
      </c>
    </row>
    <row r="60" spans="1:7" x14ac:dyDescent="0.2">
      <c r="A60" s="70">
        <v>52</v>
      </c>
      <c r="B60" s="71">
        <v>5.2563898818740897</v>
      </c>
      <c r="C60" s="72">
        <v>477.40208516798202</v>
      </c>
      <c r="D60" s="72">
        <v>90823.187757483203</v>
      </c>
      <c r="E60" s="72">
        <v>90584.486714899205</v>
      </c>
      <c r="F60" s="72">
        <v>2649209.1751780598</v>
      </c>
      <c r="G60" s="73">
        <v>29.1688635973888</v>
      </c>
    </row>
    <row r="61" spans="1:7" x14ac:dyDescent="0.2">
      <c r="A61" s="70">
        <v>53</v>
      </c>
      <c r="B61" s="71">
        <v>5.6832665648796503</v>
      </c>
      <c r="C61" s="72">
        <v>513.45918298924505</v>
      </c>
      <c r="D61" s="72">
        <v>90345.785672315207</v>
      </c>
      <c r="E61" s="72">
        <v>90089.056080820606</v>
      </c>
      <c r="F61" s="72">
        <v>2558624.6884631598</v>
      </c>
      <c r="G61" s="73">
        <v>28.3203546177938</v>
      </c>
    </row>
    <row r="62" spans="1:7" x14ac:dyDescent="0.2">
      <c r="A62" s="70">
        <v>54</v>
      </c>
      <c r="B62" s="71">
        <v>6.1395826258162298</v>
      </c>
      <c r="C62" s="72">
        <v>551.53299095052398</v>
      </c>
      <c r="D62" s="72">
        <v>89832.326489325904</v>
      </c>
      <c r="E62" s="72">
        <v>89556.559993850693</v>
      </c>
      <c r="F62" s="72">
        <v>2468535.6323823398</v>
      </c>
      <c r="G62" s="73">
        <v>27.4793688291671</v>
      </c>
    </row>
    <row r="63" spans="1:7" ht="15.75" customHeight="1" x14ac:dyDescent="0.2">
      <c r="A63" s="70">
        <v>55</v>
      </c>
      <c r="B63" s="71">
        <v>6.6217915402293404</v>
      </c>
      <c r="C63" s="72">
        <v>591.198803092513</v>
      </c>
      <c r="D63" s="72">
        <v>89280.793498375395</v>
      </c>
      <c r="E63" s="72">
        <v>88985.194096829204</v>
      </c>
      <c r="F63" s="72">
        <v>2378979.0723884902</v>
      </c>
      <c r="G63" s="73">
        <v>26.6460341487868</v>
      </c>
    </row>
    <row r="64" spans="1:7" x14ac:dyDescent="0.2">
      <c r="A64" s="70">
        <v>56</v>
      </c>
      <c r="B64" s="71">
        <v>7.1281752659938604</v>
      </c>
      <c r="C64" s="72">
        <v>632.19497525793804</v>
      </c>
      <c r="D64" s="72">
        <v>88689.594695282896</v>
      </c>
      <c r="E64" s="72">
        <v>88373.497207653898</v>
      </c>
      <c r="F64" s="72">
        <v>2289993.87829166</v>
      </c>
      <c r="G64" s="73">
        <v>25.8203218332382</v>
      </c>
    </row>
    <row r="65" spans="1:7" x14ac:dyDescent="0.2">
      <c r="A65" s="70">
        <v>57</v>
      </c>
      <c r="B65" s="71">
        <v>7.6592508605593297</v>
      </c>
      <c r="C65" s="72">
        <v>674.45371458420402</v>
      </c>
      <c r="D65" s="72">
        <v>88057.399720025001</v>
      </c>
      <c r="E65" s="72">
        <v>87720.172862732899</v>
      </c>
      <c r="F65" s="72">
        <v>2201620.38108401</v>
      </c>
      <c r="G65" s="73">
        <v>25.0021053095364</v>
      </c>
    </row>
    <row r="66" spans="1:7" x14ac:dyDescent="0.2">
      <c r="A66" s="70">
        <v>58</v>
      </c>
      <c r="B66" s="71">
        <v>8.2224316540811895</v>
      </c>
      <c r="C66" s="72">
        <v>718.50030126199999</v>
      </c>
      <c r="D66" s="72">
        <v>87382.946005440797</v>
      </c>
      <c r="E66" s="72">
        <v>87023.695854809703</v>
      </c>
      <c r="F66" s="72">
        <v>2113900.20822128</v>
      </c>
      <c r="G66" s="73">
        <v>24.191221569591601</v>
      </c>
    </row>
    <row r="67" spans="1:7" x14ac:dyDescent="0.2">
      <c r="A67" s="70">
        <v>59</v>
      </c>
      <c r="B67" s="71">
        <v>8.8328679696045196</v>
      </c>
      <c r="C67" s="72">
        <v>765.49560656397102</v>
      </c>
      <c r="D67" s="72">
        <v>86664.445704178797</v>
      </c>
      <c r="E67" s="72">
        <v>86281.697900896805</v>
      </c>
      <c r="F67" s="72">
        <v>2026876.5123664699</v>
      </c>
      <c r="G67" s="73">
        <v>23.387636024178001</v>
      </c>
    </row>
    <row r="68" spans="1:7" x14ac:dyDescent="0.2">
      <c r="A68" s="70">
        <v>60</v>
      </c>
      <c r="B68" s="71">
        <v>9.5138475383356607</v>
      </c>
      <c r="C68" s="72">
        <v>817.22951493180904</v>
      </c>
      <c r="D68" s="72">
        <v>85898.950097614797</v>
      </c>
      <c r="E68" s="72">
        <v>85490.3353401489</v>
      </c>
      <c r="F68" s="72">
        <v>1940594.81446557</v>
      </c>
      <c r="G68" s="73">
        <v>22.591601087793201</v>
      </c>
    </row>
    <row r="69" spans="1:7" x14ac:dyDescent="0.2">
      <c r="A69" s="70">
        <v>61</v>
      </c>
      <c r="B69" s="71">
        <v>10.297596226095401</v>
      </c>
      <c r="C69" s="72">
        <v>876.13720478193102</v>
      </c>
      <c r="D69" s="72">
        <v>85081.720582683003</v>
      </c>
      <c r="E69" s="72">
        <v>84643.651980291994</v>
      </c>
      <c r="F69" s="72">
        <v>1855104.4791254201</v>
      </c>
      <c r="G69" s="73">
        <v>21.803796002487001</v>
      </c>
    </row>
    <row r="70" spans="1:7" x14ac:dyDescent="0.2">
      <c r="A70" s="70">
        <v>62</v>
      </c>
      <c r="B70" s="71">
        <v>11.210041661403601</v>
      </c>
      <c r="C70" s="72">
        <v>943.94809778907802</v>
      </c>
      <c r="D70" s="72">
        <v>84205.583377900999</v>
      </c>
      <c r="E70" s="72">
        <v>83733.609329006504</v>
      </c>
      <c r="F70" s="72">
        <v>1770460.8271451299</v>
      </c>
      <c r="G70" s="73">
        <v>21.0254564617121</v>
      </c>
    </row>
    <row r="71" spans="1:7" x14ac:dyDescent="0.2">
      <c r="A71" s="70">
        <v>63</v>
      </c>
      <c r="B71" s="71">
        <v>12.267955527469701</v>
      </c>
      <c r="C71" s="72">
        <v>1021.45003876081</v>
      </c>
      <c r="D71" s="72">
        <v>83261.635280111994</v>
      </c>
      <c r="E71" s="72">
        <v>82750.910260731602</v>
      </c>
      <c r="F71" s="72">
        <v>1686727.21781612</v>
      </c>
      <c r="G71" s="73">
        <v>20.2581562581802</v>
      </c>
    </row>
    <row r="72" spans="1:7" x14ac:dyDescent="0.2">
      <c r="A72" s="70">
        <v>64</v>
      </c>
      <c r="B72" s="71">
        <v>13.4630203097344</v>
      </c>
      <c r="C72" s="72">
        <v>1107.20128418063</v>
      </c>
      <c r="D72" s="72">
        <v>82240.185241351195</v>
      </c>
      <c r="E72" s="72">
        <v>81686.584599260794</v>
      </c>
      <c r="F72" s="72">
        <v>1603976.3075553901</v>
      </c>
      <c r="G72" s="73">
        <v>19.503559030760702</v>
      </c>
    </row>
    <row r="73" spans="1:7" x14ac:dyDescent="0.2">
      <c r="A73" s="70">
        <v>65</v>
      </c>
      <c r="B73" s="71">
        <v>14.751833477478399</v>
      </c>
      <c r="C73" s="72">
        <v>1196.8602688671201</v>
      </c>
      <c r="D73" s="72">
        <v>81132.983957170494</v>
      </c>
      <c r="E73" s="72">
        <v>80534.553822736998</v>
      </c>
      <c r="F73" s="72">
        <v>1522289.72295613</v>
      </c>
      <c r="G73" s="73">
        <v>18.7628957879786</v>
      </c>
    </row>
    <row r="74" spans="1:7" x14ac:dyDescent="0.2">
      <c r="A74" s="70">
        <v>66</v>
      </c>
      <c r="B74" s="71">
        <v>16.074943177672601</v>
      </c>
      <c r="C74" s="72">
        <v>1284.9686461328799</v>
      </c>
      <c r="D74" s="72">
        <v>79936.1236883034</v>
      </c>
      <c r="E74" s="72">
        <v>79293.639365237002</v>
      </c>
      <c r="F74" s="72">
        <v>1441755.1691333901</v>
      </c>
      <c r="G74" s="73">
        <v>18.036340800753099</v>
      </c>
    </row>
    <row r="75" spans="1:7" x14ac:dyDescent="0.2">
      <c r="A75" s="70">
        <v>67</v>
      </c>
      <c r="B75" s="71">
        <v>17.3594697900166</v>
      </c>
      <c r="C75" s="72">
        <v>1365.34234990447</v>
      </c>
      <c r="D75" s="72">
        <v>78651.155042170503</v>
      </c>
      <c r="E75" s="72">
        <v>77968.483867218296</v>
      </c>
      <c r="F75" s="72">
        <v>1362461.5297681501</v>
      </c>
      <c r="G75" s="73">
        <v>17.3228419727293</v>
      </c>
    </row>
    <row r="76" spans="1:7" x14ac:dyDescent="0.2">
      <c r="A76" s="70">
        <v>68</v>
      </c>
      <c r="B76" s="71">
        <v>18.570291858248101</v>
      </c>
      <c r="C76" s="72">
        <v>1435.2200981972901</v>
      </c>
      <c r="D76" s="72">
        <v>77285.812692266001</v>
      </c>
      <c r="E76" s="72">
        <v>76568.202643167402</v>
      </c>
      <c r="F76" s="72">
        <v>1284493.04590094</v>
      </c>
      <c r="G76" s="73">
        <v>16.620036733203399</v>
      </c>
    </row>
    <row r="77" spans="1:7" x14ac:dyDescent="0.2">
      <c r="A77" s="70">
        <v>69</v>
      </c>
      <c r="B77" s="71">
        <v>19.733285304582701</v>
      </c>
      <c r="C77" s="72">
        <v>1496.78138418043</v>
      </c>
      <c r="D77" s="72">
        <v>75850.592594068803</v>
      </c>
      <c r="E77" s="72">
        <v>75102.201901978595</v>
      </c>
      <c r="F77" s="72">
        <v>1207924.8432577699</v>
      </c>
      <c r="G77" s="73">
        <v>15.9250547945254</v>
      </c>
    </row>
    <row r="78" spans="1:7" x14ac:dyDescent="0.2">
      <c r="A78" s="70">
        <v>70</v>
      </c>
      <c r="B78" s="71">
        <v>20.9322569998305</v>
      </c>
      <c r="C78" s="72">
        <v>1556.3930851622599</v>
      </c>
      <c r="D78" s="72">
        <v>74353.811209888299</v>
      </c>
      <c r="E78" s="72">
        <v>73575.614667307207</v>
      </c>
      <c r="F78" s="72">
        <v>1132822.64135579</v>
      </c>
      <c r="G78" s="73">
        <v>15.235569272407901</v>
      </c>
    </row>
    <row r="79" spans="1:7" x14ac:dyDescent="0.2">
      <c r="A79" s="70">
        <v>71</v>
      </c>
      <c r="B79" s="71">
        <v>22.3220059915996</v>
      </c>
      <c r="C79" s="72">
        <v>1624.9844035531</v>
      </c>
      <c r="D79" s="72">
        <v>72797.4181247261</v>
      </c>
      <c r="E79" s="72">
        <v>71984.925922949493</v>
      </c>
      <c r="F79" s="72">
        <v>1059247.0266884801</v>
      </c>
      <c r="G79" s="73">
        <v>14.5506125625725</v>
      </c>
    </row>
    <row r="80" spans="1:7" x14ac:dyDescent="0.2">
      <c r="A80" s="70">
        <v>72</v>
      </c>
      <c r="B80" s="71">
        <v>24.051259161959901</v>
      </c>
      <c r="C80" s="72">
        <v>1711.78664861535</v>
      </c>
      <c r="D80" s="72">
        <v>71172.433721173002</v>
      </c>
      <c r="E80" s="72">
        <v>70316.540396865297</v>
      </c>
      <c r="F80" s="72">
        <v>987262.10076553398</v>
      </c>
      <c r="G80" s="73">
        <v>13.8714112915298</v>
      </c>
    </row>
    <row r="81" spans="1:7" x14ac:dyDescent="0.2">
      <c r="A81" s="70">
        <v>73</v>
      </c>
      <c r="B81" s="71">
        <v>26.247825604476901</v>
      </c>
      <c r="C81" s="72">
        <v>1823.1909507346099</v>
      </c>
      <c r="D81" s="72">
        <v>69460.647072557593</v>
      </c>
      <c r="E81" s="72">
        <v>68549.051597190293</v>
      </c>
      <c r="F81" s="72">
        <v>916945.56036866899</v>
      </c>
      <c r="G81" s="73">
        <v>13.200936055358699</v>
      </c>
    </row>
    <row r="82" spans="1:7" x14ac:dyDescent="0.2">
      <c r="A82" s="70">
        <v>74</v>
      </c>
      <c r="B82" s="71">
        <v>28.9870110146135</v>
      </c>
      <c r="C82" s="72">
        <v>1960.60768560371</v>
      </c>
      <c r="D82" s="72">
        <v>67637.456121822994</v>
      </c>
      <c r="E82" s="72">
        <v>66657.152279021204</v>
      </c>
      <c r="F82" s="72">
        <v>848396.50877147797</v>
      </c>
      <c r="G82" s="73">
        <v>12.543294165934</v>
      </c>
    </row>
    <row r="83" spans="1:7" x14ac:dyDescent="0.2">
      <c r="A83" s="70">
        <v>75</v>
      </c>
      <c r="B83" s="71">
        <v>32.235492789874797</v>
      </c>
      <c r="C83" s="72">
        <v>2117.1255742274602</v>
      </c>
      <c r="D83" s="72">
        <v>65676.848436219298</v>
      </c>
      <c r="E83" s="72">
        <v>64618.285649105601</v>
      </c>
      <c r="F83" s="72">
        <v>781739.35649245698</v>
      </c>
      <c r="G83" s="73">
        <v>11.902814692023901</v>
      </c>
    </row>
    <row r="84" spans="1:7" x14ac:dyDescent="0.2">
      <c r="A84" s="70">
        <v>76</v>
      </c>
      <c r="B84" s="71">
        <v>35.909420030255603</v>
      </c>
      <c r="C84" s="72">
        <v>2282.3927852579</v>
      </c>
      <c r="D84" s="72">
        <v>63559.722861991802</v>
      </c>
      <c r="E84" s="72">
        <v>62418.5264693629</v>
      </c>
      <c r="F84" s="72">
        <v>717121.070843352</v>
      </c>
      <c r="G84" s="73">
        <v>11.2826336955629</v>
      </c>
    </row>
    <row r="85" spans="1:7" x14ac:dyDescent="0.2">
      <c r="A85" s="70">
        <v>77</v>
      </c>
      <c r="B85" s="71">
        <v>39.859341094658198</v>
      </c>
      <c r="C85" s="72">
        <v>2442.4740008985</v>
      </c>
      <c r="D85" s="72">
        <v>61277.330076733902</v>
      </c>
      <c r="E85" s="72">
        <v>60056.093076284698</v>
      </c>
      <c r="F85" s="72">
        <v>654702.54437398899</v>
      </c>
      <c r="G85" s="73">
        <v>10.6842537616137</v>
      </c>
    </row>
    <row r="86" spans="1:7" x14ac:dyDescent="0.2">
      <c r="A86" s="70">
        <v>78</v>
      </c>
      <c r="B86" s="71">
        <v>43.978563648520797</v>
      </c>
      <c r="C86" s="72">
        <v>2587.4724626826901</v>
      </c>
      <c r="D86" s="72">
        <v>58834.8560758354</v>
      </c>
      <c r="E86" s="72">
        <v>57541.119844494096</v>
      </c>
      <c r="F86" s="72">
        <v>594646.45129770401</v>
      </c>
      <c r="G86" s="73">
        <v>10.107043527585599</v>
      </c>
    </row>
    <row r="87" spans="1:7" x14ac:dyDescent="0.2">
      <c r="A87" s="70">
        <v>79</v>
      </c>
      <c r="B87" s="71">
        <v>48.310090256962098</v>
      </c>
      <c r="C87" s="72">
        <v>2717.3161790693798</v>
      </c>
      <c r="D87" s="72">
        <v>56247.383613152699</v>
      </c>
      <c r="E87" s="72">
        <v>54888.725523618101</v>
      </c>
      <c r="F87" s="72">
        <v>537105.33145320998</v>
      </c>
      <c r="G87" s="73">
        <v>9.5489833828931108</v>
      </c>
    </row>
    <row r="88" spans="1:7" x14ac:dyDescent="0.2">
      <c r="A88" s="70">
        <v>80</v>
      </c>
      <c r="B88" s="71">
        <v>53.020851912438999</v>
      </c>
      <c r="C88" s="72">
        <v>2838.2097782853998</v>
      </c>
      <c r="D88" s="72">
        <v>53530.067434083401</v>
      </c>
      <c r="E88" s="72">
        <v>52110.962544940703</v>
      </c>
      <c r="F88" s="72">
        <v>482216.60592959198</v>
      </c>
      <c r="G88" s="73">
        <v>9.0083317478236093</v>
      </c>
    </row>
    <row r="89" spans="1:7" x14ac:dyDescent="0.2">
      <c r="A89" s="70">
        <v>81</v>
      </c>
      <c r="B89" s="71">
        <v>58.4825119009422</v>
      </c>
      <c r="C89" s="72">
        <v>2964.5871686360802</v>
      </c>
      <c r="D89" s="72">
        <v>50691.857655797998</v>
      </c>
      <c r="E89" s="72">
        <v>49209.564071479901</v>
      </c>
      <c r="F89" s="72">
        <v>430105.64338465099</v>
      </c>
      <c r="G89" s="73">
        <v>8.4847086548909907</v>
      </c>
    </row>
    <row r="90" spans="1:7" x14ac:dyDescent="0.2">
      <c r="A90" s="70">
        <v>82</v>
      </c>
      <c r="B90" s="71">
        <v>65.073245620106803</v>
      </c>
      <c r="C90" s="72">
        <v>3105.76839518836</v>
      </c>
      <c r="D90" s="72">
        <v>47727.270487161899</v>
      </c>
      <c r="E90" s="72">
        <v>46174.386289567701</v>
      </c>
      <c r="F90" s="72">
        <v>380896.07931317098</v>
      </c>
      <c r="G90" s="73">
        <v>7.9806801316163298</v>
      </c>
    </row>
    <row r="91" spans="1:7" x14ac:dyDescent="0.2">
      <c r="A91" s="70">
        <v>83</v>
      </c>
      <c r="B91" s="71">
        <v>73.040782412668705</v>
      </c>
      <c r="C91" s="72">
        <v>3259.18942522629</v>
      </c>
      <c r="D91" s="72">
        <v>44621.502091973503</v>
      </c>
      <c r="E91" s="72">
        <v>42991.907379360397</v>
      </c>
      <c r="F91" s="72">
        <v>334721.69302360399</v>
      </c>
      <c r="G91" s="73">
        <v>7.5013542200725896</v>
      </c>
    </row>
    <row r="92" spans="1:7" x14ac:dyDescent="0.2">
      <c r="A92" s="70">
        <v>84</v>
      </c>
      <c r="B92" s="71">
        <v>82.430983565441693</v>
      </c>
      <c r="C92" s="72">
        <v>3409.5361156612998</v>
      </c>
      <c r="D92" s="72">
        <v>41362.312666747202</v>
      </c>
      <c r="E92" s="72">
        <v>39657.5446089166</v>
      </c>
      <c r="F92" s="72">
        <v>291729.78564424301</v>
      </c>
      <c r="G92" s="73">
        <v>7.0530337119852602</v>
      </c>
    </row>
    <row r="93" spans="1:7" x14ac:dyDescent="0.2">
      <c r="A93" s="70">
        <v>85</v>
      </c>
      <c r="B93" s="71">
        <v>92.772013490945895</v>
      </c>
      <c r="C93" s="72">
        <v>3520.9554982161999</v>
      </c>
      <c r="D93" s="72">
        <v>37952.776551085903</v>
      </c>
      <c r="E93" s="72">
        <v>36192.298801977799</v>
      </c>
      <c r="F93" s="72">
        <v>252072.241035327</v>
      </c>
      <c r="G93" s="73">
        <v>6.64173385828642</v>
      </c>
    </row>
    <row r="94" spans="1:7" x14ac:dyDescent="0.2">
      <c r="A94" s="70">
        <v>86</v>
      </c>
      <c r="B94" s="71">
        <v>103.321099292632</v>
      </c>
      <c r="C94" s="72">
        <v>3557.5336018296798</v>
      </c>
      <c r="D94" s="72">
        <v>34431.821052869702</v>
      </c>
      <c r="E94" s="72">
        <v>32653.054251954902</v>
      </c>
      <c r="F94" s="72">
        <v>215879.94223334899</v>
      </c>
      <c r="G94" s="73">
        <v>6.2697799777091996</v>
      </c>
    </row>
    <row r="95" spans="1:7" x14ac:dyDescent="0.2">
      <c r="A95" s="70">
        <v>87</v>
      </c>
      <c r="B95" s="71">
        <v>113.181126006025</v>
      </c>
      <c r="C95" s="72">
        <v>3494.3866183424102</v>
      </c>
      <c r="D95" s="72">
        <v>30874.287451040102</v>
      </c>
      <c r="E95" s="72">
        <v>29127.0941418689</v>
      </c>
      <c r="F95" s="72">
        <v>183226.88798139399</v>
      </c>
      <c r="G95" s="73">
        <v>5.9346110666343996</v>
      </c>
    </row>
    <row r="96" spans="1:7" x14ac:dyDescent="0.2">
      <c r="A96" s="70">
        <v>88</v>
      </c>
      <c r="B96" s="71">
        <v>121.64666061928</v>
      </c>
      <c r="C96" s="72">
        <v>3330.6735043847102</v>
      </c>
      <c r="D96" s="72">
        <v>27379.9008326976</v>
      </c>
      <c r="E96" s="72">
        <v>25714.564080505301</v>
      </c>
      <c r="F96" s="72">
        <v>154099.79383952499</v>
      </c>
      <c r="G96" s="73">
        <v>5.6282086184729998</v>
      </c>
    </row>
    <row r="97" spans="1:7" x14ac:dyDescent="0.2">
      <c r="A97" s="70">
        <v>89</v>
      </c>
      <c r="B97" s="71">
        <v>128.804200956107</v>
      </c>
      <c r="C97" s="72">
        <v>3097.6415096351202</v>
      </c>
      <c r="D97" s="72">
        <v>24049.2273283129</v>
      </c>
      <c r="E97" s="72">
        <v>22500.406573495398</v>
      </c>
      <c r="F97" s="72">
        <v>128385.22975902</v>
      </c>
      <c r="G97" s="73">
        <v>5.3384347033833004</v>
      </c>
    </row>
    <row r="98" spans="1:7" x14ac:dyDescent="0.2">
      <c r="A98" s="74" t="s">
        <v>222</v>
      </c>
      <c r="B98" s="75">
        <v>1000</v>
      </c>
      <c r="C98" s="76">
        <v>20951.585818677799</v>
      </c>
      <c r="D98" s="76">
        <v>20951.585818677799</v>
      </c>
      <c r="E98" s="76">
        <v>105884.823185524</v>
      </c>
      <c r="F98" s="76">
        <v>105884.823185524</v>
      </c>
      <c r="G98" s="77">
        <v>5.0537856228109801</v>
      </c>
    </row>
    <row r="99" spans="1:7" ht="17.25" customHeight="1" x14ac:dyDescent="0.2">
      <c r="A99" s="59" t="s">
        <v>223</v>
      </c>
      <c r="G99" s="61"/>
    </row>
    <row r="100" spans="1:7" ht="17.25" customHeight="1" x14ac:dyDescent="0.2">
      <c r="A100" s="59"/>
      <c r="G100" s="61"/>
    </row>
    <row r="101" spans="1:7" ht="16.5" customHeight="1" x14ac:dyDescent="0.2">
      <c r="A101" s="59" t="s">
        <v>214</v>
      </c>
      <c r="G101" s="61"/>
    </row>
    <row r="102" spans="1:7" ht="15.75" customHeight="1" x14ac:dyDescent="0.2">
      <c r="A102" s="59" t="s">
        <v>215</v>
      </c>
      <c r="G102" s="61"/>
    </row>
    <row r="103" spans="1:7" ht="16.5" customHeight="1" x14ac:dyDescent="0.2">
      <c r="A103" s="59" t="s">
        <v>216</v>
      </c>
      <c r="G103" s="61"/>
    </row>
    <row r="104" spans="1:7" ht="16.5" customHeight="1" x14ac:dyDescent="0.2">
      <c r="A104" s="59" t="s">
        <v>217</v>
      </c>
      <c r="G104" s="61"/>
    </row>
    <row r="105" spans="1:7" ht="16.5" customHeight="1" x14ac:dyDescent="0.2">
      <c r="A105" s="59" t="s">
        <v>218</v>
      </c>
      <c r="G105" s="61"/>
    </row>
    <row r="106" spans="1:7" ht="16.5" customHeight="1" x14ac:dyDescent="0.2">
      <c r="A106" s="59" t="s">
        <v>219</v>
      </c>
      <c r="G106" s="61"/>
    </row>
    <row r="107" spans="1:7" ht="15.75" customHeight="1" x14ac:dyDescent="0.2">
      <c r="A107" s="59" t="s">
        <v>220</v>
      </c>
      <c r="G107" s="61"/>
    </row>
    <row r="108" spans="1:7" ht="17.25" customHeight="1" x14ac:dyDescent="0.2">
      <c r="A108" s="59" t="s">
        <v>221</v>
      </c>
      <c r="G108" s="61"/>
    </row>
    <row r="109" spans="1:7" x14ac:dyDescent="0.2">
      <c r="G109" s="61"/>
    </row>
    <row r="110" spans="1:7" x14ac:dyDescent="0.2">
      <c r="G110" s="61"/>
    </row>
  </sheetData>
  <mergeCells count="4">
    <mergeCell ref="A2:G2"/>
    <mergeCell ref="D4:D6"/>
    <mergeCell ref="E4:E6"/>
    <mergeCell ref="F4:F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C3DC-F287-BD41-A31E-7EE8E383891F}">
  <dimension ref="A1:C22"/>
  <sheetViews>
    <sheetView workbookViewId="0">
      <selection activeCell="E6" sqref="E6"/>
    </sheetView>
  </sheetViews>
  <sheetFormatPr baseColWidth="10" defaultRowHeight="16" x14ac:dyDescent="0.2"/>
  <sheetData>
    <row r="1" spans="1:3" x14ac:dyDescent="0.2">
      <c r="A1" t="s">
        <v>224</v>
      </c>
      <c r="B1" t="s">
        <v>225</v>
      </c>
      <c r="C1" t="s">
        <v>226</v>
      </c>
    </row>
    <row r="2" spans="1:3" x14ac:dyDescent="0.2">
      <c r="A2" t="s">
        <v>227</v>
      </c>
      <c r="B2">
        <v>6682042</v>
      </c>
      <c r="C2">
        <v>6413556</v>
      </c>
    </row>
    <row r="3" spans="1:3" x14ac:dyDescent="0.2">
      <c r="A3" s="78">
        <v>45786</v>
      </c>
      <c r="B3">
        <v>7241538</v>
      </c>
      <c r="C3">
        <v>6953921</v>
      </c>
    </row>
    <row r="4" spans="1:3" x14ac:dyDescent="0.2">
      <c r="A4" s="78">
        <v>45944</v>
      </c>
      <c r="B4">
        <v>7342997</v>
      </c>
      <c r="C4">
        <v>7055760</v>
      </c>
    </row>
    <row r="5" spans="1:3" x14ac:dyDescent="0.2">
      <c r="A5" t="s">
        <v>228</v>
      </c>
      <c r="B5">
        <v>7575432</v>
      </c>
      <c r="C5">
        <v>7301316</v>
      </c>
    </row>
    <row r="6" spans="1:3" x14ac:dyDescent="0.2">
      <c r="A6" t="s">
        <v>229</v>
      </c>
      <c r="B6">
        <v>7970234</v>
      </c>
      <c r="C6">
        <v>7760334</v>
      </c>
    </row>
    <row r="7" spans="1:3" x14ac:dyDescent="0.2">
      <c r="A7" t="s">
        <v>230</v>
      </c>
      <c r="B7">
        <v>8241074</v>
      </c>
      <c r="C7">
        <v>8130717</v>
      </c>
    </row>
    <row r="8" spans="1:3" x14ac:dyDescent="0.2">
      <c r="A8" t="s">
        <v>231</v>
      </c>
      <c r="B8">
        <v>8048069</v>
      </c>
      <c r="C8">
        <v>8031559</v>
      </c>
    </row>
    <row r="9" spans="1:3" x14ac:dyDescent="0.2">
      <c r="A9" t="s">
        <v>232</v>
      </c>
      <c r="B9">
        <v>8293365</v>
      </c>
      <c r="C9">
        <v>8382279</v>
      </c>
    </row>
    <row r="10" spans="1:3" x14ac:dyDescent="0.2">
      <c r="A10" t="s">
        <v>233</v>
      </c>
      <c r="B10">
        <v>8156539</v>
      </c>
      <c r="C10">
        <v>8366021</v>
      </c>
    </row>
    <row r="11" spans="1:3" x14ac:dyDescent="0.2">
      <c r="A11" t="s">
        <v>234</v>
      </c>
      <c r="B11">
        <v>7272748</v>
      </c>
      <c r="C11">
        <v>7582165</v>
      </c>
    </row>
    <row r="12" spans="1:3" x14ac:dyDescent="0.2">
      <c r="A12" t="s">
        <v>235</v>
      </c>
      <c r="B12">
        <v>6366856</v>
      </c>
      <c r="C12">
        <v>6747807</v>
      </c>
    </row>
    <row r="13" spans="1:3" x14ac:dyDescent="0.2">
      <c r="A13" t="s">
        <v>236</v>
      </c>
      <c r="B13">
        <v>5724442</v>
      </c>
      <c r="C13">
        <v>6194348</v>
      </c>
    </row>
    <row r="14" spans="1:3" x14ac:dyDescent="0.2">
      <c r="A14" t="s">
        <v>237</v>
      </c>
      <c r="B14">
        <v>5084846</v>
      </c>
      <c r="C14">
        <v>5654490</v>
      </c>
    </row>
    <row r="15" spans="1:3" x14ac:dyDescent="0.2">
      <c r="A15" t="s">
        <v>238</v>
      </c>
      <c r="B15">
        <v>3993485</v>
      </c>
      <c r="C15">
        <v>4640221</v>
      </c>
    </row>
    <row r="16" spans="1:3" x14ac:dyDescent="0.2">
      <c r="A16" t="s">
        <v>239</v>
      </c>
      <c r="B16">
        <v>2877264</v>
      </c>
      <c r="C16">
        <v>3565249</v>
      </c>
    </row>
    <row r="17" spans="1:3" x14ac:dyDescent="0.2">
      <c r="A17" t="s">
        <v>240</v>
      </c>
      <c r="B17">
        <v>1792854</v>
      </c>
      <c r="C17">
        <v>2392455</v>
      </c>
    </row>
    <row r="18" spans="1:3" x14ac:dyDescent="0.2">
      <c r="A18" t="s">
        <v>241</v>
      </c>
      <c r="B18">
        <v>1017685</v>
      </c>
      <c r="C18">
        <v>1461296</v>
      </c>
    </row>
    <row r="19" spans="1:3" x14ac:dyDescent="0.2">
      <c r="A19" t="s">
        <v>242</v>
      </c>
      <c r="B19">
        <v>446366</v>
      </c>
      <c r="C19">
        <v>745742</v>
      </c>
    </row>
    <row r="20" spans="1:3" x14ac:dyDescent="0.2">
      <c r="A20" t="s">
        <v>243</v>
      </c>
      <c r="B20">
        <v>137763</v>
      </c>
      <c r="C20">
        <v>266273</v>
      </c>
    </row>
    <row r="21" spans="1:3" x14ac:dyDescent="0.2">
      <c r="A21" t="s">
        <v>244</v>
      </c>
      <c r="B21">
        <v>26885</v>
      </c>
      <c r="C21">
        <v>52956</v>
      </c>
    </row>
    <row r="22" spans="1:3" x14ac:dyDescent="0.2">
      <c r="A22" t="s">
        <v>245</v>
      </c>
      <c r="B22">
        <v>2629</v>
      </c>
      <c r="C22">
        <v>4986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8A85-9820-DF40-B945-17FF7CFB3F77}">
  <sheetPr>
    <tabColor rgb="FF0070C0"/>
  </sheetPr>
  <dimension ref="A1"/>
  <sheetViews>
    <sheetView workbookViewId="0">
      <selection sqref="A1:XFD1048576"/>
    </sheetView>
  </sheetViews>
  <sheetFormatPr baseColWidth="10" defaultRowHeight="16" x14ac:dyDescent="0.2"/>
  <cols>
    <col min="1" max="16384" width="10.83203125" style="183"/>
  </cols>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76945-0CBD-7042-BA36-229B97540B9B}">
  <dimension ref="A1:F16"/>
  <sheetViews>
    <sheetView zoomScale="130" zoomScaleNormal="130" workbookViewId="0">
      <selection activeCell="C17" sqref="C17"/>
    </sheetView>
  </sheetViews>
  <sheetFormatPr baseColWidth="10" defaultRowHeight="16" x14ac:dyDescent="0.2"/>
  <cols>
    <col min="1" max="1" width="17.1640625" style="8" customWidth="1"/>
    <col min="2" max="2" width="30" style="8" customWidth="1"/>
    <col min="3" max="3" width="9.83203125" style="8" customWidth="1"/>
    <col min="4" max="4" width="24" style="8" customWidth="1"/>
    <col min="5" max="5" width="87.5" style="1" customWidth="1"/>
    <col min="6" max="16384" width="10.83203125" style="1"/>
  </cols>
  <sheetData>
    <row r="1" spans="1:6" x14ac:dyDescent="0.2">
      <c r="A1" s="130" t="s">
        <v>154</v>
      </c>
      <c r="B1" s="130" t="s">
        <v>155</v>
      </c>
      <c r="C1" s="130" t="s">
        <v>153</v>
      </c>
      <c r="D1" s="130" t="s">
        <v>152</v>
      </c>
      <c r="E1" s="131" t="s">
        <v>9</v>
      </c>
    </row>
    <row r="2" spans="1:6" x14ac:dyDescent="0.2">
      <c r="A2" s="12">
        <v>0</v>
      </c>
      <c r="B2" s="12">
        <v>26963.200000000001</v>
      </c>
      <c r="C2" s="12">
        <v>0</v>
      </c>
      <c r="D2" s="12">
        <v>0</v>
      </c>
      <c r="E2" s="103" t="s">
        <v>338</v>
      </c>
      <c r="F2" s="41"/>
    </row>
    <row r="3" spans="1:6" x14ac:dyDescent="0.2">
      <c r="A3" s="12">
        <v>26963.21</v>
      </c>
      <c r="B3" s="12">
        <v>33919.800000000003</v>
      </c>
      <c r="C3" s="12">
        <v>7.4999999999999997E-2</v>
      </c>
      <c r="D3" s="12">
        <v>2022.24</v>
      </c>
      <c r="E3" s="103" t="s">
        <v>338</v>
      </c>
    </row>
    <row r="4" spans="1:6" x14ac:dyDescent="0.2">
      <c r="A4" s="12">
        <v>33919.81</v>
      </c>
      <c r="B4" s="12">
        <v>45012.6</v>
      </c>
      <c r="C4" s="12">
        <v>0.15</v>
      </c>
      <c r="D4" s="12">
        <v>4566.2299999999996</v>
      </c>
      <c r="E4" s="103" t="s">
        <v>338</v>
      </c>
    </row>
    <row r="5" spans="1:6" x14ac:dyDescent="0.2">
      <c r="A5" s="12">
        <v>45012.61</v>
      </c>
      <c r="B5" s="12">
        <v>55976.160000000003</v>
      </c>
      <c r="C5" s="12">
        <v>0.22500000000000001</v>
      </c>
      <c r="D5" s="12">
        <v>7942.17</v>
      </c>
      <c r="E5" s="103" t="s">
        <v>338</v>
      </c>
    </row>
    <row r="6" spans="1:6" x14ac:dyDescent="0.2">
      <c r="A6" s="33">
        <v>55976.17</v>
      </c>
      <c r="B6" s="33" t="s">
        <v>356</v>
      </c>
      <c r="C6" s="33">
        <v>0.27500000000000002</v>
      </c>
      <c r="D6" s="33">
        <v>10740.98</v>
      </c>
      <c r="E6" s="121" t="s">
        <v>338</v>
      </c>
    </row>
    <row r="12" spans="1:6" ht="22" x14ac:dyDescent="0.3">
      <c r="A12" s="111"/>
      <c r="B12" s="111"/>
      <c r="C12" s="111"/>
    </row>
    <row r="13" spans="1:6" ht="22" x14ac:dyDescent="0.3">
      <c r="A13" s="111"/>
      <c r="B13" s="111"/>
      <c r="C13" s="111"/>
    </row>
    <row r="14" spans="1:6" ht="22" x14ac:dyDescent="0.3">
      <c r="A14" s="111"/>
      <c r="B14" s="111"/>
      <c r="C14" s="111"/>
    </row>
    <row r="15" spans="1:6" ht="22" x14ac:dyDescent="0.3">
      <c r="A15" s="111"/>
      <c r="B15" s="111"/>
      <c r="C15" s="111"/>
    </row>
    <row r="16" spans="1:6" ht="22" x14ac:dyDescent="0.3">
      <c r="A16" s="111"/>
      <c r="B16" s="111"/>
      <c r="C16" s="111"/>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EF1D-9704-6A46-A966-88FC7DDCF99B}">
  <dimension ref="B1:H18"/>
  <sheetViews>
    <sheetView zoomScale="160" zoomScaleNormal="160" workbookViewId="0">
      <selection activeCell="H7" sqref="H7"/>
    </sheetView>
  </sheetViews>
  <sheetFormatPr baseColWidth="10" defaultRowHeight="16" x14ac:dyDescent="0.2"/>
  <cols>
    <col min="1" max="1" width="2.6640625" style="1" customWidth="1"/>
    <col min="2" max="2" width="19.83203125" style="1" customWidth="1"/>
    <col min="3" max="3" width="17" style="1" customWidth="1"/>
    <col min="4" max="4" width="16.83203125" style="1" customWidth="1"/>
    <col min="5" max="5" width="21" style="1" customWidth="1"/>
    <col min="6" max="6" width="17.1640625" style="1" customWidth="1"/>
    <col min="7" max="7" width="10.83203125" style="1"/>
    <col min="8" max="8" width="17" style="1" customWidth="1"/>
    <col min="9" max="9" width="1.83203125" style="1" customWidth="1"/>
    <col min="10" max="16384" width="10.83203125" style="1"/>
  </cols>
  <sheetData>
    <row r="1" spans="2:8" x14ac:dyDescent="0.2">
      <c r="B1" s="231" t="s">
        <v>536</v>
      </c>
      <c r="C1" s="232"/>
      <c r="D1" s="232"/>
      <c r="E1" s="232"/>
      <c r="F1" s="232"/>
      <c r="G1" s="233"/>
    </row>
    <row r="2" spans="2:8" x14ac:dyDescent="0.2">
      <c r="B2" s="234"/>
      <c r="C2" s="235"/>
      <c r="D2" s="235"/>
      <c r="E2" s="235"/>
      <c r="F2" s="235"/>
      <c r="G2" s="236"/>
    </row>
    <row r="4" spans="2:8" x14ac:dyDescent="0.2">
      <c r="B4" s="4" t="s">
        <v>537</v>
      </c>
      <c r="C4" s="155"/>
      <c r="D4" s="155"/>
      <c r="E4" s="155"/>
      <c r="F4" s="155"/>
    </row>
    <row r="5" spans="2:8" x14ac:dyDescent="0.2">
      <c r="B5" s="156"/>
      <c r="C5" s="94"/>
      <c r="D5" s="94"/>
      <c r="E5" s="157"/>
      <c r="F5" s="157"/>
      <c r="G5" s="158"/>
      <c r="H5" s="14"/>
    </row>
    <row r="6" spans="2:8" ht="48" customHeight="1" x14ac:dyDescent="0.2">
      <c r="B6" s="159" t="s">
        <v>538</v>
      </c>
      <c r="C6" s="159" t="s">
        <v>539</v>
      </c>
      <c r="D6" s="160" t="s">
        <v>540</v>
      </c>
      <c r="E6" s="159" t="s">
        <v>541</v>
      </c>
      <c r="F6" s="161" t="s">
        <v>542</v>
      </c>
      <c r="G6" s="159"/>
      <c r="H6" s="159" t="s">
        <v>543</v>
      </c>
    </row>
    <row r="7" spans="2:8" x14ac:dyDescent="0.2">
      <c r="B7" s="16">
        <v>157.35</v>
      </c>
      <c r="C7" s="16">
        <v>176.23</v>
      </c>
      <c r="D7" s="26">
        <v>220.83</v>
      </c>
      <c r="E7" s="162">
        <v>170</v>
      </c>
      <c r="F7" s="163">
        <v>95</v>
      </c>
      <c r="G7" s="164">
        <f>+F7/D7</f>
        <v>0.43019517275732461</v>
      </c>
      <c r="H7" s="21">
        <f>1-G7</f>
        <v>0.56980482724267545</v>
      </c>
    </row>
    <row r="8" spans="2:8" x14ac:dyDescent="0.2">
      <c r="B8" s="165"/>
      <c r="C8" s="94"/>
      <c r="D8" s="94"/>
      <c r="E8" s="157"/>
      <c r="F8" s="166"/>
      <c r="G8" s="94"/>
      <c r="H8" s="14"/>
    </row>
    <row r="9" spans="2:8" x14ac:dyDescent="0.2">
      <c r="B9" s="167"/>
      <c r="C9" s="4"/>
      <c r="D9" s="4"/>
      <c r="E9" s="168"/>
      <c r="F9" s="168"/>
      <c r="G9" s="4"/>
    </row>
    <row r="10" spans="2:8" x14ac:dyDescent="0.2">
      <c r="B10" s="167"/>
      <c r="C10" s="4"/>
      <c r="D10" s="4"/>
      <c r="E10" s="168"/>
      <c r="F10" s="168"/>
      <c r="G10" s="4"/>
    </row>
    <row r="11" spans="2:8" x14ac:dyDescent="0.2">
      <c r="B11" s="169"/>
      <c r="C11" s="4"/>
      <c r="D11" s="4"/>
      <c r="E11" s="168"/>
      <c r="G11" s="4"/>
    </row>
    <row r="12" spans="2:8" x14ac:dyDescent="0.2">
      <c r="B12" s="167"/>
      <c r="C12" s="4"/>
      <c r="D12" s="4"/>
      <c r="E12" s="168"/>
      <c r="F12" s="168"/>
      <c r="G12" s="4"/>
    </row>
    <row r="13" spans="2:8" x14ac:dyDescent="0.2">
      <c r="B13" s="169"/>
      <c r="C13" s="4"/>
      <c r="D13" s="4"/>
      <c r="E13" s="168"/>
      <c r="F13" s="168"/>
      <c r="G13" s="4"/>
    </row>
    <row r="14" spans="2:8" x14ac:dyDescent="0.2">
      <c r="B14" s="167"/>
      <c r="C14" s="4"/>
      <c r="D14" s="4"/>
      <c r="E14" s="168"/>
      <c r="F14" s="168"/>
      <c r="G14" s="4"/>
    </row>
    <row r="15" spans="2:8" x14ac:dyDescent="0.2">
      <c r="B15" s="167"/>
      <c r="C15" s="4"/>
      <c r="D15" s="4"/>
      <c r="E15" s="168"/>
      <c r="F15" s="168"/>
      <c r="G15" s="4"/>
    </row>
    <row r="16" spans="2:8" x14ac:dyDescent="0.2">
      <c r="B16" s="169"/>
      <c r="C16" s="4"/>
      <c r="D16" s="4"/>
      <c r="E16" s="168"/>
      <c r="F16" s="168"/>
      <c r="G16" s="4"/>
    </row>
    <row r="17" spans="2:7" x14ac:dyDescent="0.2">
      <c r="B17" s="167"/>
      <c r="C17" s="4"/>
      <c r="D17" s="4"/>
      <c r="E17" s="168"/>
      <c r="F17" s="168"/>
      <c r="G17" s="4"/>
    </row>
    <row r="18" spans="2:7" x14ac:dyDescent="0.2">
      <c r="C18" s="4"/>
      <c r="D18" s="4"/>
      <c r="E18" s="4"/>
      <c r="F18" s="4"/>
      <c r="G18" s="4"/>
    </row>
  </sheetData>
  <mergeCells count="1">
    <mergeCell ref="B1:G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7F214-6FB0-6241-841A-DEF603B9C9C3}">
  <dimension ref="A7:R43"/>
  <sheetViews>
    <sheetView topLeftCell="A2" zoomScaleNormal="100" workbookViewId="0">
      <selection activeCell="B28" sqref="B28"/>
    </sheetView>
  </sheetViews>
  <sheetFormatPr baseColWidth="10" defaultRowHeight="16" x14ac:dyDescent="0.2"/>
  <cols>
    <col min="2" max="2" width="21.1640625" customWidth="1"/>
    <col min="3" max="3" width="17.1640625" customWidth="1"/>
    <col min="4" max="4" width="26.5" customWidth="1"/>
    <col min="5" max="5" width="19" customWidth="1"/>
    <col min="6" max="6" width="39.33203125" customWidth="1"/>
    <col min="12" max="12" width="18.5" customWidth="1"/>
  </cols>
  <sheetData>
    <row r="7" spans="2:18" x14ac:dyDescent="0.2">
      <c r="B7" s="237" t="s">
        <v>549</v>
      </c>
      <c r="C7" s="238"/>
      <c r="D7" s="238"/>
      <c r="E7" s="238"/>
      <c r="F7" s="238"/>
      <c r="G7" s="238"/>
      <c r="H7" s="238"/>
      <c r="I7" s="238"/>
      <c r="J7" s="238"/>
    </row>
    <row r="8" spans="2:18" x14ac:dyDescent="0.2">
      <c r="B8" s="238"/>
      <c r="C8" s="238"/>
      <c r="D8" s="238"/>
      <c r="E8" s="238"/>
      <c r="F8" s="238"/>
      <c r="G8" s="238"/>
      <c r="H8" s="238"/>
      <c r="I8" s="238"/>
      <c r="J8" s="238"/>
    </row>
    <row r="9" spans="2:18" x14ac:dyDescent="0.2">
      <c r="B9" s="238"/>
      <c r="C9" s="238"/>
      <c r="D9" s="238"/>
      <c r="E9" s="238"/>
      <c r="F9" s="238"/>
      <c r="G9" s="238"/>
      <c r="H9" s="238"/>
      <c r="I9" s="238"/>
      <c r="J9" s="238"/>
    </row>
    <row r="12" spans="2:18" ht="19" x14ac:dyDescent="0.25">
      <c r="B12" s="170"/>
      <c r="C12" s="170" t="s">
        <v>539</v>
      </c>
      <c r="D12" s="170" t="s">
        <v>550</v>
      </c>
      <c r="E12" s="170"/>
      <c r="F12" s="170"/>
      <c r="G12" s="171"/>
    </row>
    <row r="13" spans="2:18" ht="19" x14ac:dyDescent="0.25">
      <c r="B13" s="172"/>
      <c r="C13" s="172">
        <v>131.91999999999999</v>
      </c>
      <c r="D13" s="173">
        <v>63.85</v>
      </c>
      <c r="E13" s="174"/>
      <c r="F13" s="173"/>
      <c r="G13" s="170"/>
    </row>
    <row r="15" spans="2:18" ht="19" x14ac:dyDescent="0.25">
      <c r="F15" s="175"/>
      <c r="G15" s="176" t="s">
        <v>551</v>
      </c>
      <c r="H15" s="170"/>
      <c r="I15" s="170"/>
      <c r="J15" s="170"/>
      <c r="K15" s="170"/>
      <c r="L15" s="170"/>
      <c r="M15" s="170"/>
      <c r="N15" s="170"/>
      <c r="O15" s="170"/>
      <c r="P15" s="170"/>
      <c r="Q15" s="170"/>
      <c r="R15" s="170"/>
    </row>
    <row r="16" spans="2:18" ht="19" x14ac:dyDescent="0.25">
      <c r="F16" s="175"/>
      <c r="G16" s="170" t="s">
        <v>552</v>
      </c>
      <c r="H16" s="170"/>
      <c r="I16" s="170"/>
      <c r="J16" s="170"/>
      <c r="K16" s="170"/>
      <c r="L16" s="170"/>
      <c r="M16" s="170"/>
      <c r="N16" s="170"/>
      <c r="O16" s="170"/>
      <c r="P16" s="170"/>
      <c r="Q16" s="170"/>
      <c r="R16" s="170"/>
    </row>
    <row r="17" spans="2:18" ht="19" x14ac:dyDescent="0.25">
      <c r="F17" s="175"/>
      <c r="G17" s="170"/>
      <c r="H17" s="170"/>
      <c r="I17" s="170"/>
      <c r="J17" s="170"/>
      <c r="K17" s="170"/>
      <c r="L17" s="170"/>
      <c r="M17" s="170"/>
      <c r="N17" s="170"/>
      <c r="O17" s="170"/>
      <c r="P17" s="170"/>
      <c r="Q17" s="170"/>
      <c r="R17" s="170"/>
    </row>
    <row r="18" spans="2:18" ht="19" x14ac:dyDescent="0.25">
      <c r="F18" s="175"/>
      <c r="G18" s="170"/>
      <c r="H18" s="170"/>
      <c r="I18" s="170"/>
      <c r="J18" s="170"/>
      <c r="K18" s="170"/>
      <c r="L18" s="170"/>
      <c r="M18" s="170"/>
      <c r="N18" s="170"/>
      <c r="O18" s="170"/>
      <c r="P18" s="170"/>
      <c r="Q18" s="170"/>
      <c r="R18" s="170"/>
    </row>
    <row r="19" spans="2:18" ht="19" x14ac:dyDescent="0.25">
      <c r="F19" s="175"/>
      <c r="G19" s="175"/>
      <c r="H19" s="175"/>
      <c r="I19" s="175"/>
      <c r="J19" s="175"/>
      <c r="K19" s="175"/>
      <c r="L19" s="175"/>
      <c r="M19" s="175"/>
      <c r="N19" s="175"/>
      <c r="O19" s="175"/>
      <c r="P19" s="175"/>
      <c r="Q19" s="175"/>
      <c r="R19" s="175"/>
    </row>
    <row r="27" spans="2:18" x14ac:dyDescent="0.2">
      <c r="B27" s="177" t="s">
        <v>553</v>
      </c>
    </row>
    <row r="28" spans="2:18" x14ac:dyDescent="0.2">
      <c r="B28" s="177" t="s">
        <v>554</v>
      </c>
    </row>
    <row r="29" spans="2:18" x14ac:dyDescent="0.2">
      <c r="B29" s="177"/>
    </row>
    <row r="30" spans="2:18" x14ac:dyDescent="0.2">
      <c r="B30" s="178" t="s">
        <v>555</v>
      </c>
    </row>
    <row r="31" spans="2:18" x14ac:dyDescent="0.2">
      <c r="B31" s="177" t="s">
        <v>556</v>
      </c>
    </row>
    <row r="33" spans="1:7" x14ac:dyDescent="0.2">
      <c r="A33" s="179"/>
      <c r="B33" s="180" t="s">
        <v>557</v>
      </c>
      <c r="C33" s="179"/>
      <c r="D33" s="179"/>
      <c r="E33" s="179"/>
      <c r="F33" s="179"/>
      <c r="G33" s="179"/>
    </row>
    <row r="34" spans="1:7" x14ac:dyDescent="0.2">
      <c r="A34" s="179"/>
      <c r="B34" s="179"/>
      <c r="C34" s="179"/>
      <c r="D34" s="179"/>
      <c r="E34" s="179"/>
      <c r="F34" s="179"/>
      <c r="G34" s="179"/>
    </row>
    <row r="35" spans="1:7" x14ac:dyDescent="0.2">
      <c r="A35" s="179"/>
      <c r="B35" s="180" t="s">
        <v>558</v>
      </c>
      <c r="C35" s="179"/>
      <c r="D35" s="179"/>
      <c r="E35" s="179"/>
      <c r="F35" s="179"/>
      <c r="G35" s="179"/>
    </row>
    <row r="36" spans="1:7" x14ac:dyDescent="0.2">
      <c r="A36" s="179"/>
      <c r="B36" s="179"/>
      <c r="C36" s="179"/>
      <c r="D36" s="179"/>
      <c r="E36" s="179"/>
      <c r="F36" s="179"/>
      <c r="G36" s="179"/>
    </row>
    <row r="37" spans="1:7" x14ac:dyDescent="0.2">
      <c r="A37" s="179"/>
      <c r="B37" s="180" t="s">
        <v>559</v>
      </c>
      <c r="C37" s="179"/>
      <c r="D37" s="179"/>
      <c r="E37" s="179"/>
      <c r="F37" s="179"/>
      <c r="G37" s="179"/>
    </row>
    <row r="38" spans="1:7" x14ac:dyDescent="0.2">
      <c r="A38" s="179"/>
      <c r="B38" s="179"/>
      <c r="C38" s="179"/>
      <c r="D38" s="179"/>
      <c r="E38" s="179"/>
      <c r="F38" s="179"/>
      <c r="G38" s="179"/>
    </row>
    <row r="41" spans="1:7" x14ac:dyDescent="0.2">
      <c r="B41" s="181" t="s">
        <v>560</v>
      </c>
    </row>
    <row r="42" spans="1:7" x14ac:dyDescent="0.2">
      <c r="B42" t="s">
        <v>561</v>
      </c>
    </row>
    <row r="43" spans="1:7" x14ac:dyDescent="0.2">
      <c r="B43" s="2" t="s">
        <v>562</v>
      </c>
    </row>
  </sheetData>
  <mergeCells count="1">
    <mergeCell ref="B7:J9"/>
  </mergeCells>
  <hyperlinks>
    <hyperlink ref="B43" r:id="rId1" xr:uid="{FB0CBB35-44A8-654C-8CB7-BEC5556DB35E}"/>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08331-0195-FB44-9AC5-5E66F7D735FE}">
  <dimension ref="B1:O32"/>
  <sheetViews>
    <sheetView zoomScale="130" zoomScaleNormal="130" workbookViewId="0">
      <selection activeCell="M10" sqref="M10"/>
    </sheetView>
  </sheetViews>
  <sheetFormatPr baseColWidth="10" defaultRowHeight="16" outlineLevelCol="1" x14ac:dyDescent="0.2"/>
  <cols>
    <col min="1" max="1" width="3" customWidth="1"/>
    <col min="2" max="2" width="15.1640625" style="133" customWidth="1"/>
    <col min="3" max="3" width="27" customWidth="1"/>
    <col min="4" max="4" width="32.33203125" customWidth="1"/>
    <col min="5" max="5" width="18.5" hidden="1" customWidth="1" outlineLevel="1"/>
    <col min="6" max="6" width="28.1640625" hidden="1" customWidth="1" outlineLevel="1"/>
    <col min="7" max="7" width="2.1640625" customWidth="1" outlineLevel="1"/>
  </cols>
  <sheetData>
    <row r="1" spans="2:15" x14ac:dyDescent="0.2">
      <c r="B1" s="239" t="s">
        <v>489</v>
      </c>
      <c r="C1" s="239"/>
      <c r="D1" s="239"/>
      <c r="E1" s="239"/>
      <c r="F1" s="239"/>
      <c r="G1" s="132"/>
    </row>
    <row r="2" spans="2:15" x14ac:dyDescent="0.2">
      <c r="B2" s="239"/>
      <c r="C2" s="239"/>
      <c r="D2" s="239"/>
      <c r="E2" s="239"/>
      <c r="F2" s="239"/>
      <c r="G2" s="132"/>
    </row>
    <row r="3" spans="2:15" x14ac:dyDescent="0.2">
      <c r="B3" s="133" t="s">
        <v>490</v>
      </c>
    </row>
    <row r="4" spans="2:15" x14ac:dyDescent="0.2">
      <c r="B4" s="134"/>
      <c r="C4" s="39"/>
      <c r="D4" s="39"/>
    </row>
    <row r="5" spans="2:15" x14ac:dyDescent="0.2">
      <c r="B5" s="135" t="s">
        <v>491</v>
      </c>
      <c r="C5" s="136" t="s">
        <v>492</v>
      </c>
      <c r="D5" s="136" t="s">
        <v>493</v>
      </c>
      <c r="E5" s="137" t="s">
        <v>494</v>
      </c>
      <c r="F5" s="137" t="s">
        <v>495</v>
      </c>
      <c r="G5" s="137"/>
    </row>
    <row r="6" spans="2:15" x14ac:dyDescent="0.2">
      <c r="B6" s="138">
        <v>0</v>
      </c>
      <c r="C6" s="139">
        <v>761.88</v>
      </c>
      <c r="D6" s="139">
        <v>1022.03</v>
      </c>
      <c r="E6" s="140">
        <f>C6/5.66</f>
        <v>134.60777385159011</v>
      </c>
      <c r="F6" s="140">
        <f>D6/5.66</f>
        <v>180.57067137809187</v>
      </c>
      <c r="G6" s="140"/>
    </row>
    <row r="7" spans="2:15" x14ac:dyDescent="0.2">
      <c r="B7" s="138">
        <v>0.12</v>
      </c>
      <c r="C7" s="139">
        <v>865.77</v>
      </c>
      <c r="D7" s="139">
        <v>1161.4000000000001</v>
      </c>
      <c r="E7" s="140">
        <f t="shared" ref="E7:F18" si="0">C7/5.66</f>
        <v>152.96289752650176</v>
      </c>
      <c r="F7" s="140">
        <f t="shared" si="0"/>
        <v>205.19434628975267</v>
      </c>
      <c r="G7" s="140"/>
      <c r="H7" s="39"/>
      <c r="I7" s="141" t="s">
        <v>72</v>
      </c>
      <c r="J7" s="141" t="s">
        <v>72</v>
      </c>
    </row>
    <row r="8" spans="2:15" x14ac:dyDescent="0.2">
      <c r="B8" s="138">
        <v>0.17</v>
      </c>
      <c r="C8" s="139">
        <v>917.93</v>
      </c>
      <c r="D8" s="139">
        <v>1231.3699999999999</v>
      </c>
      <c r="E8" s="140">
        <f t="shared" si="0"/>
        <v>162.17844522968196</v>
      </c>
      <c r="F8" s="140">
        <f t="shared" si="0"/>
        <v>217.55653710247347</v>
      </c>
      <c r="G8" s="140"/>
      <c r="H8" s="116"/>
      <c r="I8" s="115" t="s">
        <v>496</v>
      </c>
      <c r="J8" s="115" t="s">
        <v>497</v>
      </c>
      <c r="K8" s="137"/>
      <c r="L8" s="200"/>
      <c r="M8" s="205" t="s">
        <v>499</v>
      </c>
      <c r="N8" s="205" t="s">
        <v>498</v>
      </c>
      <c r="O8" s="205" t="s">
        <v>500</v>
      </c>
    </row>
    <row r="9" spans="2:15" x14ac:dyDescent="0.2">
      <c r="B9" s="142">
        <v>0.17499999999999999</v>
      </c>
      <c r="C9" s="139">
        <v>923.49</v>
      </c>
      <c r="D9" s="139">
        <v>1238.83</v>
      </c>
      <c r="E9" s="140">
        <f t="shared" si="0"/>
        <v>163.16077738515901</v>
      </c>
      <c r="F9" s="140">
        <f t="shared" si="0"/>
        <v>218.87455830388691</v>
      </c>
      <c r="G9" s="140"/>
      <c r="H9" t="s">
        <v>498</v>
      </c>
      <c r="I9" s="201">
        <f>+C6</f>
        <v>761.88</v>
      </c>
      <c r="J9" s="201">
        <f>+D6</f>
        <v>1022.03</v>
      </c>
      <c r="L9" t="s">
        <v>496</v>
      </c>
      <c r="M9" s="203">
        <f>I10</f>
        <v>929.12</v>
      </c>
      <c r="N9" s="203">
        <f>I9</f>
        <v>761.88</v>
      </c>
      <c r="O9" s="203">
        <f>I11</f>
        <v>989.45</v>
      </c>
    </row>
    <row r="10" spans="2:15" x14ac:dyDescent="0.2">
      <c r="B10" s="138">
        <v>0.18</v>
      </c>
      <c r="C10" s="139">
        <v>929.12</v>
      </c>
      <c r="D10" s="139">
        <v>1246.3800000000001</v>
      </c>
      <c r="E10" s="140">
        <f>C10/5.66</f>
        <v>164.15547703180212</v>
      </c>
      <c r="F10" s="140">
        <f t="shared" si="0"/>
        <v>220.20848056537105</v>
      </c>
      <c r="G10" s="140"/>
      <c r="H10" t="s">
        <v>499</v>
      </c>
      <c r="I10" s="201">
        <f>+C10</f>
        <v>929.12</v>
      </c>
      <c r="J10" s="201">
        <f>+D10</f>
        <v>1246.3800000000001</v>
      </c>
      <c r="L10" s="39" t="s">
        <v>497</v>
      </c>
      <c r="M10" s="204">
        <f>J10</f>
        <v>1246.3800000000001</v>
      </c>
      <c r="N10" s="204">
        <f>J9</f>
        <v>1022.03</v>
      </c>
      <c r="O10" s="204">
        <f>J11</f>
        <v>1327.31</v>
      </c>
    </row>
    <row r="11" spans="2:15" x14ac:dyDescent="0.2">
      <c r="B11" s="138">
        <v>0.19</v>
      </c>
      <c r="C11" s="139">
        <v>940.59</v>
      </c>
      <c r="D11" s="139">
        <v>1261.77</v>
      </c>
      <c r="E11" s="140">
        <f t="shared" si="0"/>
        <v>166.18197879858658</v>
      </c>
      <c r="F11" s="140">
        <f t="shared" si="0"/>
        <v>222.92756183745581</v>
      </c>
      <c r="G11" s="140"/>
      <c r="H11" s="39" t="s">
        <v>500</v>
      </c>
      <c r="I11" s="202">
        <f>+C18</f>
        <v>989.45</v>
      </c>
      <c r="J11" s="202">
        <f>+D18</f>
        <v>1327.31</v>
      </c>
    </row>
    <row r="12" spans="2:15" x14ac:dyDescent="0.2">
      <c r="B12" s="142">
        <v>0.19500000000000001</v>
      </c>
      <c r="C12" s="139">
        <v>946.43</v>
      </c>
      <c r="D12" s="139">
        <v>1269.6099999999999</v>
      </c>
      <c r="E12" s="140">
        <f t="shared" si="0"/>
        <v>167.21378091872791</v>
      </c>
      <c r="F12" s="140">
        <f t="shared" si="0"/>
        <v>224.3127208480565</v>
      </c>
      <c r="G12" s="140"/>
      <c r="I12" s="143"/>
      <c r="J12" s="143"/>
    </row>
    <row r="13" spans="2:15" x14ac:dyDescent="0.2">
      <c r="B13" s="138">
        <v>0.2</v>
      </c>
      <c r="C13" s="139">
        <v>952.35</v>
      </c>
      <c r="D13" s="139">
        <v>1277.54</v>
      </c>
      <c r="E13" s="140">
        <f t="shared" si="0"/>
        <v>168.25971731448763</v>
      </c>
      <c r="F13" s="140">
        <f t="shared" si="0"/>
        <v>225.71378091872791</v>
      </c>
      <c r="G13" s="140"/>
      <c r="I13" s="143"/>
      <c r="J13" s="143"/>
    </row>
    <row r="14" spans="2:15" x14ac:dyDescent="0.2">
      <c r="B14" s="142">
        <v>0.20499999999999999</v>
      </c>
      <c r="C14" s="139">
        <v>958.34</v>
      </c>
      <c r="D14" s="139">
        <v>1285.58</v>
      </c>
      <c r="E14" s="140">
        <f t="shared" si="0"/>
        <v>169.31802120141342</v>
      </c>
      <c r="F14" s="140">
        <f t="shared" si="0"/>
        <v>227.13427561837455</v>
      </c>
      <c r="G14" s="140"/>
      <c r="I14" s="143"/>
      <c r="J14" s="143"/>
    </row>
    <row r="15" spans="2:15" x14ac:dyDescent="0.2">
      <c r="B15" s="138">
        <v>0.21</v>
      </c>
      <c r="C15" s="139">
        <v>964.41</v>
      </c>
      <c r="D15" s="139">
        <v>1293.72</v>
      </c>
      <c r="E15" s="140">
        <f t="shared" si="0"/>
        <v>170.39045936395758</v>
      </c>
      <c r="F15" s="140">
        <f t="shared" si="0"/>
        <v>228.57243816254416</v>
      </c>
      <c r="G15" s="140"/>
      <c r="I15" s="143"/>
      <c r="J15" s="143"/>
    </row>
    <row r="16" spans="2:15" x14ac:dyDescent="0.2">
      <c r="B16" s="138">
        <v>0.22</v>
      </c>
      <c r="C16" s="139">
        <v>976.77</v>
      </c>
      <c r="D16" s="139">
        <v>1310.3</v>
      </c>
      <c r="E16" s="140">
        <f t="shared" si="0"/>
        <v>172.57420494699645</v>
      </c>
      <c r="F16" s="140">
        <f t="shared" si="0"/>
        <v>231.50176678445229</v>
      </c>
      <c r="G16" s="140"/>
      <c r="I16" s="143"/>
      <c r="J16" s="143"/>
    </row>
    <row r="17" spans="2:10" x14ac:dyDescent="0.2">
      <c r="B17" s="142">
        <v>0.22500000000000001</v>
      </c>
      <c r="C17" s="139">
        <v>983.07</v>
      </c>
      <c r="D17" s="139">
        <v>1318.75</v>
      </c>
      <c r="E17" s="140">
        <f t="shared" si="0"/>
        <v>173.68727915194347</v>
      </c>
      <c r="F17" s="140">
        <f t="shared" si="0"/>
        <v>232.99469964664311</v>
      </c>
      <c r="G17" s="140"/>
      <c r="I17" s="143"/>
      <c r="J17" s="143"/>
    </row>
    <row r="18" spans="2:10" x14ac:dyDescent="0.2">
      <c r="B18" s="144">
        <v>0.23</v>
      </c>
      <c r="C18" s="145">
        <v>989.45</v>
      </c>
      <c r="D18" s="145">
        <v>1327.31</v>
      </c>
      <c r="E18" s="140">
        <f t="shared" si="0"/>
        <v>174.81448763250884</v>
      </c>
      <c r="F18" s="140">
        <f t="shared" si="0"/>
        <v>234.50706713780917</v>
      </c>
      <c r="G18" s="140"/>
      <c r="I18" s="143"/>
      <c r="J18" s="143"/>
    </row>
    <row r="19" spans="2:10" x14ac:dyDescent="0.2">
      <c r="C19" s="84"/>
      <c r="D19" s="84"/>
      <c r="I19" s="143"/>
      <c r="J19" s="143"/>
    </row>
    <row r="20" spans="2:10" x14ac:dyDescent="0.2">
      <c r="B20" s="133" t="s">
        <v>501</v>
      </c>
    </row>
    <row r="21" spans="2:10" x14ac:dyDescent="0.2">
      <c r="B21" s="133" t="s">
        <v>502</v>
      </c>
    </row>
    <row r="23" spans="2:10" x14ac:dyDescent="0.2">
      <c r="B23" s="146" t="s">
        <v>503</v>
      </c>
    </row>
    <row r="24" spans="2:10" x14ac:dyDescent="0.2">
      <c r="B24" s="146" t="s">
        <v>504</v>
      </c>
    </row>
    <row r="25" spans="2:10" x14ac:dyDescent="0.2">
      <c r="B25" s="146"/>
    </row>
    <row r="26" spans="2:10" x14ac:dyDescent="0.2">
      <c r="B26" s="146" t="s">
        <v>505</v>
      </c>
    </row>
    <row r="27" spans="2:10" x14ac:dyDescent="0.2">
      <c r="B27" s="146"/>
    </row>
    <row r="28" spans="2:10" x14ac:dyDescent="0.2">
      <c r="B28" s="146" t="s">
        <v>506</v>
      </c>
    </row>
    <row r="29" spans="2:10" x14ac:dyDescent="0.2">
      <c r="B29" s="146"/>
    </row>
    <row r="30" spans="2:10" x14ac:dyDescent="0.2">
      <c r="B30" s="146" t="s">
        <v>507</v>
      </c>
    </row>
    <row r="32" spans="2:10" x14ac:dyDescent="0.2">
      <c r="B32" s="133" t="s">
        <v>508</v>
      </c>
    </row>
  </sheetData>
  <mergeCells count="1">
    <mergeCell ref="B1:F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85843-4B03-CE47-8C64-BADA8E6F4641}">
  <dimension ref="B2:K4"/>
  <sheetViews>
    <sheetView topLeftCell="D1" zoomScale="170" zoomScaleNormal="170" workbookViewId="0">
      <selection activeCell="K3" sqref="K3"/>
    </sheetView>
  </sheetViews>
  <sheetFormatPr baseColWidth="10" defaultRowHeight="16" x14ac:dyDescent="0.2"/>
  <cols>
    <col min="1" max="1" width="5.1640625" style="183" customWidth="1"/>
    <col min="2" max="2" width="10.6640625" style="183" customWidth="1"/>
    <col min="3" max="3" width="11.83203125" style="183" customWidth="1"/>
    <col min="4" max="4" width="7.33203125" style="187" customWidth="1"/>
    <col min="5" max="5" width="23.83203125" style="192" customWidth="1"/>
    <col min="6" max="7" width="12.6640625" style="187" customWidth="1"/>
    <col min="8" max="8" width="13.83203125" style="187" customWidth="1"/>
    <col min="9" max="9" width="17" style="187" customWidth="1"/>
    <col min="10" max="10" width="14" style="187" customWidth="1"/>
    <col min="11" max="11" width="11" style="187" customWidth="1"/>
    <col min="12" max="16384" width="10.83203125" style="183"/>
  </cols>
  <sheetData>
    <row r="2" spans="2:11" s="182" customFormat="1" ht="34" x14ac:dyDescent="0.2">
      <c r="B2" s="184" t="s">
        <v>563</v>
      </c>
      <c r="C2" s="184" t="s">
        <v>567</v>
      </c>
      <c r="D2" s="190" t="s">
        <v>66</v>
      </c>
      <c r="E2" s="191" t="s">
        <v>18</v>
      </c>
      <c r="F2" s="186" t="s">
        <v>538</v>
      </c>
      <c r="G2" s="186" t="s">
        <v>539</v>
      </c>
      <c r="H2" s="186" t="s">
        <v>540</v>
      </c>
      <c r="I2" s="186" t="s">
        <v>570</v>
      </c>
      <c r="J2" s="186" t="s">
        <v>542</v>
      </c>
      <c r="K2" s="186" t="s">
        <v>566</v>
      </c>
    </row>
    <row r="3" spans="2:11" x14ac:dyDescent="0.2">
      <c r="B3" s="183" t="s">
        <v>564</v>
      </c>
      <c r="C3" s="183" t="s">
        <v>568</v>
      </c>
      <c r="D3" s="187">
        <v>2025</v>
      </c>
      <c r="E3" s="192" t="s">
        <v>576</v>
      </c>
      <c r="F3" s="188">
        <f>qdenga_price!B7</f>
        <v>157.35</v>
      </c>
      <c r="G3" s="188">
        <f>qdenga_price!C7</f>
        <v>176.23</v>
      </c>
      <c r="H3" s="188">
        <f>qdenga_price!D7</f>
        <v>220.83</v>
      </c>
      <c r="I3" s="189">
        <f>qdenga_price!E7</f>
        <v>170</v>
      </c>
      <c r="J3" s="189">
        <f>qdenga_price!F7</f>
        <v>95</v>
      </c>
      <c r="K3" s="187">
        <f>1-J3/H3</f>
        <v>0.56980482724267545</v>
      </c>
    </row>
    <row r="4" spans="2:11" x14ac:dyDescent="0.2">
      <c r="B4" s="185" t="s">
        <v>565</v>
      </c>
      <c r="C4" s="185" t="s">
        <v>569</v>
      </c>
      <c r="D4" s="193">
        <v>2023</v>
      </c>
      <c r="E4" s="194" t="s">
        <v>575</v>
      </c>
      <c r="F4" s="193"/>
      <c r="G4" s="195">
        <f>'pneumo-13_price'!$C$13</f>
        <v>131.91999999999999</v>
      </c>
      <c r="H4" s="196">
        <f>+(H3/G3)*G4</f>
        <v>165.30609771321568</v>
      </c>
      <c r="I4" s="197">
        <f>'pneumo-13_price'!$D$13</f>
        <v>63.85</v>
      </c>
      <c r="J4" s="198">
        <v>76.75</v>
      </c>
      <c r="K4" s="193">
        <f>1-J4/H4</f>
        <v>0.53570980706863491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4AD6A-461B-D849-A92D-B7C5AF1B5759}">
  <sheetPr>
    <tabColor rgb="FF0070C0"/>
  </sheetPr>
  <dimension ref="A1"/>
  <sheetViews>
    <sheetView workbookViewId="0">
      <selection sqref="A1:XFD1048576"/>
    </sheetView>
  </sheetViews>
  <sheetFormatPr baseColWidth="10" defaultRowHeight="16" x14ac:dyDescent="0.2"/>
  <cols>
    <col min="1" max="16384" width="10.83203125" style="183"/>
  </cols>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A48D4-97AC-A244-BE60-E6059E1509E8}">
  <dimension ref="A1:D37"/>
  <sheetViews>
    <sheetView workbookViewId="0">
      <selection activeCell="C33" sqref="C33:C34"/>
    </sheetView>
  </sheetViews>
  <sheetFormatPr baseColWidth="10" defaultRowHeight="16" x14ac:dyDescent="0.2"/>
  <cols>
    <col min="1" max="1" width="26.5" customWidth="1"/>
    <col min="2" max="4" width="10.83203125" style="84"/>
  </cols>
  <sheetData>
    <row r="1" spans="1:4" x14ac:dyDescent="0.2">
      <c r="A1" s="227" t="s">
        <v>3569</v>
      </c>
      <c r="B1" s="228"/>
      <c r="C1" s="228"/>
    </row>
    <row r="2" spans="1:4" x14ac:dyDescent="0.2">
      <c r="A2" s="227"/>
      <c r="B2" s="228"/>
      <c r="C2" s="228"/>
    </row>
    <row r="3" spans="1:4" x14ac:dyDescent="0.2">
      <c r="A3" s="227"/>
      <c r="B3" s="228" t="s">
        <v>66</v>
      </c>
      <c r="C3" s="228" t="s">
        <v>3570</v>
      </c>
      <c r="D3" s="84" t="s">
        <v>3604</v>
      </c>
    </row>
    <row r="4" spans="1:4" x14ac:dyDescent="0.2">
      <c r="A4" s="227" t="s">
        <v>3571</v>
      </c>
      <c r="B4" s="228">
        <v>1995</v>
      </c>
      <c r="C4" s="228">
        <v>22.41</v>
      </c>
    </row>
    <row r="5" spans="1:4" x14ac:dyDescent="0.2">
      <c r="A5" s="227" t="s">
        <v>3572</v>
      </c>
      <c r="B5" s="228">
        <f>+B4+1</f>
        <v>1996</v>
      </c>
      <c r="C5" s="228">
        <v>9.56</v>
      </c>
    </row>
    <row r="6" spans="1:4" x14ac:dyDescent="0.2">
      <c r="A6" s="227" t="s">
        <v>3573</v>
      </c>
      <c r="B6" s="228">
        <f t="shared" ref="B6:B34" si="0">+B5+1</f>
        <v>1997</v>
      </c>
      <c r="C6" s="228">
        <v>5.22</v>
      </c>
    </row>
    <row r="7" spans="1:4" x14ac:dyDescent="0.2">
      <c r="A7" s="227" t="s">
        <v>3574</v>
      </c>
      <c r="B7" s="228">
        <f t="shared" si="0"/>
        <v>1998</v>
      </c>
      <c r="C7" s="228">
        <v>1.65</v>
      </c>
    </row>
    <row r="8" spans="1:4" x14ac:dyDescent="0.2">
      <c r="A8" s="227" t="s">
        <v>3575</v>
      </c>
      <c r="B8" s="228">
        <f t="shared" si="0"/>
        <v>1999</v>
      </c>
      <c r="C8" s="228">
        <v>8.94</v>
      </c>
    </row>
    <row r="9" spans="1:4" x14ac:dyDescent="0.2">
      <c r="A9" s="227" t="s">
        <v>3576</v>
      </c>
      <c r="B9" s="228">
        <f t="shared" si="0"/>
        <v>2000</v>
      </c>
      <c r="C9" s="228">
        <v>5.97</v>
      </c>
    </row>
    <row r="10" spans="1:4" x14ac:dyDescent="0.2">
      <c r="A10" s="227" t="s">
        <v>3577</v>
      </c>
      <c r="B10" s="228">
        <f t="shared" si="0"/>
        <v>2001</v>
      </c>
      <c r="C10" s="228">
        <v>7.67</v>
      </c>
    </row>
    <row r="11" spans="1:4" x14ac:dyDescent="0.2">
      <c r="A11" s="227" t="s">
        <v>3578</v>
      </c>
      <c r="B11" s="228">
        <f t="shared" si="0"/>
        <v>2002</v>
      </c>
      <c r="C11" s="228">
        <v>12.53</v>
      </c>
    </row>
    <row r="12" spans="1:4" x14ac:dyDescent="0.2">
      <c r="A12" s="227" t="s">
        <v>3579</v>
      </c>
      <c r="B12" s="228">
        <f t="shared" si="0"/>
        <v>2003</v>
      </c>
      <c r="C12" s="228">
        <v>9.3000000000000007</v>
      </c>
    </row>
    <row r="13" spans="1:4" x14ac:dyDescent="0.2">
      <c r="A13" s="227" t="s">
        <v>3580</v>
      </c>
      <c r="B13" s="228">
        <f t="shared" si="0"/>
        <v>2004</v>
      </c>
      <c r="C13" s="228">
        <v>7.6</v>
      </c>
    </row>
    <row r="14" spans="1:4" x14ac:dyDescent="0.2">
      <c r="A14" s="227" t="s">
        <v>3581</v>
      </c>
      <c r="B14" s="228">
        <f t="shared" si="0"/>
        <v>2005</v>
      </c>
      <c r="C14" s="228">
        <v>5.69</v>
      </c>
    </row>
    <row r="15" spans="1:4" x14ac:dyDescent="0.2">
      <c r="A15" s="227" t="s">
        <v>3582</v>
      </c>
      <c r="B15" s="228">
        <f t="shared" si="0"/>
        <v>2006</v>
      </c>
      <c r="C15" s="228">
        <v>3.14</v>
      </c>
    </row>
    <row r="16" spans="1:4" x14ac:dyDescent="0.2">
      <c r="A16" s="227" t="s">
        <v>3583</v>
      </c>
      <c r="B16" s="228">
        <f t="shared" si="0"/>
        <v>2007</v>
      </c>
      <c r="C16" s="228">
        <v>4.46</v>
      </c>
    </row>
    <row r="17" spans="1:4" x14ac:dyDescent="0.2">
      <c r="A17" s="227" t="s">
        <v>3584</v>
      </c>
      <c r="B17" s="228">
        <f t="shared" si="0"/>
        <v>2008</v>
      </c>
      <c r="C17" s="228">
        <v>5.9</v>
      </c>
    </row>
    <row r="18" spans="1:4" x14ac:dyDescent="0.2">
      <c r="A18" s="227" t="s">
        <v>3585</v>
      </c>
      <c r="B18" s="228">
        <f t="shared" si="0"/>
        <v>2009</v>
      </c>
      <c r="C18" s="228">
        <v>4.3099999999999996</v>
      </c>
    </row>
    <row r="19" spans="1:4" x14ac:dyDescent="0.2">
      <c r="A19" s="227" t="s">
        <v>3586</v>
      </c>
      <c r="B19" s="228">
        <f t="shared" si="0"/>
        <v>2010</v>
      </c>
      <c r="C19" s="228">
        <v>5.91</v>
      </c>
      <c r="D19" s="84">
        <f>D18+C19/100</f>
        <v>5.91E-2</v>
      </c>
    </row>
    <row r="20" spans="1:4" x14ac:dyDescent="0.2">
      <c r="A20" s="227" t="s">
        <v>3587</v>
      </c>
      <c r="B20" s="228">
        <f t="shared" si="0"/>
        <v>2011</v>
      </c>
      <c r="C20" s="228">
        <v>6.5</v>
      </c>
      <c r="D20" s="84">
        <f t="shared" ref="D20:D34" si="1">D19+C20/100</f>
        <v>0.1241</v>
      </c>
    </row>
    <row r="21" spans="1:4" x14ac:dyDescent="0.2">
      <c r="A21" s="227" t="s">
        <v>3588</v>
      </c>
      <c r="B21" s="228">
        <f t="shared" si="0"/>
        <v>2012</v>
      </c>
      <c r="C21" s="228">
        <v>5.84</v>
      </c>
      <c r="D21" s="84">
        <f t="shared" si="1"/>
        <v>0.1825</v>
      </c>
    </row>
    <row r="22" spans="1:4" x14ac:dyDescent="0.2">
      <c r="A22" s="227" t="s">
        <v>3589</v>
      </c>
      <c r="B22" s="228">
        <f t="shared" si="0"/>
        <v>2013</v>
      </c>
      <c r="C22" s="228">
        <v>5.91</v>
      </c>
      <c r="D22" s="84">
        <f t="shared" si="1"/>
        <v>0.24159999999999998</v>
      </c>
    </row>
    <row r="23" spans="1:4" x14ac:dyDescent="0.2">
      <c r="A23" s="227" t="s">
        <v>3590</v>
      </c>
      <c r="B23" s="228">
        <f t="shared" si="0"/>
        <v>2014</v>
      </c>
      <c r="C23" s="228">
        <v>6.41</v>
      </c>
      <c r="D23" s="84">
        <f t="shared" si="1"/>
        <v>0.30569999999999997</v>
      </c>
    </row>
    <row r="24" spans="1:4" x14ac:dyDescent="0.2">
      <c r="A24" s="227" t="s">
        <v>3591</v>
      </c>
      <c r="B24" s="228">
        <f t="shared" si="0"/>
        <v>2015</v>
      </c>
      <c r="C24" s="228">
        <v>10.67</v>
      </c>
      <c r="D24" s="84">
        <f t="shared" si="1"/>
        <v>0.41239999999999999</v>
      </c>
    </row>
    <row r="25" spans="1:4" x14ac:dyDescent="0.2">
      <c r="A25" s="227" t="s">
        <v>3592</v>
      </c>
      <c r="B25" s="228">
        <f t="shared" si="0"/>
        <v>2016</v>
      </c>
      <c r="C25" s="228">
        <v>6.29</v>
      </c>
      <c r="D25" s="84">
        <f t="shared" si="1"/>
        <v>0.4753</v>
      </c>
    </row>
    <row r="26" spans="1:4" x14ac:dyDescent="0.2">
      <c r="A26" s="227" t="s">
        <v>3593</v>
      </c>
      <c r="B26" s="228">
        <f t="shared" si="0"/>
        <v>2017</v>
      </c>
      <c r="C26" s="228">
        <v>2.95</v>
      </c>
      <c r="D26" s="84">
        <f t="shared" si="1"/>
        <v>0.50480000000000003</v>
      </c>
    </row>
    <row r="27" spans="1:4" x14ac:dyDescent="0.2">
      <c r="A27" s="227" t="s">
        <v>3594</v>
      </c>
      <c r="B27" s="228">
        <f t="shared" si="0"/>
        <v>2018</v>
      </c>
      <c r="C27" s="228">
        <v>3.75</v>
      </c>
      <c r="D27" s="84">
        <f t="shared" si="1"/>
        <v>0.5423</v>
      </c>
    </row>
    <row r="28" spans="1:4" x14ac:dyDescent="0.2">
      <c r="A28" s="227" t="s">
        <v>3595</v>
      </c>
      <c r="B28" s="228">
        <f t="shared" si="0"/>
        <v>2019</v>
      </c>
      <c r="C28" s="228">
        <v>4.3099999999999996</v>
      </c>
      <c r="D28" s="84">
        <f t="shared" si="1"/>
        <v>0.58540000000000003</v>
      </c>
    </row>
    <row r="29" spans="1:4" x14ac:dyDescent="0.2">
      <c r="A29" s="227" t="s">
        <v>3596</v>
      </c>
      <c r="B29" s="228">
        <f t="shared" si="0"/>
        <v>2020</v>
      </c>
      <c r="C29" s="228">
        <v>4.5199999999999996</v>
      </c>
      <c r="D29" s="84">
        <f t="shared" si="1"/>
        <v>0.63060000000000005</v>
      </c>
    </row>
    <row r="30" spans="1:4" x14ac:dyDescent="0.2">
      <c r="A30" s="227" t="s">
        <v>3597</v>
      </c>
      <c r="B30" s="228">
        <f t="shared" si="0"/>
        <v>2021</v>
      </c>
      <c r="C30" s="228">
        <v>10.06</v>
      </c>
      <c r="D30" s="84">
        <f t="shared" si="1"/>
        <v>0.73120000000000007</v>
      </c>
    </row>
    <row r="31" spans="1:4" x14ac:dyDescent="0.2">
      <c r="A31" s="227" t="s">
        <v>3598</v>
      </c>
      <c r="B31" s="228">
        <f t="shared" si="0"/>
        <v>2022</v>
      </c>
      <c r="C31" s="228">
        <v>5.79</v>
      </c>
      <c r="D31" s="84">
        <f t="shared" si="1"/>
        <v>0.78910000000000002</v>
      </c>
    </row>
    <row r="32" spans="1:4" x14ac:dyDescent="0.2">
      <c r="A32" s="227" t="s">
        <v>3599</v>
      </c>
      <c r="B32" s="228">
        <f t="shared" si="0"/>
        <v>2023</v>
      </c>
      <c r="C32" s="228">
        <v>4.62</v>
      </c>
      <c r="D32" s="84">
        <f t="shared" si="1"/>
        <v>0.83530000000000004</v>
      </c>
    </row>
    <row r="33" spans="1:4" x14ac:dyDescent="0.2">
      <c r="A33" s="227" t="s">
        <v>3600</v>
      </c>
      <c r="B33" s="228">
        <f t="shared" si="0"/>
        <v>2024</v>
      </c>
      <c r="C33" s="228">
        <v>4.83</v>
      </c>
      <c r="D33" s="84">
        <f t="shared" si="1"/>
        <v>0.88360000000000005</v>
      </c>
    </row>
    <row r="34" spans="1:4" x14ac:dyDescent="0.2">
      <c r="A34" s="227" t="s">
        <v>3602</v>
      </c>
      <c r="B34" s="228">
        <f t="shared" si="0"/>
        <v>2025</v>
      </c>
      <c r="C34" s="228">
        <v>4.26</v>
      </c>
      <c r="D34" s="84">
        <f t="shared" si="1"/>
        <v>0.92620000000000002</v>
      </c>
    </row>
    <row r="35" spans="1:4" x14ac:dyDescent="0.2">
      <c r="A35" s="227"/>
      <c r="B35" s="228"/>
      <c r="C35" s="228"/>
    </row>
    <row r="36" spans="1:4" x14ac:dyDescent="0.2">
      <c r="A36" s="227" t="s">
        <v>3601</v>
      </c>
      <c r="B36" s="228"/>
      <c r="C36" s="228"/>
    </row>
    <row r="37" spans="1:4" x14ac:dyDescent="0.2">
      <c r="A37" s="2" t="s">
        <v>3603</v>
      </c>
    </row>
  </sheetData>
  <hyperlinks>
    <hyperlink ref="A37" r:id="rId1" xr:uid="{ADC6BD3E-E468-D142-82A6-94E23E49F3D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FFC87-3C43-6E48-8372-30EF4D847808}">
  <dimension ref="A1:G546"/>
  <sheetViews>
    <sheetView zoomScale="130" zoomScaleNormal="130" workbookViewId="0">
      <selection activeCell="N23" sqref="N23"/>
    </sheetView>
  </sheetViews>
  <sheetFormatPr baseColWidth="10" defaultColWidth="8.83203125" defaultRowHeight="15" x14ac:dyDescent="0.2"/>
  <cols>
    <col min="1" max="1" width="16.5" style="147" bestFit="1" customWidth="1"/>
    <col min="2" max="2" width="10" style="148" customWidth="1"/>
    <col min="3" max="16384" width="8.83203125" style="147"/>
  </cols>
  <sheetData>
    <row r="1" spans="1:7" x14ac:dyDescent="0.2">
      <c r="A1" s="152" t="s">
        <v>340</v>
      </c>
      <c r="B1" s="152" t="s">
        <v>512</v>
      </c>
      <c r="E1" s="147" t="s">
        <v>342</v>
      </c>
    </row>
    <row r="2" spans="1:7" x14ac:dyDescent="0.2">
      <c r="A2" s="150">
        <v>29190</v>
      </c>
      <c r="B2" s="149">
        <v>1.7675380000000001E-10</v>
      </c>
      <c r="E2" s="147" t="s">
        <v>343</v>
      </c>
    </row>
    <row r="3" spans="1:7" x14ac:dyDescent="0.2">
      <c r="A3" s="150">
        <v>29221</v>
      </c>
      <c r="B3" s="149">
        <v>1.8844719999999999E-10</v>
      </c>
      <c r="E3" s="147" t="s">
        <v>344</v>
      </c>
    </row>
    <row r="4" spans="1:7" x14ac:dyDescent="0.2">
      <c r="A4" s="150">
        <v>29252</v>
      </c>
      <c r="B4" s="149">
        <v>1.971477E-10</v>
      </c>
      <c r="E4" s="147" t="s">
        <v>345</v>
      </c>
    </row>
    <row r="5" spans="1:7" x14ac:dyDescent="0.2">
      <c r="A5" s="150">
        <v>29281</v>
      </c>
      <c r="B5" s="149">
        <v>2.0905219999999999E-10</v>
      </c>
      <c r="E5" s="147" t="s">
        <v>346</v>
      </c>
    </row>
    <row r="6" spans="1:7" x14ac:dyDescent="0.2">
      <c r="A6" s="150">
        <v>29312</v>
      </c>
      <c r="B6" s="149">
        <v>2.2010289999999999E-10</v>
      </c>
      <c r="E6" s="147" t="s">
        <v>513</v>
      </c>
    </row>
    <row r="7" spans="1:7" x14ac:dyDescent="0.2">
      <c r="A7" s="150">
        <v>29342</v>
      </c>
      <c r="B7" s="149">
        <v>2.326548E-10</v>
      </c>
    </row>
    <row r="8" spans="1:7" x14ac:dyDescent="0.2">
      <c r="A8" s="150">
        <v>29373</v>
      </c>
      <c r="B8" s="149">
        <v>2.4499789999999998E-10</v>
      </c>
      <c r="E8" s="147" t="s">
        <v>512</v>
      </c>
      <c r="F8" s="147" t="s">
        <v>511</v>
      </c>
      <c r="G8" s="147" t="s">
        <v>510</v>
      </c>
    </row>
    <row r="9" spans="1:7" x14ac:dyDescent="0.2">
      <c r="A9" s="150">
        <v>29403</v>
      </c>
      <c r="B9" s="149">
        <v>2.5858449999999999E-10</v>
      </c>
      <c r="E9" s="151" t="s">
        <v>509</v>
      </c>
    </row>
    <row r="10" spans="1:7" x14ac:dyDescent="0.2">
      <c r="A10" s="150">
        <v>29434</v>
      </c>
      <c r="B10" s="149">
        <v>2.7137299999999999E-10</v>
      </c>
    </row>
    <row r="11" spans="1:7" x14ac:dyDescent="0.2">
      <c r="A11" s="150">
        <v>29465</v>
      </c>
      <c r="B11" s="149">
        <v>2.8285299999999998E-10</v>
      </c>
    </row>
    <row r="12" spans="1:7" x14ac:dyDescent="0.2">
      <c r="A12" s="150">
        <v>29495</v>
      </c>
      <c r="B12" s="149">
        <v>3.0966889999999999E-10</v>
      </c>
    </row>
    <row r="13" spans="1:7" x14ac:dyDescent="0.2">
      <c r="A13" s="150">
        <v>29526</v>
      </c>
      <c r="B13" s="149">
        <v>3.3033430000000001E-10</v>
      </c>
    </row>
    <row r="14" spans="1:7" x14ac:dyDescent="0.2">
      <c r="A14" s="150">
        <v>29556</v>
      </c>
      <c r="B14" s="149">
        <v>3.5218279999999998E-10</v>
      </c>
      <c r="C14" s="149"/>
    </row>
    <row r="15" spans="1:7" x14ac:dyDescent="0.2">
      <c r="A15" s="150">
        <v>29587</v>
      </c>
      <c r="B15" s="149">
        <v>3.762634E-10</v>
      </c>
    </row>
    <row r="16" spans="1:7" x14ac:dyDescent="0.2">
      <c r="A16" s="150">
        <v>29618</v>
      </c>
      <c r="B16" s="149">
        <v>4.0034859999999999E-10</v>
      </c>
    </row>
    <row r="17" spans="1:3" x14ac:dyDescent="0.2">
      <c r="A17" s="150">
        <v>29646</v>
      </c>
      <c r="B17" s="149">
        <v>4.2025290000000002E-10</v>
      </c>
    </row>
    <row r="18" spans="1:3" x14ac:dyDescent="0.2">
      <c r="A18" s="150">
        <v>29677</v>
      </c>
      <c r="B18" s="149">
        <v>4.4740989999999998E-10</v>
      </c>
    </row>
    <row r="19" spans="1:3" x14ac:dyDescent="0.2">
      <c r="A19" s="150">
        <v>29707</v>
      </c>
      <c r="B19" s="149">
        <v>4.7228390000000005E-10</v>
      </c>
    </row>
    <row r="20" spans="1:3" x14ac:dyDescent="0.2">
      <c r="A20" s="150">
        <v>29738</v>
      </c>
      <c r="B20" s="149">
        <v>4.9834350000000004E-10</v>
      </c>
    </row>
    <row r="21" spans="1:3" x14ac:dyDescent="0.2">
      <c r="A21" s="150">
        <v>29768</v>
      </c>
      <c r="B21" s="149">
        <v>5.2951900000000004E-10</v>
      </c>
    </row>
    <row r="22" spans="1:3" x14ac:dyDescent="0.2">
      <c r="A22" s="150">
        <v>29799</v>
      </c>
      <c r="B22" s="149">
        <v>5.5862029999999997E-10</v>
      </c>
    </row>
    <row r="23" spans="1:3" x14ac:dyDescent="0.2">
      <c r="A23" s="150">
        <v>29830</v>
      </c>
      <c r="B23" s="149">
        <v>5.8798600000000002E-10</v>
      </c>
    </row>
    <row r="24" spans="1:3" x14ac:dyDescent="0.2">
      <c r="A24" s="150">
        <v>29860</v>
      </c>
      <c r="B24" s="149">
        <v>6.1784140000000004E-10</v>
      </c>
    </row>
    <row r="25" spans="1:3" x14ac:dyDescent="0.2">
      <c r="A25" s="150">
        <v>29891</v>
      </c>
      <c r="B25" s="149">
        <v>6.504112E-10</v>
      </c>
    </row>
    <row r="26" spans="1:3" x14ac:dyDescent="0.2">
      <c r="A26" s="150">
        <v>29921</v>
      </c>
      <c r="B26" s="149">
        <v>6.8895080000000003E-10</v>
      </c>
    </row>
    <row r="27" spans="1:3" x14ac:dyDescent="0.2">
      <c r="A27" s="150">
        <v>29952</v>
      </c>
      <c r="B27" s="149">
        <v>7.3693559999999998E-10</v>
      </c>
      <c r="C27" s="149"/>
    </row>
    <row r="28" spans="1:3" x14ac:dyDescent="0.2">
      <c r="A28" s="150">
        <v>29983</v>
      </c>
      <c r="B28" s="149">
        <v>7.8584369999999999E-10</v>
      </c>
    </row>
    <row r="29" spans="1:3" x14ac:dyDescent="0.2">
      <c r="A29" s="150">
        <v>30011</v>
      </c>
      <c r="B29" s="149">
        <v>8.3073579999999997E-10</v>
      </c>
    </row>
    <row r="30" spans="1:3" x14ac:dyDescent="0.2">
      <c r="A30" s="150">
        <v>30042</v>
      </c>
      <c r="B30" s="149">
        <v>8.7964389999999998E-10</v>
      </c>
    </row>
    <row r="31" spans="1:3" x14ac:dyDescent="0.2">
      <c r="A31" s="150">
        <v>30072</v>
      </c>
      <c r="B31" s="149">
        <v>9.3821540000000008E-10</v>
      </c>
    </row>
    <row r="32" spans="1:3" x14ac:dyDescent="0.2">
      <c r="A32" s="150">
        <v>30103</v>
      </c>
      <c r="B32" s="149">
        <v>1.004875E-9</v>
      </c>
    </row>
    <row r="33" spans="1:3" x14ac:dyDescent="0.2">
      <c r="A33" s="150">
        <v>30133</v>
      </c>
      <c r="B33" s="149">
        <v>1.068764E-9</v>
      </c>
    </row>
    <row r="34" spans="1:3" x14ac:dyDescent="0.2">
      <c r="A34" s="150">
        <v>30164</v>
      </c>
      <c r="B34" s="149">
        <v>1.1325999E-9</v>
      </c>
    </row>
    <row r="35" spans="1:3" x14ac:dyDescent="0.2">
      <c r="A35" s="150">
        <v>30195</v>
      </c>
      <c r="B35" s="149">
        <v>1.1901389E-9</v>
      </c>
    </row>
    <row r="36" spans="1:3" x14ac:dyDescent="0.2">
      <c r="A36" s="150">
        <v>30225</v>
      </c>
      <c r="B36" s="149">
        <v>1.24301E-9</v>
      </c>
    </row>
    <row r="37" spans="1:3" x14ac:dyDescent="0.2">
      <c r="A37" s="150">
        <v>30256</v>
      </c>
      <c r="B37" s="149">
        <v>1.308746E-9</v>
      </c>
    </row>
    <row r="38" spans="1:3" x14ac:dyDescent="0.2">
      <c r="A38" s="150">
        <v>30286</v>
      </c>
      <c r="B38" s="149">
        <v>1.4109050000000001E-9</v>
      </c>
    </row>
    <row r="39" spans="1:3" x14ac:dyDescent="0.2">
      <c r="A39" s="150">
        <v>30317</v>
      </c>
      <c r="B39" s="149">
        <v>1.5328229E-9</v>
      </c>
    </row>
    <row r="40" spans="1:3" x14ac:dyDescent="0.2">
      <c r="A40" s="150">
        <v>30348</v>
      </c>
      <c r="B40" s="149">
        <v>1.653275E-9</v>
      </c>
      <c r="C40" s="149"/>
    </row>
    <row r="41" spans="1:3" x14ac:dyDescent="0.2">
      <c r="A41" s="150">
        <v>30376</v>
      </c>
      <c r="B41" s="149">
        <v>1.774705E-9</v>
      </c>
    </row>
    <row r="42" spans="1:3" x14ac:dyDescent="0.2">
      <c r="A42" s="150">
        <v>30407</v>
      </c>
      <c r="B42" s="149">
        <v>1.8914670000000002E-9</v>
      </c>
    </row>
    <row r="43" spans="1:3" x14ac:dyDescent="0.2">
      <c r="A43" s="150">
        <v>30437</v>
      </c>
      <c r="B43" s="149">
        <v>2.01409E-9</v>
      </c>
    </row>
    <row r="44" spans="1:3" x14ac:dyDescent="0.2">
      <c r="A44" s="150">
        <v>30468</v>
      </c>
      <c r="B44" s="149">
        <v>2.2130899999999999E-9</v>
      </c>
    </row>
    <row r="45" spans="1:3" x14ac:dyDescent="0.2">
      <c r="A45" s="150">
        <v>30498</v>
      </c>
      <c r="B45" s="149">
        <v>2.436134E-9</v>
      </c>
    </row>
    <row r="46" spans="1:3" x14ac:dyDescent="0.2">
      <c r="A46" s="150">
        <v>30529</v>
      </c>
      <c r="B46" s="149">
        <v>2.6580959000000001E-9</v>
      </c>
    </row>
    <row r="47" spans="1:3" x14ac:dyDescent="0.2">
      <c r="A47" s="150">
        <v>30560</v>
      </c>
      <c r="B47" s="149">
        <v>2.9318960000000001E-9</v>
      </c>
    </row>
    <row r="48" spans="1:3" x14ac:dyDescent="0.2">
      <c r="A48" s="150">
        <v>30590</v>
      </c>
      <c r="B48" s="149">
        <v>3.1918539999999999E-9</v>
      </c>
    </row>
    <row r="49" spans="1:3" x14ac:dyDescent="0.2">
      <c r="A49" s="150">
        <v>30621</v>
      </c>
      <c r="B49" s="149">
        <v>3.4275479E-9</v>
      </c>
    </row>
    <row r="50" spans="1:3" x14ac:dyDescent="0.2">
      <c r="A50" s="150">
        <v>30651</v>
      </c>
      <c r="B50" s="149">
        <v>3.7249599999999999E-9</v>
      </c>
    </row>
    <row r="51" spans="1:3" x14ac:dyDescent="0.2">
      <c r="A51" s="150">
        <v>30682</v>
      </c>
      <c r="B51" s="149">
        <v>4.0851239999999997E-9</v>
      </c>
    </row>
    <row r="52" spans="1:3" x14ac:dyDescent="0.2">
      <c r="A52" s="150">
        <v>30713</v>
      </c>
      <c r="B52" s="149">
        <v>4.4732400000000002E-9</v>
      </c>
    </row>
    <row r="53" spans="1:3" x14ac:dyDescent="0.2">
      <c r="A53" s="150">
        <v>30742</v>
      </c>
      <c r="B53" s="149">
        <v>4.873083E-9</v>
      </c>
      <c r="C53" s="149"/>
    </row>
    <row r="54" spans="1:3" x14ac:dyDescent="0.2">
      <c r="A54" s="150">
        <v>30773</v>
      </c>
      <c r="B54" s="149">
        <v>5.3381219000000004E-9</v>
      </c>
    </row>
    <row r="55" spans="1:3" x14ac:dyDescent="0.2">
      <c r="A55" s="150">
        <v>30803</v>
      </c>
      <c r="B55" s="149">
        <v>5.8212330000000003E-9</v>
      </c>
    </row>
    <row r="56" spans="1:3" x14ac:dyDescent="0.2">
      <c r="A56" s="150">
        <v>30834</v>
      </c>
      <c r="B56" s="149">
        <v>6.4080248999999999E-9</v>
      </c>
    </row>
    <row r="57" spans="1:3" x14ac:dyDescent="0.2">
      <c r="A57" s="150">
        <v>30864</v>
      </c>
      <c r="B57" s="149">
        <v>7.0311840000000001E-9</v>
      </c>
    </row>
    <row r="58" spans="1:3" x14ac:dyDescent="0.2">
      <c r="A58" s="150">
        <v>30895</v>
      </c>
      <c r="B58" s="149">
        <v>7.6885439000000004E-9</v>
      </c>
    </row>
    <row r="59" spans="1:3" x14ac:dyDescent="0.2">
      <c r="A59" s="150">
        <v>30926</v>
      </c>
      <c r="B59" s="149">
        <v>8.5917990000000006E-9</v>
      </c>
    </row>
    <row r="60" spans="1:3" x14ac:dyDescent="0.2">
      <c r="A60" s="150">
        <v>30956</v>
      </c>
      <c r="B60" s="149">
        <v>9.4885419999999994E-9</v>
      </c>
    </row>
    <row r="61" spans="1:3" x14ac:dyDescent="0.2">
      <c r="A61" s="150">
        <v>30987</v>
      </c>
      <c r="B61" s="149">
        <v>1.0487340000000001E-8</v>
      </c>
    </row>
    <row r="62" spans="1:3" x14ac:dyDescent="0.2">
      <c r="A62" s="150">
        <v>31017</v>
      </c>
      <c r="B62" s="149">
        <v>1.1743429999999999E-8</v>
      </c>
    </row>
    <row r="63" spans="1:3" x14ac:dyDescent="0.2">
      <c r="A63" s="150">
        <v>31048</v>
      </c>
      <c r="B63" s="149">
        <v>1.3124369999999999E-8</v>
      </c>
    </row>
    <row r="64" spans="1:3" x14ac:dyDescent="0.2">
      <c r="A64" s="150">
        <v>31079</v>
      </c>
      <c r="B64" s="149">
        <v>1.455037E-8</v>
      </c>
    </row>
    <row r="65" spans="1:3" x14ac:dyDescent="0.2">
      <c r="A65" s="150">
        <v>31107</v>
      </c>
      <c r="B65" s="149">
        <v>1.6029020000000001E-8</v>
      </c>
    </row>
    <row r="66" spans="1:3" x14ac:dyDescent="0.2">
      <c r="A66" s="150">
        <v>31138</v>
      </c>
      <c r="B66" s="149">
        <v>1.7342649999999999E-8</v>
      </c>
      <c r="C66" s="149"/>
    </row>
    <row r="67" spans="1:3" x14ac:dyDescent="0.2">
      <c r="A67" s="150">
        <v>31168</v>
      </c>
      <c r="B67" s="149">
        <v>1.8590599999999999E-8</v>
      </c>
    </row>
    <row r="68" spans="1:3" x14ac:dyDescent="0.2">
      <c r="A68" s="150">
        <v>31199</v>
      </c>
      <c r="B68" s="149">
        <v>2.0169669999999999E-8</v>
      </c>
    </row>
    <row r="69" spans="1:3" x14ac:dyDescent="0.2">
      <c r="A69" s="150">
        <v>31229</v>
      </c>
      <c r="B69" s="149">
        <v>2.224977E-8</v>
      </c>
    </row>
    <row r="70" spans="1:3" x14ac:dyDescent="0.2">
      <c r="A70" s="150">
        <v>31260</v>
      </c>
      <c r="B70" s="149">
        <v>2.493077E-8</v>
      </c>
    </row>
    <row r="71" spans="1:3" x14ac:dyDescent="0.2">
      <c r="A71" s="150">
        <v>31291</v>
      </c>
      <c r="B71" s="149">
        <v>2.7702419899999999E-8</v>
      </c>
    </row>
    <row r="72" spans="1:3" x14ac:dyDescent="0.2">
      <c r="A72" s="150">
        <v>31321</v>
      </c>
      <c r="B72" s="149">
        <v>3.064344E-8</v>
      </c>
    </row>
    <row r="73" spans="1:3" x14ac:dyDescent="0.2">
      <c r="A73" s="150">
        <v>31352</v>
      </c>
      <c r="B73" s="149">
        <v>3.4925229999999997E-8</v>
      </c>
    </row>
    <row r="74" spans="1:3" x14ac:dyDescent="0.2">
      <c r="A74" s="150">
        <v>31382</v>
      </c>
      <c r="B74" s="149">
        <v>4.0189519999999997E-8</v>
      </c>
    </row>
    <row r="75" spans="1:3" x14ac:dyDescent="0.2">
      <c r="A75" s="150">
        <v>31413</v>
      </c>
      <c r="B75" s="149">
        <v>4.59657E-8</v>
      </c>
    </row>
    <row r="76" spans="1:3" x14ac:dyDescent="0.2">
      <c r="A76" s="150">
        <v>31444</v>
      </c>
      <c r="B76" s="149">
        <v>5.1810820000000002E-8</v>
      </c>
    </row>
    <row r="77" spans="1:3" x14ac:dyDescent="0.2">
      <c r="A77" s="150">
        <v>31472</v>
      </c>
      <c r="B77" s="149">
        <v>5.4282290000000002E-8</v>
      </c>
    </row>
    <row r="78" spans="1:3" x14ac:dyDescent="0.2">
      <c r="A78" s="150">
        <v>31503</v>
      </c>
      <c r="B78" s="149">
        <v>5.4705690000000001E-8</v>
      </c>
    </row>
    <row r="79" spans="1:3" x14ac:dyDescent="0.2">
      <c r="A79" s="150">
        <v>31533</v>
      </c>
      <c r="B79" s="149">
        <v>5.5471069999999997E-8</v>
      </c>
      <c r="C79" s="149"/>
    </row>
    <row r="80" spans="1:3" x14ac:dyDescent="0.2">
      <c r="A80" s="150">
        <v>31564</v>
      </c>
      <c r="B80" s="149">
        <v>5.617675E-8</v>
      </c>
    </row>
    <row r="81" spans="1:3" x14ac:dyDescent="0.2">
      <c r="A81" s="150">
        <v>31594</v>
      </c>
      <c r="B81" s="149">
        <v>5.7137539999999997E-8</v>
      </c>
    </row>
    <row r="82" spans="1:3" x14ac:dyDescent="0.2">
      <c r="A82" s="150">
        <v>31625</v>
      </c>
      <c r="B82" s="149">
        <v>5.9167699899999999E-8</v>
      </c>
    </row>
    <row r="83" spans="1:3" x14ac:dyDescent="0.2">
      <c r="A83" s="150">
        <v>31656</v>
      </c>
      <c r="B83" s="149">
        <v>6.018278E-8</v>
      </c>
    </row>
    <row r="84" spans="1:3" x14ac:dyDescent="0.2">
      <c r="A84" s="150">
        <v>31686</v>
      </c>
      <c r="B84" s="149">
        <v>6.132813E-8</v>
      </c>
    </row>
    <row r="85" spans="1:3" x14ac:dyDescent="0.2">
      <c r="A85" s="150">
        <v>31717</v>
      </c>
      <c r="B85" s="149">
        <v>6.4671919999999999E-8</v>
      </c>
    </row>
    <row r="86" spans="1:3" x14ac:dyDescent="0.2">
      <c r="A86" s="150">
        <v>31747</v>
      </c>
      <c r="B86" s="149">
        <v>7.2206299999999995E-8</v>
      </c>
    </row>
    <row r="87" spans="1:3" x14ac:dyDescent="0.2">
      <c r="A87" s="150">
        <v>31778</v>
      </c>
      <c r="B87" s="149">
        <v>8.1743699899999996E-8</v>
      </c>
    </row>
    <row r="88" spans="1:3" x14ac:dyDescent="0.2">
      <c r="A88" s="150">
        <v>31809</v>
      </c>
      <c r="B88" s="149">
        <v>9.2073630000000002E-8</v>
      </c>
    </row>
    <row r="89" spans="1:3" x14ac:dyDescent="0.2">
      <c r="A89" s="150">
        <v>31837</v>
      </c>
      <c r="B89" s="149">
        <v>1.071478E-7</v>
      </c>
    </row>
    <row r="90" spans="1:3" x14ac:dyDescent="0.2">
      <c r="A90" s="150">
        <v>31868</v>
      </c>
      <c r="B90" s="149">
        <v>1.276122E-7</v>
      </c>
    </row>
    <row r="91" spans="1:3" x14ac:dyDescent="0.2">
      <c r="A91" s="150">
        <v>31898</v>
      </c>
      <c r="B91" s="149">
        <v>1.549867999E-7</v>
      </c>
    </row>
    <row r="92" spans="1:3" x14ac:dyDescent="0.2">
      <c r="A92" s="150">
        <v>31929</v>
      </c>
      <c r="B92" s="149">
        <v>1.8553689989999999E-7</v>
      </c>
      <c r="C92" s="149"/>
    </row>
    <row r="93" spans="1:3" x14ac:dyDescent="0.2">
      <c r="A93" s="150">
        <v>31959</v>
      </c>
      <c r="B93" s="149">
        <v>2.0262489989999999E-7</v>
      </c>
    </row>
    <row r="94" spans="1:3" x14ac:dyDescent="0.2">
      <c r="A94" s="150">
        <v>31990</v>
      </c>
      <c r="B94" s="149">
        <v>2.1249350000000001E-7</v>
      </c>
    </row>
    <row r="95" spans="1:3" x14ac:dyDescent="0.2">
      <c r="A95" s="150">
        <v>32021</v>
      </c>
      <c r="B95" s="149">
        <v>2.2902779999999999E-7</v>
      </c>
    </row>
    <row r="96" spans="1:3" x14ac:dyDescent="0.2">
      <c r="A96" s="150">
        <v>32051</v>
      </c>
      <c r="B96" s="149">
        <v>2.5472510000000002E-7</v>
      </c>
    </row>
    <row r="97" spans="1:3" x14ac:dyDescent="0.2">
      <c r="A97" s="150">
        <v>32082</v>
      </c>
      <c r="B97" s="149">
        <v>2.9313519999999999E-7</v>
      </c>
    </row>
    <row r="98" spans="1:3" x14ac:dyDescent="0.2">
      <c r="A98" s="150">
        <v>32112</v>
      </c>
      <c r="B98" s="149">
        <v>3.3461229999999998E-7</v>
      </c>
    </row>
    <row r="99" spans="1:3" x14ac:dyDescent="0.2">
      <c r="A99" s="150">
        <v>32143</v>
      </c>
      <c r="B99" s="149">
        <v>3.9781859989999998E-7</v>
      </c>
    </row>
    <row r="100" spans="1:3" x14ac:dyDescent="0.2">
      <c r="A100" s="150">
        <v>32174</v>
      </c>
      <c r="B100" s="149">
        <v>4.602758E-7</v>
      </c>
    </row>
    <row r="101" spans="1:3" x14ac:dyDescent="0.2">
      <c r="A101" s="150">
        <v>32203</v>
      </c>
      <c r="B101" s="149">
        <v>5.4128669989999997E-7</v>
      </c>
    </row>
    <row r="102" spans="1:3" x14ac:dyDescent="0.2">
      <c r="A102" s="150">
        <v>32234</v>
      </c>
      <c r="B102" s="149">
        <v>6.4569880000000001E-7</v>
      </c>
    </row>
    <row r="103" spans="1:3" x14ac:dyDescent="0.2">
      <c r="A103" s="150">
        <v>32264</v>
      </c>
      <c r="B103" s="149">
        <v>7.5817709989999997E-7</v>
      </c>
    </row>
    <row r="104" spans="1:3" x14ac:dyDescent="0.2">
      <c r="A104" s="150">
        <v>32295</v>
      </c>
      <c r="B104" s="149">
        <v>9.2497569999999998E-7</v>
      </c>
    </row>
    <row r="105" spans="1:3" x14ac:dyDescent="0.2">
      <c r="A105" s="150">
        <v>32325</v>
      </c>
      <c r="B105" s="149">
        <v>1.127639E-6</v>
      </c>
      <c r="C105" s="149"/>
    </row>
    <row r="106" spans="1:3" x14ac:dyDescent="0.2">
      <c r="A106" s="150">
        <v>32356</v>
      </c>
      <c r="B106" s="149">
        <v>1.371095E-6</v>
      </c>
    </row>
    <row r="107" spans="1:3" x14ac:dyDescent="0.2">
      <c r="A107" s="150">
        <v>32387</v>
      </c>
      <c r="B107" s="149">
        <v>1.747461E-6</v>
      </c>
    </row>
    <row r="108" spans="1:3" x14ac:dyDescent="0.2">
      <c r="A108" s="150">
        <v>32417</v>
      </c>
      <c r="B108" s="149">
        <v>2.1951599999999999E-6</v>
      </c>
    </row>
    <row r="109" spans="1:3" x14ac:dyDescent="0.2">
      <c r="A109" s="150">
        <v>32448</v>
      </c>
      <c r="B109" s="149">
        <v>2.80849E-6</v>
      </c>
    </row>
    <row r="110" spans="1:3" x14ac:dyDescent="0.2">
      <c r="A110" s="150">
        <v>32478</v>
      </c>
      <c r="B110" s="149">
        <v>3.614527E-6</v>
      </c>
    </row>
    <row r="111" spans="1:3" x14ac:dyDescent="0.2">
      <c r="A111" s="150">
        <v>32509</v>
      </c>
      <c r="B111" s="149">
        <v>4.9696139999999998E-6</v>
      </c>
    </row>
    <row r="112" spans="1:3" x14ac:dyDescent="0.2">
      <c r="A112" s="150">
        <v>32540</v>
      </c>
      <c r="B112" s="149">
        <v>5.8035149999999998E-6</v>
      </c>
    </row>
    <row r="113" spans="1:3" x14ac:dyDescent="0.2">
      <c r="A113" s="150">
        <v>32568</v>
      </c>
      <c r="B113" s="149">
        <v>6.1993150000000003E-6</v>
      </c>
    </row>
    <row r="114" spans="1:3" x14ac:dyDescent="0.2">
      <c r="A114" s="150">
        <v>32599</v>
      </c>
      <c r="B114" s="149">
        <v>6.715718E-6</v>
      </c>
    </row>
    <row r="115" spans="1:3" x14ac:dyDescent="0.2">
      <c r="A115" s="150">
        <v>32629</v>
      </c>
      <c r="B115" s="149">
        <v>7.9191729999999998E-6</v>
      </c>
    </row>
    <row r="116" spans="1:3" x14ac:dyDescent="0.2">
      <c r="A116" s="150">
        <v>32660</v>
      </c>
      <c r="B116" s="149">
        <v>1.0188019999999999E-5</v>
      </c>
    </row>
    <row r="117" spans="1:3" x14ac:dyDescent="0.2">
      <c r="A117" s="150">
        <v>32690</v>
      </c>
      <c r="B117" s="149">
        <v>1.3014169999999999E-5</v>
      </c>
    </row>
    <row r="118" spans="1:3" x14ac:dyDescent="0.2">
      <c r="A118" s="150">
        <v>32721</v>
      </c>
      <c r="B118" s="149">
        <v>1.7401249999999999E-5</v>
      </c>
      <c r="C118" s="149"/>
    </row>
    <row r="119" spans="1:3" x14ac:dyDescent="0.2">
      <c r="A119" s="150">
        <v>32752</v>
      </c>
      <c r="B119" s="149">
        <v>2.3937149999999998E-5</v>
      </c>
    </row>
    <row r="120" spans="1:3" x14ac:dyDescent="0.2">
      <c r="A120" s="150">
        <v>32782</v>
      </c>
      <c r="B120" s="149">
        <v>3.3456959999999999E-5</v>
      </c>
    </row>
    <row r="121" spans="1:3" x14ac:dyDescent="0.2">
      <c r="A121" s="150">
        <v>32813</v>
      </c>
      <c r="B121" s="149">
        <v>4.9456080000000001E-5</v>
      </c>
    </row>
    <row r="122" spans="1:3" x14ac:dyDescent="0.2">
      <c r="A122" s="150">
        <v>32843</v>
      </c>
      <c r="B122" s="149">
        <v>7.49259599999E-5</v>
      </c>
    </row>
    <row r="123" spans="1:3" x14ac:dyDescent="0.2">
      <c r="A123" s="150">
        <v>32874</v>
      </c>
      <c r="B123" s="149">
        <v>1.255385E-4</v>
      </c>
    </row>
    <row r="124" spans="1:3" x14ac:dyDescent="0.2">
      <c r="A124" s="150">
        <v>32905</v>
      </c>
      <c r="B124" s="149">
        <v>2.2060869999989999E-4</v>
      </c>
    </row>
    <row r="125" spans="1:3" x14ac:dyDescent="0.2">
      <c r="A125" s="150">
        <v>32933</v>
      </c>
      <c r="B125" s="149">
        <v>4.0236820000000002E-4</v>
      </c>
    </row>
    <row r="126" spans="1:3" x14ac:dyDescent="0.2">
      <c r="A126" s="150">
        <v>32964</v>
      </c>
      <c r="B126" s="149">
        <v>4.6481579999999999E-4</v>
      </c>
    </row>
    <row r="127" spans="1:3" x14ac:dyDescent="0.2">
      <c r="A127" s="150">
        <v>32994</v>
      </c>
      <c r="B127" s="149">
        <v>5.0009529999999998E-4</v>
      </c>
    </row>
    <row r="128" spans="1:3" x14ac:dyDescent="0.2">
      <c r="A128" s="150">
        <v>33025</v>
      </c>
      <c r="B128" s="149">
        <v>5.588565E-4</v>
      </c>
    </row>
    <row r="129" spans="1:3" x14ac:dyDescent="0.2">
      <c r="A129" s="150">
        <v>33055</v>
      </c>
      <c r="B129" s="149">
        <v>6.3106070000000004E-4</v>
      </c>
    </row>
    <row r="130" spans="1:3" x14ac:dyDescent="0.2">
      <c r="A130" s="150">
        <v>33086</v>
      </c>
      <c r="B130" s="149">
        <v>7.1234140000000004E-4</v>
      </c>
    </row>
    <row r="131" spans="1:3" x14ac:dyDescent="0.2">
      <c r="A131" s="150">
        <v>33117</v>
      </c>
      <c r="B131" s="149">
        <v>8.1498979999999996E-4</v>
      </c>
      <c r="C131" s="149"/>
    </row>
    <row r="132" spans="1:3" x14ac:dyDescent="0.2">
      <c r="A132" s="150">
        <v>33147</v>
      </c>
      <c r="B132" s="149">
        <v>9.3202230000000001E-4</v>
      </c>
    </row>
    <row r="133" spans="1:3" x14ac:dyDescent="0.2">
      <c r="A133" s="150">
        <v>33178</v>
      </c>
      <c r="B133" s="149">
        <v>1.088695E-3</v>
      </c>
    </row>
    <row r="134" spans="1:3" x14ac:dyDescent="0.2">
      <c r="A134" s="150">
        <v>33208</v>
      </c>
      <c r="B134" s="149">
        <v>1.2894510000000001E-3</v>
      </c>
    </row>
    <row r="135" spans="1:3" x14ac:dyDescent="0.2">
      <c r="A135" s="150">
        <v>33239</v>
      </c>
      <c r="B135" s="149">
        <v>1.557012E-3</v>
      </c>
    </row>
    <row r="136" spans="1:3" x14ac:dyDescent="0.2">
      <c r="A136" s="150">
        <v>33270</v>
      </c>
      <c r="B136" s="149">
        <v>1.879632E-3</v>
      </c>
    </row>
    <row r="137" spans="1:3" x14ac:dyDescent="0.2">
      <c r="A137" s="150">
        <v>33298</v>
      </c>
      <c r="B137" s="149">
        <v>2.1037389999999999E-3</v>
      </c>
    </row>
    <row r="138" spans="1:3" x14ac:dyDescent="0.2">
      <c r="A138" s="150">
        <v>33329</v>
      </c>
      <c r="B138" s="149">
        <v>2.2087000000000001E-3</v>
      </c>
    </row>
    <row r="139" spans="1:3" x14ac:dyDescent="0.2">
      <c r="A139" s="150">
        <v>33359</v>
      </c>
      <c r="B139" s="149">
        <v>2.372847E-3</v>
      </c>
    </row>
    <row r="140" spans="1:3" x14ac:dyDescent="0.2">
      <c r="A140" s="150">
        <v>33390</v>
      </c>
      <c r="B140" s="149">
        <v>2.6383449999999998E-3</v>
      </c>
    </row>
    <row r="141" spans="1:3" x14ac:dyDescent="0.2">
      <c r="A141" s="150">
        <v>33420</v>
      </c>
      <c r="B141" s="149">
        <v>2.9657359999998999E-3</v>
      </c>
    </row>
    <row r="142" spans="1:3" x14ac:dyDescent="0.2">
      <c r="A142" s="150">
        <v>33451</v>
      </c>
      <c r="B142" s="149">
        <v>3.4292939999999998E-3</v>
      </c>
    </row>
    <row r="143" spans="1:3" x14ac:dyDescent="0.2">
      <c r="A143" s="150">
        <v>33482</v>
      </c>
      <c r="B143" s="149">
        <v>3.9653190000000001E-3</v>
      </c>
    </row>
    <row r="144" spans="1:3" x14ac:dyDescent="0.2">
      <c r="A144" s="150">
        <v>33512</v>
      </c>
      <c r="B144" s="149">
        <v>4.7674859999999996E-3</v>
      </c>
      <c r="C144" s="149"/>
    </row>
    <row r="145" spans="1:3" x14ac:dyDescent="0.2">
      <c r="A145" s="150">
        <v>33543</v>
      </c>
      <c r="B145" s="149">
        <v>5.969383E-3</v>
      </c>
    </row>
    <row r="146" spans="1:3" x14ac:dyDescent="0.2">
      <c r="A146" s="150">
        <v>33573</v>
      </c>
      <c r="B146" s="149">
        <v>7.3846839999999999E-3</v>
      </c>
    </row>
    <row r="147" spans="1:3" x14ac:dyDescent="0.2">
      <c r="A147" s="150">
        <v>33604</v>
      </c>
      <c r="B147" s="149">
        <v>9.3002919999999999E-3</v>
      </c>
    </row>
    <row r="148" spans="1:3" x14ac:dyDescent="0.2">
      <c r="A148" s="150">
        <v>33635</v>
      </c>
      <c r="B148" s="149">
        <v>1.156212E-2</v>
      </c>
    </row>
    <row r="149" spans="1:3" x14ac:dyDescent="0.2">
      <c r="A149" s="150">
        <v>33664</v>
      </c>
      <c r="B149" s="149">
        <v>1.4036440000000001E-2</v>
      </c>
    </row>
    <row r="150" spans="1:3" x14ac:dyDescent="0.2">
      <c r="A150" s="150">
        <v>33695</v>
      </c>
      <c r="B150" s="149">
        <v>1.6833910000000001E-2</v>
      </c>
    </row>
    <row r="151" spans="1:3" x14ac:dyDescent="0.2">
      <c r="A151" s="150">
        <v>33725</v>
      </c>
      <c r="B151" s="149">
        <v>2.1018820000000001E-2</v>
      </c>
    </row>
    <row r="152" spans="1:3" x14ac:dyDescent="0.2">
      <c r="A152" s="150">
        <v>33756</v>
      </c>
      <c r="B152" s="149">
        <v>2.5266790000000001E-2</v>
      </c>
    </row>
    <row r="153" spans="1:3" x14ac:dyDescent="0.2">
      <c r="A153" s="150">
        <v>33786</v>
      </c>
      <c r="B153" s="149">
        <v>3.0782540000000001E-2</v>
      </c>
    </row>
    <row r="154" spans="1:3" x14ac:dyDescent="0.2">
      <c r="A154" s="150">
        <v>33817</v>
      </c>
      <c r="B154" s="149">
        <v>3.7597800000000001E-2</v>
      </c>
    </row>
    <row r="155" spans="1:3" x14ac:dyDescent="0.2">
      <c r="A155" s="150">
        <v>33848</v>
      </c>
      <c r="B155" s="149">
        <v>4.6858120000000003E-2</v>
      </c>
    </row>
    <row r="156" spans="1:3" x14ac:dyDescent="0.2">
      <c r="A156" s="150">
        <v>33878</v>
      </c>
      <c r="B156" s="149">
        <v>5.8685090000000002E-2</v>
      </c>
    </row>
    <row r="157" spans="1:3" x14ac:dyDescent="0.2">
      <c r="A157" s="150">
        <v>33909</v>
      </c>
      <c r="B157" s="149">
        <v>7.18834E-2</v>
      </c>
      <c r="C157" s="149"/>
    </row>
    <row r="158" spans="1:3" x14ac:dyDescent="0.2">
      <c r="A158" s="150">
        <v>33939</v>
      </c>
      <c r="B158" s="149">
        <v>9.0026739999999994E-2</v>
      </c>
    </row>
    <row r="159" spans="1:3" x14ac:dyDescent="0.2">
      <c r="A159" s="150">
        <v>33970</v>
      </c>
      <c r="B159" s="149">
        <v>0.1173498</v>
      </c>
    </row>
    <row r="160" spans="1:3" x14ac:dyDescent="0.2">
      <c r="A160" s="150">
        <v>34001</v>
      </c>
      <c r="B160" s="149">
        <v>0.1466637999999999</v>
      </c>
    </row>
    <row r="161" spans="1:3" x14ac:dyDescent="0.2">
      <c r="A161" s="150">
        <v>34029</v>
      </c>
      <c r="B161" s="149">
        <v>0.18664439999999999</v>
      </c>
    </row>
    <row r="162" spans="1:3" x14ac:dyDescent="0.2">
      <c r="A162" s="150">
        <v>34060</v>
      </c>
      <c r="B162" s="149">
        <v>0.23843809999999999</v>
      </c>
    </row>
    <row r="163" spans="1:3" x14ac:dyDescent="0.2">
      <c r="A163" s="150">
        <v>34090</v>
      </c>
      <c r="B163" s="149">
        <v>0.3044616</v>
      </c>
    </row>
    <row r="164" spans="1:3" x14ac:dyDescent="0.2">
      <c r="A164" s="150">
        <v>34121</v>
      </c>
      <c r="B164" s="149">
        <v>0.3960132999999999</v>
      </c>
    </row>
    <row r="165" spans="1:3" x14ac:dyDescent="0.2">
      <c r="A165" s="150">
        <v>34151</v>
      </c>
      <c r="B165" s="149">
        <v>0.51766850000000009</v>
      </c>
    </row>
    <row r="166" spans="1:3" x14ac:dyDescent="0.2">
      <c r="A166" s="150">
        <v>34182</v>
      </c>
      <c r="B166" s="149">
        <v>0.68829209999999996</v>
      </c>
    </row>
    <row r="167" spans="1:3" x14ac:dyDescent="0.2">
      <c r="A167" s="150">
        <v>34213</v>
      </c>
      <c r="B167" s="149">
        <v>0.93394359999999998</v>
      </c>
    </row>
    <row r="168" spans="1:3" x14ac:dyDescent="0.2">
      <c r="A168" s="150">
        <v>34243</v>
      </c>
      <c r="B168" s="149">
        <v>1.250737</v>
      </c>
    </row>
    <row r="169" spans="1:3" x14ac:dyDescent="0.2">
      <c r="A169" s="150">
        <v>34274</v>
      </c>
      <c r="B169" s="149">
        <v>1.6954990000000001</v>
      </c>
    </row>
    <row r="170" spans="1:3" x14ac:dyDescent="0.2">
      <c r="A170" s="150">
        <v>34304</v>
      </c>
      <c r="B170" s="149">
        <v>2.320122</v>
      </c>
      <c r="C170" s="149"/>
    </row>
    <row r="171" spans="1:3" x14ac:dyDescent="0.2">
      <c r="A171" s="150">
        <v>34335</v>
      </c>
      <c r="B171" s="149">
        <v>3.2785639999999998</v>
      </c>
    </row>
    <row r="172" spans="1:3" x14ac:dyDescent="0.2">
      <c r="A172" s="150">
        <v>34366</v>
      </c>
      <c r="B172" s="149">
        <v>4.5989449999999996</v>
      </c>
    </row>
    <row r="173" spans="1:3" x14ac:dyDescent="0.2">
      <c r="A173" s="150">
        <v>34394</v>
      </c>
      <c r="B173" s="149">
        <v>6.565016</v>
      </c>
    </row>
    <row r="174" spans="1:3" x14ac:dyDescent="0.2">
      <c r="A174" s="150">
        <v>34425</v>
      </c>
      <c r="B174" s="149">
        <v>9.3670259999999992</v>
      </c>
    </row>
    <row r="175" spans="1:3" x14ac:dyDescent="0.2">
      <c r="A175" s="150">
        <v>34455</v>
      </c>
      <c r="B175" s="149">
        <v>13.49127</v>
      </c>
    </row>
    <row r="176" spans="1:3" x14ac:dyDescent="0.2">
      <c r="A176" s="150">
        <v>34486</v>
      </c>
      <c r="B176" s="149">
        <v>19.890170000000001</v>
      </c>
    </row>
    <row r="177" spans="1:3" x14ac:dyDescent="0.2">
      <c r="A177" s="150">
        <v>34516</v>
      </c>
      <c r="B177" s="149">
        <v>21.250689999999999</v>
      </c>
    </row>
    <row r="178" spans="1:3" x14ac:dyDescent="0.2">
      <c r="A178" s="150">
        <v>34547</v>
      </c>
      <c r="B178" s="149">
        <v>21.646039999999999</v>
      </c>
    </row>
    <row r="179" spans="1:3" x14ac:dyDescent="0.2">
      <c r="A179" s="150">
        <v>34578</v>
      </c>
      <c r="B179" s="149">
        <v>21.977119999999999</v>
      </c>
    </row>
    <row r="180" spans="1:3" x14ac:dyDescent="0.2">
      <c r="A180" s="150">
        <v>34608</v>
      </c>
      <c r="B180" s="149">
        <v>22.552969999999998</v>
      </c>
    </row>
    <row r="181" spans="1:3" x14ac:dyDescent="0.2">
      <c r="A181" s="150">
        <v>34639</v>
      </c>
      <c r="B181" s="149">
        <v>23.186599999999999</v>
      </c>
    </row>
    <row r="182" spans="1:3" x14ac:dyDescent="0.2">
      <c r="A182" s="150">
        <v>34669</v>
      </c>
      <c r="B182" s="149">
        <v>23.583110000000001</v>
      </c>
    </row>
    <row r="183" spans="1:3" x14ac:dyDescent="0.2">
      <c r="A183" s="150">
        <v>34700</v>
      </c>
      <c r="B183" s="149">
        <v>23.984020000000001</v>
      </c>
      <c r="C183" s="149"/>
    </row>
    <row r="184" spans="1:3" x14ac:dyDescent="0.2">
      <c r="A184" s="150">
        <v>34731</v>
      </c>
      <c r="B184" s="149">
        <v>24.228570000000001</v>
      </c>
    </row>
    <row r="185" spans="1:3" x14ac:dyDescent="0.2">
      <c r="A185" s="150">
        <v>34759</v>
      </c>
      <c r="B185" s="149">
        <v>24.604189999999999</v>
      </c>
    </row>
    <row r="186" spans="1:3" x14ac:dyDescent="0.2">
      <c r="A186" s="150">
        <v>34790</v>
      </c>
      <c r="B186" s="149">
        <v>25.202089999999998</v>
      </c>
    </row>
    <row r="187" spans="1:3" x14ac:dyDescent="0.2">
      <c r="A187" s="150">
        <v>34820</v>
      </c>
      <c r="B187" s="149">
        <v>25.874919999999999</v>
      </c>
    </row>
    <row r="188" spans="1:3" x14ac:dyDescent="0.2">
      <c r="A188" s="150">
        <v>34851</v>
      </c>
      <c r="B188" s="149">
        <v>26.459589999999999</v>
      </c>
    </row>
    <row r="189" spans="1:3" x14ac:dyDescent="0.2">
      <c r="A189" s="150">
        <v>34881</v>
      </c>
      <c r="B189" s="149">
        <v>27.083939999999998</v>
      </c>
    </row>
    <row r="190" spans="1:3" x14ac:dyDescent="0.2">
      <c r="A190" s="150">
        <v>34912</v>
      </c>
      <c r="B190" s="149">
        <v>27.352139999999999</v>
      </c>
    </row>
    <row r="191" spans="1:3" x14ac:dyDescent="0.2">
      <c r="A191" s="150">
        <v>34943</v>
      </c>
      <c r="B191" s="149">
        <v>27.622900000000001</v>
      </c>
    </row>
    <row r="192" spans="1:3" x14ac:dyDescent="0.2">
      <c r="A192" s="150">
        <v>34973</v>
      </c>
      <c r="B192" s="149">
        <v>28.012450000000001</v>
      </c>
    </row>
    <row r="193" spans="1:3" x14ac:dyDescent="0.2">
      <c r="A193" s="150">
        <v>35004</v>
      </c>
      <c r="B193" s="149">
        <v>28.42427</v>
      </c>
    </row>
    <row r="194" spans="1:3" x14ac:dyDescent="0.2">
      <c r="A194" s="150">
        <v>35034</v>
      </c>
      <c r="B194" s="149">
        <v>28.867650000000001</v>
      </c>
    </row>
    <row r="195" spans="1:3" x14ac:dyDescent="0.2">
      <c r="A195" s="150">
        <v>35065</v>
      </c>
      <c r="B195" s="149">
        <v>29.25441</v>
      </c>
    </row>
    <row r="196" spans="1:3" x14ac:dyDescent="0.2">
      <c r="A196" s="150">
        <v>35096</v>
      </c>
      <c r="B196" s="149">
        <v>29.555800000000001</v>
      </c>
      <c r="C196" s="149"/>
    </row>
    <row r="197" spans="1:3" x14ac:dyDescent="0.2">
      <c r="A197" s="150">
        <v>35125</v>
      </c>
      <c r="B197" s="149">
        <v>29.659269999999999</v>
      </c>
    </row>
    <row r="198" spans="1:3" x14ac:dyDescent="0.2">
      <c r="A198" s="150">
        <v>35156</v>
      </c>
      <c r="B198" s="149">
        <v>30.03304</v>
      </c>
    </row>
    <row r="199" spans="1:3" x14ac:dyDescent="0.2">
      <c r="A199" s="150">
        <v>35186</v>
      </c>
      <c r="B199" s="149">
        <v>30.39939</v>
      </c>
    </row>
    <row r="200" spans="1:3" x14ac:dyDescent="0.2">
      <c r="A200" s="150">
        <v>35217</v>
      </c>
      <c r="B200" s="149">
        <v>30.761099999999999</v>
      </c>
    </row>
    <row r="201" spans="1:3" x14ac:dyDescent="0.2">
      <c r="A201" s="150">
        <v>35247</v>
      </c>
      <c r="B201" s="149">
        <v>31.102620000000002</v>
      </c>
    </row>
    <row r="202" spans="1:3" x14ac:dyDescent="0.2">
      <c r="A202" s="150">
        <v>35278</v>
      </c>
      <c r="B202" s="149">
        <v>31.239509999999999</v>
      </c>
    </row>
    <row r="203" spans="1:3" x14ac:dyDescent="0.2">
      <c r="A203" s="150">
        <v>35309</v>
      </c>
      <c r="B203" s="149">
        <v>31.286370000000002</v>
      </c>
    </row>
    <row r="204" spans="1:3" x14ac:dyDescent="0.2">
      <c r="A204" s="150">
        <v>35339</v>
      </c>
      <c r="B204" s="149">
        <v>31.38034</v>
      </c>
    </row>
    <row r="205" spans="1:3" x14ac:dyDescent="0.2">
      <c r="A205" s="150">
        <v>35370</v>
      </c>
      <c r="B205" s="149">
        <v>31.480799999999999</v>
      </c>
    </row>
    <row r="206" spans="1:3" x14ac:dyDescent="0.2">
      <c r="A206" s="150">
        <v>35400</v>
      </c>
      <c r="B206" s="149">
        <v>31.628820000000001</v>
      </c>
    </row>
    <row r="207" spans="1:3" x14ac:dyDescent="0.2">
      <c r="A207" s="150">
        <v>35431</v>
      </c>
      <c r="B207" s="149">
        <v>32.002130000000001</v>
      </c>
    </row>
    <row r="208" spans="1:3" x14ac:dyDescent="0.2">
      <c r="A208" s="150">
        <v>35462</v>
      </c>
      <c r="B208" s="149">
        <v>32.162219999999998</v>
      </c>
    </row>
    <row r="209" spans="1:3" x14ac:dyDescent="0.2">
      <c r="A209" s="150">
        <v>35490</v>
      </c>
      <c r="B209" s="149">
        <v>32.326250000000002</v>
      </c>
      <c r="C209" s="149"/>
    </row>
    <row r="210" spans="1:3" x14ac:dyDescent="0.2">
      <c r="A210" s="150">
        <v>35521</v>
      </c>
      <c r="B210" s="149">
        <v>32.610700000000001</v>
      </c>
    </row>
    <row r="211" spans="1:3" x14ac:dyDescent="0.2">
      <c r="A211" s="150">
        <v>35551</v>
      </c>
      <c r="B211" s="149">
        <v>32.744340000000001</v>
      </c>
    </row>
    <row r="212" spans="1:3" x14ac:dyDescent="0.2">
      <c r="A212" s="150">
        <v>35582</v>
      </c>
      <c r="B212" s="149">
        <v>32.921129999999998</v>
      </c>
    </row>
    <row r="213" spans="1:3" x14ac:dyDescent="0.2">
      <c r="A213" s="150">
        <v>35612</v>
      </c>
      <c r="B213" s="149">
        <v>32.993519999999997</v>
      </c>
    </row>
    <row r="214" spans="1:3" x14ac:dyDescent="0.2">
      <c r="A214" s="150">
        <v>35643</v>
      </c>
      <c r="B214" s="149">
        <v>32.987020000000001</v>
      </c>
    </row>
    <row r="215" spans="1:3" x14ac:dyDescent="0.2">
      <c r="A215" s="150">
        <v>35674</v>
      </c>
      <c r="B215" s="149">
        <v>33.006740000000001</v>
      </c>
    </row>
    <row r="216" spans="1:3" x14ac:dyDescent="0.2">
      <c r="A216" s="150">
        <v>35704</v>
      </c>
      <c r="B216" s="149">
        <v>33.082610000000003</v>
      </c>
    </row>
    <row r="217" spans="1:3" x14ac:dyDescent="0.2">
      <c r="A217" s="150">
        <v>35735</v>
      </c>
      <c r="B217" s="149">
        <v>33.138759999999998</v>
      </c>
    </row>
    <row r="218" spans="1:3" x14ac:dyDescent="0.2">
      <c r="A218" s="150">
        <v>35765</v>
      </c>
      <c r="B218" s="149">
        <v>33.281219999999998</v>
      </c>
    </row>
    <row r="219" spans="1:3" x14ac:dyDescent="0.2">
      <c r="A219" s="150">
        <v>35796</v>
      </c>
      <c r="B219" s="149">
        <v>33.517400000000002</v>
      </c>
    </row>
    <row r="220" spans="1:3" x14ac:dyDescent="0.2">
      <c r="A220" s="150">
        <v>35827</v>
      </c>
      <c r="B220" s="149">
        <v>33.671690000000012</v>
      </c>
    </row>
    <row r="221" spans="1:3" x14ac:dyDescent="0.2">
      <c r="A221" s="150">
        <v>35855</v>
      </c>
      <c r="B221" s="149">
        <v>33.786070000000002</v>
      </c>
    </row>
    <row r="222" spans="1:3" x14ac:dyDescent="0.2">
      <c r="A222" s="150">
        <v>35886</v>
      </c>
      <c r="B222" s="149">
        <v>33.867049999999999</v>
      </c>
      <c r="C222" s="149"/>
    </row>
    <row r="223" spans="1:3" x14ac:dyDescent="0.2">
      <c r="A223" s="150">
        <v>35916</v>
      </c>
      <c r="B223" s="149">
        <v>34.03642</v>
      </c>
    </row>
    <row r="224" spans="1:3" x14ac:dyDescent="0.2">
      <c r="A224" s="150">
        <v>35947</v>
      </c>
      <c r="B224" s="149">
        <v>34.043140000000001</v>
      </c>
    </row>
    <row r="225" spans="1:3" x14ac:dyDescent="0.2">
      <c r="A225" s="150">
        <v>35977</v>
      </c>
      <c r="B225" s="149">
        <v>34.002309999999987</v>
      </c>
    </row>
    <row r="226" spans="1:3" x14ac:dyDescent="0.2">
      <c r="A226" s="150">
        <v>36008</v>
      </c>
      <c r="B226" s="149">
        <v>33.828989999999997</v>
      </c>
    </row>
    <row r="227" spans="1:3" x14ac:dyDescent="0.2">
      <c r="A227" s="150">
        <v>36039</v>
      </c>
      <c r="B227" s="149">
        <v>33.754519999999999</v>
      </c>
    </row>
    <row r="228" spans="1:3" x14ac:dyDescent="0.2">
      <c r="A228" s="150">
        <v>36069</v>
      </c>
      <c r="B228" s="149">
        <v>33.761249999999997</v>
      </c>
    </row>
    <row r="229" spans="1:3" x14ac:dyDescent="0.2">
      <c r="A229" s="150">
        <v>36100</v>
      </c>
      <c r="B229" s="149">
        <v>33.720649999999999</v>
      </c>
    </row>
    <row r="230" spans="1:3" x14ac:dyDescent="0.2">
      <c r="A230" s="150">
        <v>36130</v>
      </c>
      <c r="B230" s="149">
        <v>33.832009999999997</v>
      </c>
    </row>
    <row r="231" spans="1:3" x14ac:dyDescent="0.2">
      <c r="A231" s="150">
        <v>36161</v>
      </c>
      <c r="B231" s="149">
        <v>34.068899999999999</v>
      </c>
    </row>
    <row r="232" spans="1:3" x14ac:dyDescent="0.2">
      <c r="A232" s="150">
        <v>36192</v>
      </c>
      <c r="B232" s="149">
        <v>34.426659999999998</v>
      </c>
    </row>
    <row r="233" spans="1:3" x14ac:dyDescent="0.2">
      <c r="A233" s="150">
        <v>36220</v>
      </c>
      <c r="B233" s="149">
        <v>34.805300000000003</v>
      </c>
    </row>
    <row r="234" spans="1:3" x14ac:dyDescent="0.2">
      <c r="A234" s="150">
        <v>36251</v>
      </c>
      <c r="B234" s="149">
        <v>35.000190000000003</v>
      </c>
    </row>
    <row r="235" spans="1:3" x14ac:dyDescent="0.2">
      <c r="A235" s="150">
        <v>36281</v>
      </c>
      <c r="B235" s="149">
        <v>35.105289999999997</v>
      </c>
      <c r="C235" s="149"/>
    </row>
    <row r="236" spans="1:3" x14ac:dyDescent="0.2">
      <c r="A236" s="150">
        <v>36312</v>
      </c>
      <c r="B236" s="149">
        <v>35.171880000000002</v>
      </c>
    </row>
    <row r="237" spans="1:3" x14ac:dyDescent="0.2">
      <c r="A237" s="150">
        <v>36342</v>
      </c>
      <c r="B237" s="149">
        <v>35.555160000000001</v>
      </c>
    </row>
    <row r="238" spans="1:3" x14ac:dyDescent="0.2">
      <c r="A238" s="150">
        <v>36373</v>
      </c>
      <c r="B238" s="149">
        <v>35.75423</v>
      </c>
    </row>
    <row r="239" spans="1:3" x14ac:dyDescent="0.2">
      <c r="A239" s="150">
        <v>36404</v>
      </c>
      <c r="B239" s="149">
        <v>35.865139999999997</v>
      </c>
    </row>
    <row r="240" spans="1:3" x14ac:dyDescent="0.2">
      <c r="A240" s="150">
        <v>36434</v>
      </c>
      <c r="B240" s="149">
        <v>36.292029999999997</v>
      </c>
    </row>
    <row r="241" spans="1:3" x14ac:dyDescent="0.2">
      <c r="A241" s="150">
        <v>36465</v>
      </c>
      <c r="B241" s="149">
        <v>36.636809999999997</v>
      </c>
    </row>
    <row r="242" spans="1:3" x14ac:dyDescent="0.2">
      <c r="A242" s="150">
        <v>36495</v>
      </c>
      <c r="B242" s="149">
        <v>36.856520000000003</v>
      </c>
    </row>
    <row r="243" spans="1:3" x14ac:dyDescent="0.2">
      <c r="A243" s="150">
        <v>36526</v>
      </c>
      <c r="B243" s="149">
        <v>37.085050000000003</v>
      </c>
    </row>
    <row r="244" spans="1:3" x14ac:dyDescent="0.2">
      <c r="A244" s="150">
        <v>36557</v>
      </c>
      <c r="B244" s="149">
        <v>37.133309999999987</v>
      </c>
    </row>
    <row r="245" spans="1:3" x14ac:dyDescent="0.2">
      <c r="A245" s="150">
        <v>36586</v>
      </c>
      <c r="B245" s="149">
        <v>37.214979999999997</v>
      </c>
    </row>
    <row r="246" spans="1:3" x14ac:dyDescent="0.2">
      <c r="A246" s="150">
        <v>36617</v>
      </c>
      <c r="B246" s="149">
        <v>37.371360000000003</v>
      </c>
    </row>
    <row r="247" spans="1:3" x14ac:dyDescent="0.2">
      <c r="A247" s="150">
        <v>36647</v>
      </c>
      <c r="B247" s="149">
        <v>37.375070000000001</v>
      </c>
    </row>
    <row r="248" spans="1:3" x14ac:dyDescent="0.2">
      <c r="A248" s="150">
        <v>36678</v>
      </c>
      <c r="B248" s="149">
        <v>37.46114</v>
      </c>
      <c r="C248" s="149"/>
    </row>
    <row r="249" spans="1:3" x14ac:dyDescent="0.2">
      <c r="A249" s="150">
        <v>36708</v>
      </c>
      <c r="B249" s="149">
        <v>38.06438</v>
      </c>
    </row>
    <row r="250" spans="1:3" x14ac:dyDescent="0.2">
      <c r="A250" s="150">
        <v>36739</v>
      </c>
      <c r="B250" s="149">
        <v>38.56297</v>
      </c>
    </row>
    <row r="251" spans="1:3" x14ac:dyDescent="0.2">
      <c r="A251" s="150">
        <v>36770</v>
      </c>
      <c r="B251" s="149">
        <v>38.651600000000002</v>
      </c>
    </row>
    <row r="252" spans="1:3" x14ac:dyDescent="0.2">
      <c r="A252" s="150">
        <v>36800</v>
      </c>
      <c r="B252" s="149">
        <v>38.705659999999988</v>
      </c>
    </row>
    <row r="253" spans="1:3" x14ac:dyDescent="0.2">
      <c r="A253" s="150">
        <v>36831</v>
      </c>
      <c r="B253" s="149">
        <v>38.829549999999998</v>
      </c>
    </row>
    <row r="254" spans="1:3" x14ac:dyDescent="0.2">
      <c r="A254" s="150">
        <v>36861</v>
      </c>
      <c r="B254" s="149">
        <v>39.058549999999997</v>
      </c>
    </row>
    <row r="255" spans="1:3" x14ac:dyDescent="0.2">
      <c r="A255" s="150">
        <v>36892</v>
      </c>
      <c r="B255" s="149">
        <v>39.281280000000002</v>
      </c>
    </row>
    <row r="256" spans="1:3" x14ac:dyDescent="0.2">
      <c r="A256" s="150">
        <v>36923</v>
      </c>
      <c r="B256" s="149">
        <v>39.462020000000003</v>
      </c>
    </row>
    <row r="257" spans="1:3" x14ac:dyDescent="0.2">
      <c r="A257" s="150">
        <v>36951</v>
      </c>
      <c r="B257" s="149">
        <v>39.611899999999999</v>
      </c>
    </row>
    <row r="258" spans="1:3" x14ac:dyDescent="0.2">
      <c r="A258" s="150">
        <v>36982</v>
      </c>
      <c r="B258" s="149">
        <v>39.841589999999997</v>
      </c>
    </row>
    <row r="259" spans="1:3" x14ac:dyDescent="0.2">
      <c r="A259" s="150">
        <v>37012</v>
      </c>
      <c r="B259" s="149">
        <v>40.004919999999998</v>
      </c>
    </row>
    <row r="260" spans="1:3" x14ac:dyDescent="0.2">
      <c r="A260" s="150">
        <v>37043</v>
      </c>
      <c r="B260" s="149">
        <v>40.213039999999999</v>
      </c>
    </row>
    <row r="261" spans="1:3" x14ac:dyDescent="0.2">
      <c r="A261" s="150">
        <v>37073</v>
      </c>
      <c r="B261" s="149">
        <v>40.74783</v>
      </c>
      <c r="C261" s="149"/>
    </row>
    <row r="262" spans="1:3" x14ac:dyDescent="0.2">
      <c r="A262" s="150">
        <v>37104</v>
      </c>
      <c r="B262" s="149">
        <v>41.032969999999999</v>
      </c>
    </row>
    <row r="263" spans="1:3" x14ac:dyDescent="0.2">
      <c r="A263" s="150">
        <v>37135</v>
      </c>
      <c r="B263" s="149">
        <v>41.147820000000003</v>
      </c>
    </row>
    <row r="264" spans="1:3" x14ac:dyDescent="0.2">
      <c r="A264" s="150">
        <v>37165</v>
      </c>
      <c r="B264" s="149">
        <v>41.489340000000013</v>
      </c>
    </row>
    <row r="265" spans="1:3" x14ac:dyDescent="0.2">
      <c r="A265" s="150">
        <v>37196</v>
      </c>
      <c r="B265" s="149">
        <v>41.783999999999999</v>
      </c>
    </row>
    <row r="266" spans="1:3" x14ac:dyDescent="0.2">
      <c r="A266" s="150">
        <v>37226</v>
      </c>
      <c r="B266" s="149">
        <v>42.055680000000002</v>
      </c>
    </row>
    <row r="267" spans="1:3" x14ac:dyDescent="0.2">
      <c r="A267" s="150">
        <v>37257</v>
      </c>
      <c r="B267" s="149">
        <v>42.274470000000001</v>
      </c>
    </row>
    <row r="268" spans="1:3" x14ac:dyDescent="0.2">
      <c r="A268" s="150">
        <v>37288</v>
      </c>
      <c r="B268" s="149">
        <v>42.426670000000001</v>
      </c>
    </row>
    <row r="269" spans="1:3" x14ac:dyDescent="0.2">
      <c r="A269" s="150">
        <v>37316</v>
      </c>
      <c r="B269" s="149">
        <v>42.681190000000001</v>
      </c>
    </row>
    <row r="270" spans="1:3" x14ac:dyDescent="0.2">
      <c r="A270" s="150">
        <v>37347</v>
      </c>
      <c r="B270" s="149">
        <v>43.022709999999996</v>
      </c>
    </row>
    <row r="271" spans="1:3" x14ac:dyDescent="0.2">
      <c r="A271" s="150">
        <v>37377</v>
      </c>
      <c r="B271" s="149">
        <v>43.112960000000001</v>
      </c>
    </row>
    <row r="272" spans="1:3" x14ac:dyDescent="0.2">
      <c r="A272" s="150">
        <v>37408</v>
      </c>
      <c r="B272" s="149">
        <v>43.293930000000003</v>
      </c>
    </row>
    <row r="273" spans="1:3" x14ac:dyDescent="0.2">
      <c r="A273" s="150">
        <v>37438</v>
      </c>
      <c r="B273" s="149">
        <v>43.809229999999999</v>
      </c>
    </row>
    <row r="274" spans="1:3" x14ac:dyDescent="0.2">
      <c r="A274" s="150">
        <v>37469</v>
      </c>
      <c r="B274" s="149">
        <v>44.093910000000001</v>
      </c>
      <c r="C274" s="149"/>
    </row>
    <row r="275" spans="1:3" x14ac:dyDescent="0.2">
      <c r="A275" s="150">
        <v>37500</v>
      </c>
      <c r="B275" s="149">
        <v>44.411299999999997</v>
      </c>
    </row>
    <row r="276" spans="1:3" x14ac:dyDescent="0.2">
      <c r="A276" s="150">
        <v>37530</v>
      </c>
      <c r="B276" s="149">
        <v>44.993190000000013</v>
      </c>
    </row>
    <row r="277" spans="1:3" x14ac:dyDescent="0.2">
      <c r="A277" s="150">
        <v>37561</v>
      </c>
      <c r="B277" s="149">
        <v>46.352080000000001</v>
      </c>
    </row>
    <row r="278" spans="1:3" x14ac:dyDescent="0.2">
      <c r="A278" s="150">
        <v>37591</v>
      </c>
      <c r="B278" s="149">
        <v>47.325369999999999</v>
      </c>
    </row>
    <row r="279" spans="1:3" x14ac:dyDescent="0.2">
      <c r="A279" s="150">
        <v>37622</v>
      </c>
      <c r="B279" s="149">
        <v>48.390309999999999</v>
      </c>
    </row>
    <row r="280" spans="1:3" x14ac:dyDescent="0.2">
      <c r="A280" s="150">
        <v>37653</v>
      </c>
      <c r="B280" s="149">
        <v>49.150149999999996</v>
      </c>
    </row>
    <row r="281" spans="1:3" x14ac:dyDescent="0.2">
      <c r="A281" s="150">
        <v>37681</v>
      </c>
      <c r="B281" s="149">
        <v>49.754770000000001</v>
      </c>
    </row>
    <row r="282" spans="1:3" x14ac:dyDescent="0.2">
      <c r="A282" s="150">
        <v>37712</v>
      </c>
      <c r="B282" s="149">
        <v>50.237360000000002</v>
      </c>
    </row>
    <row r="283" spans="1:3" x14ac:dyDescent="0.2">
      <c r="A283" s="150">
        <v>37742</v>
      </c>
      <c r="B283" s="149">
        <v>50.543849999999999</v>
      </c>
    </row>
    <row r="284" spans="1:3" x14ac:dyDescent="0.2">
      <c r="A284" s="150">
        <v>37773</v>
      </c>
      <c r="B284" s="149">
        <v>50.467979999999997</v>
      </c>
    </row>
    <row r="285" spans="1:3" x14ac:dyDescent="0.2">
      <c r="A285" s="150">
        <v>37803</v>
      </c>
      <c r="B285" s="149">
        <v>50.568899999999999</v>
      </c>
    </row>
    <row r="286" spans="1:3" x14ac:dyDescent="0.2">
      <c r="A286" s="150">
        <v>37834</v>
      </c>
      <c r="B286" s="149">
        <v>50.740830000000003</v>
      </c>
    </row>
    <row r="287" spans="1:3" x14ac:dyDescent="0.2">
      <c r="A287" s="150">
        <v>37865</v>
      </c>
      <c r="B287" s="149">
        <v>51.13664</v>
      </c>
      <c r="C287" s="149"/>
    </row>
    <row r="288" spans="1:3" x14ac:dyDescent="0.2">
      <c r="A288" s="150">
        <v>37895</v>
      </c>
      <c r="B288" s="149">
        <v>51.284889999999997</v>
      </c>
    </row>
    <row r="289" spans="1:3" x14ac:dyDescent="0.2">
      <c r="A289" s="150">
        <v>37926</v>
      </c>
      <c r="B289" s="149">
        <v>51.45937</v>
      </c>
    </row>
    <row r="290" spans="1:3" x14ac:dyDescent="0.2">
      <c r="A290" s="150">
        <v>37956</v>
      </c>
      <c r="B290" s="149">
        <v>51.726880000000001</v>
      </c>
    </row>
    <row r="291" spans="1:3" x14ac:dyDescent="0.2">
      <c r="A291" s="150">
        <v>37987</v>
      </c>
      <c r="B291" s="149">
        <v>52.119900000000001</v>
      </c>
    </row>
    <row r="292" spans="1:3" x14ac:dyDescent="0.2">
      <c r="A292" s="150">
        <v>38018</v>
      </c>
      <c r="B292" s="149">
        <v>52.437759999999997</v>
      </c>
    </row>
    <row r="293" spans="1:3" x14ac:dyDescent="0.2">
      <c r="A293" s="150">
        <v>38047</v>
      </c>
      <c r="B293" s="149">
        <v>52.684159999999999</v>
      </c>
    </row>
    <row r="294" spans="1:3" x14ac:dyDescent="0.2">
      <c r="A294" s="150">
        <v>38078</v>
      </c>
      <c r="B294" s="149">
        <v>52.879049999999999</v>
      </c>
    </row>
    <row r="295" spans="1:3" x14ac:dyDescent="0.2">
      <c r="A295" s="150">
        <v>38108</v>
      </c>
      <c r="B295" s="149">
        <v>53.148650000000004</v>
      </c>
    </row>
    <row r="296" spans="1:3" x14ac:dyDescent="0.2">
      <c r="A296" s="150">
        <v>38139</v>
      </c>
      <c r="B296" s="149">
        <v>53.5259</v>
      </c>
    </row>
    <row r="297" spans="1:3" x14ac:dyDescent="0.2">
      <c r="A297" s="150">
        <v>38169</v>
      </c>
      <c r="B297" s="149">
        <v>54.012890000000013</v>
      </c>
    </row>
    <row r="298" spans="1:3" x14ac:dyDescent="0.2">
      <c r="A298" s="150">
        <v>38200</v>
      </c>
      <c r="B298" s="149">
        <v>54.3855</v>
      </c>
    </row>
    <row r="299" spans="1:3" x14ac:dyDescent="0.2">
      <c r="A299" s="150">
        <v>38231</v>
      </c>
      <c r="B299" s="149">
        <v>54.565080000000002</v>
      </c>
    </row>
    <row r="300" spans="1:3" x14ac:dyDescent="0.2">
      <c r="A300" s="150">
        <v>38261</v>
      </c>
      <c r="B300" s="149">
        <v>54.805210000000002</v>
      </c>
      <c r="C300" s="149"/>
    </row>
    <row r="301" spans="1:3" x14ac:dyDescent="0.2">
      <c r="A301" s="150">
        <v>38292</v>
      </c>
      <c r="B301" s="149">
        <v>55.183390000000003</v>
      </c>
    </row>
    <row r="302" spans="1:3" x14ac:dyDescent="0.2">
      <c r="A302" s="150">
        <v>38322</v>
      </c>
      <c r="B302" s="149">
        <v>55.657859999999999</v>
      </c>
    </row>
    <row r="303" spans="1:3" x14ac:dyDescent="0.2">
      <c r="A303" s="150">
        <v>38353</v>
      </c>
      <c r="B303" s="149">
        <v>55.980589999999999</v>
      </c>
    </row>
    <row r="304" spans="1:3" x14ac:dyDescent="0.2">
      <c r="A304" s="150">
        <v>38384</v>
      </c>
      <c r="B304" s="149">
        <v>56.310969999999998</v>
      </c>
    </row>
    <row r="305" spans="1:3" x14ac:dyDescent="0.2">
      <c r="A305" s="150">
        <v>38412</v>
      </c>
      <c r="B305" s="149">
        <v>56.654350000000001</v>
      </c>
    </row>
    <row r="306" spans="1:3" x14ac:dyDescent="0.2">
      <c r="A306" s="150">
        <v>38443</v>
      </c>
      <c r="B306" s="149">
        <v>57.14714</v>
      </c>
    </row>
    <row r="307" spans="1:3" x14ac:dyDescent="0.2">
      <c r="A307" s="150">
        <v>38473</v>
      </c>
      <c r="B307" s="149">
        <v>57.427180000000007</v>
      </c>
    </row>
    <row r="308" spans="1:3" x14ac:dyDescent="0.2">
      <c r="A308" s="150">
        <v>38504</v>
      </c>
      <c r="B308" s="149">
        <v>57.415580000000013</v>
      </c>
    </row>
    <row r="309" spans="1:3" x14ac:dyDescent="0.2">
      <c r="A309" s="150">
        <v>38534</v>
      </c>
      <c r="B309" s="149">
        <v>57.559199999999997</v>
      </c>
    </row>
    <row r="310" spans="1:3" x14ac:dyDescent="0.2">
      <c r="A310" s="150">
        <v>38565</v>
      </c>
      <c r="B310" s="149">
        <v>57.657110000000003</v>
      </c>
    </row>
    <row r="311" spans="1:3" x14ac:dyDescent="0.2">
      <c r="A311" s="150">
        <v>38596</v>
      </c>
      <c r="B311" s="149">
        <v>57.858960000000003</v>
      </c>
    </row>
    <row r="312" spans="1:3" x14ac:dyDescent="0.2">
      <c r="A312" s="150">
        <v>38626</v>
      </c>
      <c r="B312" s="149">
        <v>58.292819999999992</v>
      </c>
    </row>
    <row r="313" spans="1:3" x14ac:dyDescent="0.2">
      <c r="A313" s="150">
        <v>38657</v>
      </c>
      <c r="B313" s="149">
        <v>58.613460000000003</v>
      </c>
      <c r="C313" s="149"/>
    </row>
    <row r="314" spans="1:3" x14ac:dyDescent="0.2">
      <c r="A314" s="150">
        <v>38687</v>
      </c>
      <c r="B314" s="149">
        <v>58.824359999999999</v>
      </c>
    </row>
    <row r="315" spans="1:3" x14ac:dyDescent="0.2">
      <c r="A315" s="150">
        <v>38718</v>
      </c>
      <c r="B315" s="149">
        <v>59.17145</v>
      </c>
    </row>
    <row r="316" spans="1:3" x14ac:dyDescent="0.2">
      <c r="A316" s="150">
        <v>38749</v>
      </c>
      <c r="B316" s="149">
        <v>59.414130000000007</v>
      </c>
    </row>
    <row r="317" spans="1:3" x14ac:dyDescent="0.2">
      <c r="A317" s="150">
        <v>38777</v>
      </c>
      <c r="B317" s="149">
        <v>59.669580000000003</v>
      </c>
    </row>
    <row r="318" spans="1:3" x14ac:dyDescent="0.2">
      <c r="A318" s="150">
        <v>38808</v>
      </c>
      <c r="B318" s="149">
        <v>59.79486</v>
      </c>
    </row>
    <row r="319" spans="1:3" x14ac:dyDescent="0.2">
      <c r="A319" s="150">
        <v>38838</v>
      </c>
      <c r="B319" s="149">
        <v>59.854719999999993</v>
      </c>
    </row>
    <row r="320" spans="1:3" x14ac:dyDescent="0.2">
      <c r="A320" s="150">
        <v>38869</v>
      </c>
      <c r="B320" s="149">
        <v>59.728969999999997</v>
      </c>
    </row>
    <row r="321" spans="1:3" x14ac:dyDescent="0.2">
      <c r="A321" s="150">
        <v>38899</v>
      </c>
      <c r="B321" s="149">
        <v>59.842430000000007</v>
      </c>
    </row>
    <row r="322" spans="1:3" x14ac:dyDescent="0.2">
      <c r="A322" s="150">
        <v>38930</v>
      </c>
      <c r="B322" s="149">
        <v>59.87236</v>
      </c>
    </row>
    <row r="323" spans="1:3" x14ac:dyDescent="0.2">
      <c r="A323" s="150">
        <v>38961</v>
      </c>
      <c r="B323" s="149">
        <v>59.998109999999997</v>
      </c>
    </row>
    <row r="324" spans="1:3" x14ac:dyDescent="0.2">
      <c r="A324" s="150">
        <v>38991</v>
      </c>
      <c r="B324" s="149">
        <v>60.196010000000001</v>
      </c>
    </row>
    <row r="325" spans="1:3" x14ac:dyDescent="0.2">
      <c r="A325" s="150">
        <v>39022</v>
      </c>
      <c r="B325" s="149">
        <v>60.382550000000002</v>
      </c>
    </row>
    <row r="326" spans="1:3" x14ac:dyDescent="0.2">
      <c r="A326" s="150">
        <v>39052</v>
      </c>
      <c r="B326" s="149">
        <v>60.672340000000013</v>
      </c>
      <c r="C326" s="149"/>
    </row>
    <row r="327" spans="1:3" x14ac:dyDescent="0.2">
      <c r="A327" s="150">
        <v>39083</v>
      </c>
      <c r="B327" s="149">
        <v>60.939380000000007</v>
      </c>
    </row>
    <row r="328" spans="1:3" x14ac:dyDescent="0.2">
      <c r="A328" s="150">
        <v>39114</v>
      </c>
      <c r="B328" s="149">
        <v>61.207590000000003</v>
      </c>
    </row>
    <row r="329" spans="1:3" x14ac:dyDescent="0.2">
      <c r="A329" s="150">
        <v>39142</v>
      </c>
      <c r="B329" s="149">
        <v>61.434030000000007</v>
      </c>
    </row>
    <row r="330" spans="1:3" x14ac:dyDescent="0.2">
      <c r="A330" s="150">
        <v>39173</v>
      </c>
      <c r="B330" s="149">
        <v>61.587619999999987</v>
      </c>
    </row>
    <row r="331" spans="1:3" x14ac:dyDescent="0.2">
      <c r="A331" s="150">
        <v>39203</v>
      </c>
      <c r="B331" s="149">
        <v>61.760010000000001</v>
      </c>
    </row>
    <row r="332" spans="1:3" x14ac:dyDescent="0.2">
      <c r="A332" s="150">
        <v>39234</v>
      </c>
      <c r="B332" s="149">
        <v>61.932859999999998</v>
      </c>
    </row>
    <row r="333" spans="1:3" x14ac:dyDescent="0.2">
      <c r="A333" s="150">
        <v>39264</v>
      </c>
      <c r="B333" s="149">
        <v>62.081580000000002</v>
      </c>
    </row>
    <row r="334" spans="1:3" x14ac:dyDescent="0.2">
      <c r="A334" s="150">
        <v>39295</v>
      </c>
      <c r="B334" s="149">
        <v>62.373449999999998</v>
      </c>
    </row>
    <row r="335" spans="1:3" x14ac:dyDescent="0.2">
      <c r="A335" s="150">
        <v>39326</v>
      </c>
      <c r="B335" s="149">
        <v>62.48574</v>
      </c>
    </row>
    <row r="336" spans="1:3" x14ac:dyDescent="0.2">
      <c r="A336" s="150">
        <v>39356</v>
      </c>
      <c r="B336" s="149">
        <v>62.673209999999997</v>
      </c>
    </row>
    <row r="337" spans="1:3" x14ac:dyDescent="0.2">
      <c r="A337" s="150">
        <v>39387</v>
      </c>
      <c r="B337" s="149">
        <v>62.911250000000003</v>
      </c>
    </row>
    <row r="338" spans="1:3" x14ac:dyDescent="0.2">
      <c r="A338" s="150">
        <v>39417</v>
      </c>
      <c r="B338" s="149">
        <v>63.376899999999999</v>
      </c>
    </row>
    <row r="339" spans="1:3" x14ac:dyDescent="0.2">
      <c r="A339" s="150">
        <v>39448</v>
      </c>
      <c r="B339" s="149">
        <v>63.719119999999997</v>
      </c>
      <c r="C339" s="149"/>
    </row>
    <row r="340" spans="1:3" x14ac:dyDescent="0.2">
      <c r="A340" s="150">
        <v>39479</v>
      </c>
      <c r="B340" s="149">
        <v>64.031409999999994</v>
      </c>
    </row>
    <row r="341" spans="1:3" x14ac:dyDescent="0.2">
      <c r="A341" s="150">
        <v>39508</v>
      </c>
      <c r="B341" s="149">
        <v>64.338819999999998</v>
      </c>
    </row>
    <row r="342" spans="1:3" x14ac:dyDescent="0.2">
      <c r="A342" s="150">
        <v>39539</v>
      </c>
      <c r="B342" s="149">
        <v>64.692639999999997</v>
      </c>
    </row>
    <row r="343" spans="1:3" x14ac:dyDescent="0.2">
      <c r="A343" s="150">
        <v>39569</v>
      </c>
      <c r="B343" s="149">
        <v>65.203769999999992</v>
      </c>
    </row>
    <row r="344" spans="1:3" x14ac:dyDescent="0.2">
      <c r="A344" s="150">
        <v>39600</v>
      </c>
      <c r="B344" s="149">
        <v>65.686350000000004</v>
      </c>
    </row>
    <row r="345" spans="1:3" x14ac:dyDescent="0.2">
      <c r="A345" s="150">
        <v>39630</v>
      </c>
      <c r="B345" s="149">
        <v>66.034369999999996</v>
      </c>
    </row>
    <row r="346" spans="1:3" x14ac:dyDescent="0.2">
      <c r="A346" s="150">
        <v>39661</v>
      </c>
      <c r="B346" s="149">
        <v>66.219279999999998</v>
      </c>
    </row>
    <row r="347" spans="1:3" x14ac:dyDescent="0.2">
      <c r="A347" s="150">
        <v>39692</v>
      </c>
      <c r="B347" s="149">
        <v>66.39143</v>
      </c>
    </row>
    <row r="348" spans="1:3" x14ac:dyDescent="0.2">
      <c r="A348" s="150">
        <v>39722</v>
      </c>
      <c r="B348" s="149">
        <v>66.690269999999998</v>
      </c>
    </row>
    <row r="349" spans="1:3" x14ac:dyDescent="0.2">
      <c r="A349" s="150">
        <v>39753</v>
      </c>
      <c r="B349" s="149">
        <v>66.930400000000006</v>
      </c>
    </row>
    <row r="350" spans="1:3" x14ac:dyDescent="0.2">
      <c r="A350" s="150">
        <v>39783</v>
      </c>
      <c r="B350" s="149">
        <v>67.117869999999996</v>
      </c>
    </row>
    <row r="351" spans="1:3" x14ac:dyDescent="0.2">
      <c r="A351" s="150">
        <v>39814</v>
      </c>
      <c r="B351" s="149">
        <v>67.439899999999994</v>
      </c>
    </row>
    <row r="352" spans="1:3" x14ac:dyDescent="0.2">
      <c r="A352" s="150">
        <v>39845</v>
      </c>
      <c r="B352" s="149">
        <v>67.810880000000012</v>
      </c>
      <c r="C352" s="149"/>
    </row>
    <row r="353" spans="1:3" x14ac:dyDescent="0.2">
      <c r="A353" s="150">
        <v>39873</v>
      </c>
      <c r="B353" s="149">
        <v>67.946380000000005</v>
      </c>
    </row>
    <row r="354" spans="1:3" x14ac:dyDescent="0.2">
      <c r="A354" s="150">
        <v>39904</v>
      </c>
      <c r="B354" s="149">
        <v>68.272590000000008</v>
      </c>
    </row>
    <row r="355" spans="1:3" x14ac:dyDescent="0.2">
      <c r="A355" s="150">
        <v>39934</v>
      </c>
      <c r="B355" s="149">
        <v>68.593459999999993</v>
      </c>
    </row>
    <row r="356" spans="1:3" x14ac:dyDescent="0.2">
      <c r="A356" s="150">
        <v>39965</v>
      </c>
      <c r="B356" s="149">
        <v>68.840319999999991</v>
      </c>
    </row>
    <row r="357" spans="1:3" x14ac:dyDescent="0.2">
      <c r="A357" s="150">
        <v>39995</v>
      </c>
      <c r="B357" s="149">
        <v>69.00551999999999</v>
      </c>
    </row>
    <row r="358" spans="1:3" x14ac:dyDescent="0.2">
      <c r="A358" s="150">
        <v>40026</v>
      </c>
      <c r="B358" s="149">
        <v>69.108990000000006</v>
      </c>
    </row>
    <row r="359" spans="1:3" x14ac:dyDescent="0.2">
      <c r="A359" s="150">
        <v>40057</v>
      </c>
      <c r="B359" s="149">
        <v>69.27488000000001</v>
      </c>
    </row>
    <row r="360" spans="1:3" x14ac:dyDescent="0.2">
      <c r="A360" s="150">
        <v>40087</v>
      </c>
      <c r="B360" s="149">
        <v>69.46884</v>
      </c>
    </row>
    <row r="361" spans="1:3" x14ac:dyDescent="0.2">
      <c r="A361" s="150">
        <v>40118</v>
      </c>
      <c r="B361" s="149">
        <v>69.753749999999997</v>
      </c>
    </row>
    <row r="362" spans="1:3" x14ac:dyDescent="0.2">
      <c r="A362" s="150">
        <v>40148</v>
      </c>
      <c r="B362" s="149">
        <v>70.011759999999995</v>
      </c>
    </row>
    <row r="363" spans="1:3" x14ac:dyDescent="0.2">
      <c r="A363" s="150">
        <v>40179</v>
      </c>
      <c r="B363" s="149">
        <v>70.536799999999999</v>
      </c>
    </row>
    <row r="364" spans="1:3" x14ac:dyDescent="0.2">
      <c r="A364" s="150">
        <v>40210</v>
      </c>
      <c r="B364" s="149">
        <v>71.0869</v>
      </c>
    </row>
    <row r="365" spans="1:3" x14ac:dyDescent="0.2">
      <c r="A365" s="150">
        <v>40238</v>
      </c>
      <c r="B365" s="149">
        <v>71.456490000000002</v>
      </c>
      <c r="C365" s="149"/>
    </row>
    <row r="366" spans="1:3" x14ac:dyDescent="0.2">
      <c r="A366" s="150">
        <v>40269</v>
      </c>
      <c r="B366" s="149">
        <v>71.863910000000004</v>
      </c>
    </row>
    <row r="367" spans="1:3" x14ac:dyDescent="0.2">
      <c r="A367" s="150">
        <v>40299</v>
      </c>
      <c r="B367" s="149">
        <v>72.172939999999997</v>
      </c>
    </row>
    <row r="368" spans="1:3" x14ac:dyDescent="0.2">
      <c r="A368" s="150">
        <v>40330</v>
      </c>
      <c r="B368" s="149">
        <v>72.172939999999997</v>
      </c>
    </row>
    <row r="369" spans="1:3" x14ac:dyDescent="0.2">
      <c r="A369" s="150">
        <v>40360</v>
      </c>
      <c r="B369" s="149">
        <v>72.180140000000023</v>
      </c>
    </row>
    <row r="370" spans="1:3" x14ac:dyDescent="0.2">
      <c r="A370" s="150">
        <v>40391</v>
      </c>
      <c r="B370" s="149">
        <v>72.208910000000003</v>
      </c>
    </row>
    <row r="371" spans="1:3" x14ac:dyDescent="0.2">
      <c r="A371" s="150">
        <v>40422</v>
      </c>
      <c r="B371" s="149">
        <v>72.533720000000002</v>
      </c>
    </row>
    <row r="372" spans="1:3" x14ac:dyDescent="0.2">
      <c r="A372" s="150">
        <v>40452</v>
      </c>
      <c r="B372" s="149">
        <v>73.077799999999996</v>
      </c>
    </row>
    <row r="373" spans="1:3" x14ac:dyDescent="0.2">
      <c r="A373" s="150">
        <v>40483</v>
      </c>
      <c r="B373" s="149">
        <v>73.684269999999998</v>
      </c>
    </row>
    <row r="374" spans="1:3" x14ac:dyDescent="0.2">
      <c r="A374" s="150">
        <v>40513</v>
      </c>
      <c r="B374" s="149">
        <v>74.148530000000022</v>
      </c>
      <c r="C374" s="153">
        <f>AVERAGE(B363:B374)</f>
        <v>72.260279166666677</v>
      </c>
    </row>
    <row r="375" spans="1:3" x14ac:dyDescent="0.2">
      <c r="A375" s="150">
        <v>40544</v>
      </c>
      <c r="B375" s="149">
        <v>74.764060000000001</v>
      </c>
    </row>
    <row r="376" spans="1:3" x14ac:dyDescent="0.2">
      <c r="A376" s="150">
        <v>40575</v>
      </c>
      <c r="B376" s="149">
        <v>75.362180000000009</v>
      </c>
    </row>
    <row r="377" spans="1:3" x14ac:dyDescent="0.2">
      <c r="A377" s="150">
        <v>40603</v>
      </c>
      <c r="B377" s="149">
        <v>75.957530000000006</v>
      </c>
    </row>
    <row r="378" spans="1:3" x14ac:dyDescent="0.2">
      <c r="A378" s="150">
        <v>40634</v>
      </c>
      <c r="B378" s="149">
        <v>76.54243000000001</v>
      </c>
      <c r="C378" s="149"/>
    </row>
    <row r="379" spans="1:3" x14ac:dyDescent="0.2">
      <c r="A379" s="150">
        <v>40664</v>
      </c>
      <c r="B379" s="149">
        <v>76.902280000000005</v>
      </c>
    </row>
    <row r="380" spans="1:3" x14ac:dyDescent="0.2">
      <c r="A380" s="150">
        <v>40695</v>
      </c>
      <c r="B380" s="149">
        <v>77.017589999999998</v>
      </c>
    </row>
    <row r="381" spans="1:3" x14ac:dyDescent="0.2">
      <c r="A381" s="150">
        <v>40725</v>
      </c>
      <c r="B381" s="149">
        <v>77.140789999999996</v>
      </c>
    </row>
    <row r="382" spans="1:3" x14ac:dyDescent="0.2">
      <c r="A382" s="150">
        <v>40756</v>
      </c>
      <c r="B382" s="149">
        <v>77.426159999999996</v>
      </c>
    </row>
    <row r="383" spans="1:3" x14ac:dyDescent="0.2">
      <c r="A383" s="150">
        <v>40787</v>
      </c>
      <c r="B383" s="149">
        <v>77.836590000000001</v>
      </c>
    </row>
    <row r="384" spans="1:3" x14ac:dyDescent="0.2">
      <c r="A384" s="150">
        <v>40817</v>
      </c>
      <c r="B384" s="149">
        <v>78.171390000000002</v>
      </c>
    </row>
    <row r="385" spans="1:3" x14ac:dyDescent="0.2">
      <c r="A385" s="150">
        <v>40848</v>
      </c>
      <c r="B385" s="149">
        <v>78.57786999999999</v>
      </c>
    </row>
    <row r="386" spans="1:3" x14ac:dyDescent="0.2">
      <c r="A386" s="150">
        <v>40878</v>
      </c>
      <c r="B386" s="149">
        <v>78.970669999999998</v>
      </c>
      <c r="C386" s="153">
        <f>AVERAGE(B375:B386)</f>
        <v>77.055795000000003</v>
      </c>
    </row>
    <row r="387" spans="1:3" x14ac:dyDescent="0.2">
      <c r="A387" s="150">
        <v>40909</v>
      </c>
      <c r="B387" s="149">
        <v>79.412890000000004</v>
      </c>
    </row>
    <row r="388" spans="1:3" x14ac:dyDescent="0.2">
      <c r="A388" s="150">
        <v>40940</v>
      </c>
      <c r="B388" s="149">
        <v>79.770189999999999</v>
      </c>
    </row>
    <row r="389" spans="1:3" x14ac:dyDescent="0.2">
      <c r="A389" s="150">
        <v>40969</v>
      </c>
      <c r="B389" s="149">
        <v>79.937700000000007</v>
      </c>
    </row>
    <row r="390" spans="1:3" x14ac:dyDescent="0.2">
      <c r="A390" s="150">
        <v>41000</v>
      </c>
      <c r="B390" s="149">
        <v>80.449290000000005</v>
      </c>
    </row>
    <row r="391" spans="1:3" x14ac:dyDescent="0.2">
      <c r="A391" s="150">
        <v>41030</v>
      </c>
      <c r="B391" s="149">
        <v>80.738839999999996</v>
      </c>
      <c r="C391" s="149"/>
    </row>
    <row r="392" spans="1:3" x14ac:dyDescent="0.2">
      <c r="A392" s="150">
        <v>41061</v>
      </c>
      <c r="B392" s="149">
        <v>80.803340000000006</v>
      </c>
    </row>
    <row r="393" spans="1:3" x14ac:dyDescent="0.2">
      <c r="A393" s="150">
        <v>41091</v>
      </c>
      <c r="B393" s="149">
        <v>81.150890000000004</v>
      </c>
    </row>
    <row r="394" spans="1:3" x14ac:dyDescent="0.2">
      <c r="A394" s="150">
        <v>41122</v>
      </c>
      <c r="B394" s="149">
        <v>81.483599999999996</v>
      </c>
    </row>
    <row r="395" spans="1:3" x14ac:dyDescent="0.2">
      <c r="A395" s="150">
        <v>41153</v>
      </c>
      <c r="B395" s="149">
        <v>81.948080000000004</v>
      </c>
    </row>
    <row r="396" spans="1:3" x14ac:dyDescent="0.2">
      <c r="A396" s="150">
        <v>41183</v>
      </c>
      <c r="B396" s="149">
        <v>82.43159</v>
      </c>
    </row>
    <row r="397" spans="1:3" x14ac:dyDescent="0.2">
      <c r="A397" s="150">
        <v>41214</v>
      </c>
      <c r="B397" s="149">
        <v>82.926249999999996</v>
      </c>
    </row>
    <row r="398" spans="1:3" x14ac:dyDescent="0.2">
      <c r="A398" s="150">
        <v>41244</v>
      </c>
      <c r="B398" s="149">
        <v>83.581450000000004</v>
      </c>
      <c r="C398" s="153">
        <f>AVERAGE(B387:B398)</f>
        <v>81.219509166666668</v>
      </c>
    </row>
    <row r="399" spans="1:3" x14ac:dyDescent="0.2">
      <c r="A399" s="150">
        <v>41275</v>
      </c>
      <c r="B399" s="149">
        <v>84.300219999999996</v>
      </c>
    </row>
    <row r="400" spans="1:3" x14ac:dyDescent="0.2">
      <c r="A400" s="150">
        <v>41306</v>
      </c>
      <c r="B400" s="149">
        <v>84.806010000000001</v>
      </c>
    </row>
    <row r="401" spans="1:3" x14ac:dyDescent="0.2">
      <c r="A401" s="150">
        <v>41334</v>
      </c>
      <c r="B401" s="149">
        <v>85.204610000000002</v>
      </c>
    </row>
    <row r="402" spans="1:3" x14ac:dyDescent="0.2">
      <c r="A402" s="150">
        <v>41365</v>
      </c>
      <c r="B402" s="149">
        <v>85.673270000000002</v>
      </c>
    </row>
    <row r="403" spans="1:3" x14ac:dyDescent="0.2">
      <c r="A403" s="150">
        <v>41395</v>
      </c>
      <c r="B403" s="149">
        <v>85.990200000000002</v>
      </c>
    </row>
    <row r="404" spans="1:3" x14ac:dyDescent="0.2">
      <c r="A404" s="150">
        <v>41426</v>
      </c>
      <c r="B404" s="149">
        <v>86.213859999999997</v>
      </c>
      <c r="C404" s="149"/>
    </row>
    <row r="405" spans="1:3" x14ac:dyDescent="0.2">
      <c r="A405" s="150">
        <v>41456</v>
      </c>
      <c r="B405" s="149">
        <v>86.239609999999999</v>
      </c>
    </row>
    <row r="406" spans="1:3" x14ac:dyDescent="0.2">
      <c r="A406" s="150">
        <v>41487</v>
      </c>
      <c r="B406" s="149">
        <v>86.446559999999991</v>
      </c>
    </row>
    <row r="407" spans="1:3" x14ac:dyDescent="0.2">
      <c r="A407" s="150">
        <v>41518</v>
      </c>
      <c r="B407" s="149">
        <v>86.749110000000002</v>
      </c>
    </row>
    <row r="408" spans="1:3" x14ac:dyDescent="0.2">
      <c r="A408" s="150">
        <v>41548</v>
      </c>
      <c r="B408" s="149">
        <v>87.243530000000007</v>
      </c>
    </row>
    <row r="409" spans="1:3" x14ac:dyDescent="0.2">
      <c r="A409" s="150">
        <v>41579</v>
      </c>
      <c r="B409" s="149">
        <v>87.714740000000006</v>
      </c>
    </row>
    <row r="410" spans="1:3" x14ac:dyDescent="0.2">
      <c r="A410" s="150">
        <v>41609</v>
      </c>
      <c r="B410" s="149">
        <v>88.521680000000003</v>
      </c>
      <c r="C410" s="153">
        <f>AVERAGE(B399:B410)</f>
        <v>86.258616666666668</v>
      </c>
    </row>
    <row r="411" spans="1:3" x14ac:dyDescent="0.2">
      <c r="A411" s="150">
        <v>41640</v>
      </c>
      <c r="B411" s="149">
        <v>89.008449999999996</v>
      </c>
    </row>
    <row r="412" spans="1:3" x14ac:dyDescent="0.2">
      <c r="A412" s="150">
        <v>41671</v>
      </c>
      <c r="B412" s="149">
        <v>89.622579999999999</v>
      </c>
    </row>
    <row r="413" spans="1:3" x14ac:dyDescent="0.2">
      <c r="A413" s="150">
        <v>41699</v>
      </c>
      <c r="B413" s="149">
        <v>90.447149999999993</v>
      </c>
    </row>
    <row r="414" spans="1:3" x14ac:dyDescent="0.2">
      <c r="A414" s="150">
        <v>41730</v>
      </c>
      <c r="B414" s="149">
        <v>91.053169999999994</v>
      </c>
    </row>
    <row r="415" spans="1:3" x14ac:dyDescent="0.2">
      <c r="A415" s="150">
        <v>41760</v>
      </c>
      <c r="B415" s="149">
        <v>91.471950000000007</v>
      </c>
    </row>
    <row r="416" spans="1:3" x14ac:dyDescent="0.2">
      <c r="A416" s="150">
        <v>41791</v>
      </c>
      <c r="B416" s="149">
        <v>91.837829999999997</v>
      </c>
    </row>
    <row r="417" spans="1:3" x14ac:dyDescent="0.2">
      <c r="A417" s="150">
        <v>41821</v>
      </c>
      <c r="B417" s="149">
        <v>91.847110000000001</v>
      </c>
      <c r="C417" s="149"/>
    </row>
    <row r="418" spans="1:3" x14ac:dyDescent="0.2">
      <c r="A418" s="150">
        <v>41852</v>
      </c>
      <c r="B418" s="149">
        <v>92.076809999999995</v>
      </c>
    </row>
    <row r="419" spans="1:3" x14ac:dyDescent="0.2">
      <c r="A419" s="150">
        <v>41883</v>
      </c>
      <c r="B419" s="149">
        <v>92.601619999999997</v>
      </c>
    </row>
    <row r="420" spans="1:3" x14ac:dyDescent="0.2">
      <c r="A420" s="150">
        <v>41913</v>
      </c>
      <c r="B420" s="149">
        <v>92.990470000000002</v>
      </c>
    </row>
    <row r="421" spans="1:3" x14ac:dyDescent="0.2">
      <c r="A421" s="150">
        <v>41944</v>
      </c>
      <c r="B421" s="149">
        <v>93.464699999999993</v>
      </c>
    </row>
    <row r="422" spans="1:3" x14ac:dyDescent="0.2">
      <c r="A422" s="150">
        <v>41974</v>
      </c>
      <c r="B422" s="149">
        <v>94.193680000000001</v>
      </c>
      <c r="C422" s="153">
        <f>AVERAGE(B411:B422)</f>
        <v>91.717960000000005</v>
      </c>
    </row>
    <row r="423" spans="1:3" x14ac:dyDescent="0.2">
      <c r="A423" s="150">
        <v>42005</v>
      </c>
      <c r="B423" s="149">
        <v>95.361630000000005</v>
      </c>
    </row>
    <row r="424" spans="1:3" x14ac:dyDescent="0.2">
      <c r="A424" s="150">
        <v>42036</v>
      </c>
      <c r="B424" s="149">
        <v>96.524940000000001</v>
      </c>
    </row>
    <row r="425" spans="1:3" x14ac:dyDescent="0.2">
      <c r="A425" s="150">
        <v>42064</v>
      </c>
      <c r="B425" s="149">
        <v>97.799149999999997</v>
      </c>
    </row>
    <row r="426" spans="1:3" x14ac:dyDescent="0.2">
      <c r="A426" s="150">
        <v>42095</v>
      </c>
      <c r="B426" s="149">
        <v>98.493560000000002</v>
      </c>
    </row>
    <row r="427" spans="1:3" x14ac:dyDescent="0.2">
      <c r="A427" s="150">
        <v>42125</v>
      </c>
      <c r="B427" s="149">
        <v>99.222309999999993</v>
      </c>
    </row>
    <row r="428" spans="1:3" x14ac:dyDescent="0.2">
      <c r="A428" s="150">
        <v>42156</v>
      </c>
      <c r="B428" s="149">
        <v>100.0063</v>
      </c>
    </row>
    <row r="429" spans="1:3" x14ac:dyDescent="0.2">
      <c r="A429" s="150">
        <v>42186</v>
      </c>
      <c r="B429" s="149">
        <v>100.6262</v>
      </c>
    </row>
    <row r="430" spans="1:3" x14ac:dyDescent="0.2">
      <c r="A430" s="150">
        <v>42217</v>
      </c>
      <c r="B430" s="149">
        <v>100.8476</v>
      </c>
      <c r="C430" s="149"/>
    </row>
    <row r="431" spans="1:3" x14ac:dyDescent="0.2">
      <c r="A431" s="150">
        <v>42248</v>
      </c>
      <c r="B431" s="149">
        <v>101.3921</v>
      </c>
    </row>
    <row r="432" spans="1:3" x14ac:dyDescent="0.2">
      <c r="A432" s="150">
        <v>42278</v>
      </c>
      <c r="B432" s="149">
        <v>102.2234</v>
      </c>
    </row>
    <row r="433" spans="1:3" x14ac:dyDescent="0.2">
      <c r="A433" s="150">
        <v>42309</v>
      </c>
      <c r="B433" s="149">
        <v>103.25579999999999</v>
      </c>
    </row>
    <row r="434" spans="1:3" x14ac:dyDescent="0.2">
      <c r="A434" s="150">
        <v>42339</v>
      </c>
      <c r="B434" s="149">
        <v>104.247</v>
      </c>
      <c r="C434" s="153">
        <f>AVERAGE(B423:B434)</f>
        <v>99.999999166666669</v>
      </c>
    </row>
    <row r="435" spans="1:3" x14ac:dyDescent="0.2">
      <c r="A435" s="150">
        <v>42370</v>
      </c>
      <c r="B435" s="149">
        <v>105.57089999999999</v>
      </c>
    </row>
    <row r="436" spans="1:3" x14ac:dyDescent="0.2">
      <c r="A436" s="150">
        <v>42401</v>
      </c>
      <c r="B436" s="149">
        <v>106.521</v>
      </c>
    </row>
    <row r="437" spans="1:3" x14ac:dyDescent="0.2">
      <c r="A437" s="150">
        <v>42430</v>
      </c>
      <c r="B437" s="149">
        <v>106.9789</v>
      </c>
    </row>
    <row r="438" spans="1:3" x14ac:dyDescent="0.2">
      <c r="A438" s="150">
        <v>42461</v>
      </c>
      <c r="B438" s="149">
        <v>107.63160000000001</v>
      </c>
    </row>
    <row r="439" spans="1:3" x14ac:dyDescent="0.2">
      <c r="A439" s="150">
        <v>42491</v>
      </c>
      <c r="B439" s="149">
        <v>108.471</v>
      </c>
    </row>
    <row r="440" spans="1:3" x14ac:dyDescent="0.2">
      <c r="A440" s="150">
        <v>42522</v>
      </c>
      <c r="B440" s="149">
        <v>108.8506</v>
      </c>
    </row>
    <row r="441" spans="1:3" x14ac:dyDescent="0.2">
      <c r="A441" s="150">
        <v>42552</v>
      </c>
      <c r="B441" s="149">
        <v>109.41670000000001</v>
      </c>
    </row>
    <row r="442" spans="1:3" x14ac:dyDescent="0.2">
      <c r="A442" s="150">
        <v>42583</v>
      </c>
      <c r="B442" s="149">
        <v>109.8981</v>
      </c>
    </row>
    <row r="443" spans="1:3" x14ac:dyDescent="0.2">
      <c r="A443" s="150">
        <v>42614</v>
      </c>
      <c r="B443" s="149">
        <v>109.98609999999999</v>
      </c>
      <c r="C443" s="149"/>
    </row>
    <row r="444" spans="1:3" x14ac:dyDescent="0.2">
      <c r="A444" s="150">
        <v>42644</v>
      </c>
      <c r="B444" s="149">
        <v>110.27209999999999</v>
      </c>
    </row>
    <row r="445" spans="1:3" x14ac:dyDescent="0.2">
      <c r="A445" s="150">
        <v>42675</v>
      </c>
      <c r="B445" s="149">
        <v>110.47069999999999</v>
      </c>
    </row>
    <row r="446" spans="1:3" x14ac:dyDescent="0.2">
      <c r="A446" s="150">
        <v>42705</v>
      </c>
      <c r="B446" s="149">
        <v>110.80200000000001</v>
      </c>
      <c r="C446" s="153">
        <f>AVERAGE(B435:B446)</f>
        <v>108.73914166666667</v>
      </c>
    </row>
    <row r="447" spans="1:3" x14ac:dyDescent="0.2">
      <c r="A447" s="150">
        <v>42736</v>
      </c>
      <c r="B447" s="149">
        <v>111.2231</v>
      </c>
    </row>
    <row r="448" spans="1:3" x14ac:dyDescent="0.2">
      <c r="A448" s="150">
        <v>42767</v>
      </c>
      <c r="B448" s="149">
        <v>111.5902</v>
      </c>
    </row>
    <row r="449" spans="1:3" x14ac:dyDescent="0.2">
      <c r="A449" s="150">
        <v>42795</v>
      </c>
      <c r="B449" s="149">
        <v>111.8691</v>
      </c>
    </row>
    <row r="450" spans="1:3" x14ac:dyDescent="0.2">
      <c r="A450" s="150">
        <v>42826</v>
      </c>
      <c r="B450" s="149">
        <v>112.0257</v>
      </c>
    </row>
    <row r="451" spans="1:3" x14ac:dyDescent="0.2">
      <c r="A451" s="150">
        <v>42856</v>
      </c>
      <c r="B451" s="149">
        <v>112.373</v>
      </c>
    </row>
    <row r="452" spans="1:3" x14ac:dyDescent="0.2">
      <c r="A452" s="150">
        <v>42887</v>
      </c>
      <c r="B452" s="149">
        <v>112.11450000000001</v>
      </c>
    </row>
    <row r="453" spans="1:3" x14ac:dyDescent="0.2">
      <c r="A453" s="150">
        <v>42917</v>
      </c>
      <c r="B453" s="149">
        <v>112.3837</v>
      </c>
    </row>
    <row r="454" spans="1:3" x14ac:dyDescent="0.2">
      <c r="A454" s="150">
        <v>42948</v>
      </c>
      <c r="B454" s="149">
        <v>112.5971</v>
      </c>
    </row>
    <row r="455" spans="1:3" x14ac:dyDescent="0.2">
      <c r="A455" s="150">
        <v>42979</v>
      </c>
      <c r="B455" s="149">
        <v>112.77719999999999</v>
      </c>
    </row>
    <row r="456" spans="1:3" x14ac:dyDescent="0.2">
      <c r="A456" s="150">
        <v>43009</v>
      </c>
      <c r="B456" s="149">
        <v>113.2509</v>
      </c>
      <c r="C456" s="149"/>
    </row>
    <row r="457" spans="1:3" x14ac:dyDescent="0.2">
      <c r="A457" s="150">
        <v>43040</v>
      </c>
      <c r="B457" s="149">
        <v>113.5681</v>
      </c>
    </row>
    <row r="458" spans="1:3" x14ac:dyDescent="0.2">
      <c r="A458" s="150">
        <v>43070</v>
      </c>
      <c r="B458" s="149">
        <v>114.06780000000001</v>
      </c>
      <c r="C458" s="153">
        <f>AVERAGE(B447:B458)</f>
        <v>112.4867</v>
      </c>
    </row>
    <row r="459" spans="1:3" x14ac:dyDescent="0.2">
      <c r="A459" s="150">
        <v>43101</v>
      </c>
      <c r="B459" s="149">
        <v>114.39870000000001</v>
      </c>
    </row>
    <row r="460" spans="1:3" x14ac:dyDescent="0.2">
      <c r="A460" s="150">
        <v>43132</v>
      </c>
      <c r="B460" s="149">
        <v>114.76479999999999</v>
      </c>
    </row>
    <row r="461" spans="1:3" x14ac:dyDescent="0.2">
      <c r="A461" s="150">
        <v>43160</v>
      </c>
      <c r="B461" s="149">
        <v>114.8681</v>
      </c>
    </row>
    <row r="462" spans="1:3" x14ac:dyDescent="0.2">
      <c r="A462" s="150">
        <v>43191</v>
      </c>
      <c r="B462" s="149">
        <v>115.1207</v>
      </c>
    </row>
    <row r="463" spans="1:3" x14ac:dyDescent="0.2">
      <c r="A463" s="150">
        <v>43221</v>
      </c>
      <c r="B463" s="149">
        <v>115.5813</v>
      </c>
    </row>
    <row r="464" spans="1:3" x14ac:dyDescent="0.2">
      <c r="A464" s="150">
        <v>43252</v>
      </c>
      <c r="B464" s="149">
        <v>117.0376</v>
      </c>
    </row>
    <row r="465" spans="1:3" x14ac:dyDescent="0.2">
      <c r="A465" s="150">
        <v>43282</v>
      </c>
      <c r="B465" s="149">
        <v>117.4239</v>
      </c>
    </row>
    <row r="466" spans="1:3" x14ac:dyDescent="0.2">
      <c r="A466" s="150">
        <v>43313</v>
      </c>
      <c r="B466" s="149">
        <v>117.31829999999999</v>
      </c>
    </row>
    <row r="467" spans="1:3" x14ac:dyDescent="0.2">
      <c r="A467" s="150">
        <v>43344</v>
      </c>
      <c r="B467" s="149">
        <v>117.8814</v>
      </c>
    </row>
    <row r="468" spans="1:3" x14ac:dyDescent="0.2">
      <c r="A468" s="150">
        <v>43374</v>
      </c>
      <c r="B468" s="149">
        <v>118.4118</v>
      </c>
    </row>
    <row r="469" spans="1:3" x14ac:dyDescent="0.2">
      <c r="A469" s="150">
        <v>43405</v>
      </c>
      <c r="B469" s="149">
        <v>118.1631</v>
      </c>
      <c r="C469" s="149"/>
    </row>
    <row r="470" spans="1:3" x14ac:dyDescent="0.2">
      <c r="A470" s="150">
        <v>43435</v>
      </c>
      <c r="B470" s="149">
        <v>118.3403</v>
      </c>
      <c r="C470" s="153">
        <f>AVERAGE(B459:B470)</f>
        <v>116.60916666666668</v>
      </c>
    </row>
    <row r="471" spans="1:3" x14ac:dyDescent="0.2">
      <c r="A471" s="150">
        <v>43466</v>
      </c>
      <c r="B471" s="149">
        <v>118.71899999999999</v>
      </c>
    </row>
    <row r="472" spans="1:3" x14ac:dyDescent="0.2">
      <c r="A472" s="150">
        <v>43497</v>
      </c>
      <c r="B472" s="149">
        <v>119.2294</v>
      </c>
    </row>
    <row r="473" spans="1:3" x14ac:dyDescent="0.2">
      <c r="A473" s="150">
        <v>43525</v>
      </c>
      <c r="B473" s="149">
        <v>120.1236</v>
      </c>
    </row>
    <row r="474" spans="1:3" x14ac:dyDescent="0.2">
      <c r="A474" s="150">
        <v>43556</v>
      </c>
      <c r="B474" s="149">
        <v>120.8083</v>
      </c>
    </row>
    <row r="475" spans="1:3" x14ac:dyDescent="0.2">
      <c r="A475" s="150">
        <v>43586</v>
      </c>
      <c r="B475" s="149">
        <v>120.9653</v>
      </c>
    </row>
    <row r="476" spans="1:3" x14ac:dyDescent="0.2">
      <c r="A476" s="150">
        <v>43617</v>
      </c>
      <c r="B476" s="149">
        <v>120.9774</v>
      </c>
    </row>
    <row r="477" spans="1:3" x14ac:dyDescent="0.2">
      <c r="A477" s="150">
        <v>43647</v>
      </c>
      <c r="B477" s="149">
        <v>121.2073</v>
      </c>
    </row>
    <row r="478" spans="1:3" x14ac:dyDescent="0.2">
      <c r="A478" s="150">
        <v>43678</v>
      </c>
      <c r="B478" s="149">
        <v>121.3407</v>
      </c>
    </row>
    <row r="479" spans="1:3" x14ac:dyDescent="0.2">
      <c r="A479" s="150">
        <v>43709</v>
      </c>
      <c r="B479" s="149">
        <v>121.29219999999999</v>
      </c>
    </row>
    <row r="480" spans="1:3" x14ac:dyDescent="0.2">
      <c r="A480" s="150">
        <v>43739</v>
      </c>
      <c r="B480" s="149">
        <v>121.4136</v>
      </c>
    </row>
    <row r="481" spans="1:3" x14ac:dyDescent="0.2">
      <c r="A481" s="150">
        <v>43770</v>
      </c>
      <c r="B481" s="149">
        <v>122.03279999999999</v>
      </c>
    </row>
    <row r="482" spans="1:3" x14ac:dyDescent="0.2">
      <c r="A482" s="150">
        <v>43800</v>
      </c>
      <c r="B482" s="149">
        <v>123.4363</v>
      </c>
      <c r="C482" s="153">
        <f>AVERAGE(B471:B482)</f>
        <v>120.96215833333333</v>
      </c>
    </row>
    <row r="483" spans="1:3" x14ac:dyDescent="0.2">
      <c r="A483" s="150">
        <v>43831</v>
      </c>
      <c r="B483" s="149">
        <v>123.69540000000001</v>
      </c>
    </row>
    <row r="484" spans="1:3" x14ac:dyDescent="0.2">
      <c r="A484" s="150">
        <v>43862</v>
      </c>
      <c r="B484" s="149">
        <v>124.0047</v>
      </c>
    </row>
    <row r="485" spans="1:3" x14ac:dyDescent="0.2">
      <c r="A485" s="150">
        <v>43891</v>
      </c>
      <c r="B485" s="149">
        <v>124.0915</v>
      </c>
    </row>
    <row r="486" spans="1:3" x14ac:dyDescent="0.2">
      <c r="A486" s="150">
        <v>43922</v>
      </c>
      <c r="B486" s="149">
        <v>123.7068</v>
      </c>
    </row>
    <row r="487" spans="1:3" x14ac:dyDescent="0.2">
      <c r="A487" s="150">
        <v>43952</v>
      </c>
      <c r="B487" s="149">
        <v>123.2367</v>
      </c>
    </row>
    <row r="488" spans="1:3" x14ac:dyDescent="0.2">
      <c r="A488" s="150">
        <v>43983</v>
      </c>
      <c r="B488" s="149">
        <v>123.55710000000001</v>
      </c>
    </row>
    <row r="489" spans="1:3" x14ac:dyDescent="0.2">
      <c r="A489" s="150">
        <v>44013</v>
      </c>
      <c r="B489" s="149">
        <v>124.00190000000001</v>
      </c>
    </row>
    <row r="490" spans="1:3" x14ac:dyDescent="0.2">
      <c r="A490" s="150">
        <v>44044</v>
      </c>
      <c r="B490" s="149">
        <v>124.2996</v>
      </c>
    </row>
    <row r="491" spans="1:3" x14ac:dyDescent="0.2">
      <c r="A491" s="150">
        <v>44075</v>
      </c>
      <c r="B491" s="149">
        <v>125.0951</v>
      </c>
    </row>
    <row r="492" spans="1:3" x14ac:dyDescent="0.2">
      <c r="A492" s="150">
        <v>44105</v>
      </c>
      <c r="B492" s="149">
        <v>126.17100000000001</v>
      </c>
    </row>
    <row r="493" spans="1:3" x14ac:dyDescent="0.2">
      <c r="A493" s="150">
        <v>44136</v>
      </c>
      <c r="B493" s="149">
        <v>127.29389999999999</v>
      </c>
    </row>
    <row r="494" spans="1:3" x14ac:dyDescent="0.2">
      <c r="A494" s="150">
        <v>44166</v>
      </c>
      <c r="B494" s="149">
        <v>129.01240000000001</v>
      </c>
      <c r="C494" s="153">
        <f>AVERAGE(B483:B494)</f>
        <v>124.84717499999999</v>
      </c>
    </row>
    <row r="495" spans="1:3" x14ac:dyDescent="0.2">
      <c r="A495" s="150">
        <v>44197</v>
      </c>
      <c r="B495" s="149">
        <v>129.3349</v>
      </c>
      <c r="C495" s="149"/>
    </row>
    <row r="496" spans="1:3" x14ac:dyDescent="0.2">
      <c r="A496" s="150">
        <v>44228</v>
      </c>
      <c r="B496" s="149">
        <v>130.44720000000001</v>
      </c>
    </row>
    <row r="497" spans="1:3" x14ac:dyDescent="0.2">
      <c r="A497" s="150">
        <v>44256</v>
      </c>
      <c r="B497" s="149">
        <v>131.66040000000001</v>
      </c>
    </row>
    <row r="498" spans="1:3" x14ac:dyDescent="0.2">
      <c r="A498" s="150">
        <v>44287</v>
      </c>
      <c r="B498" s="149">
        <v>132.0685</v>
      </c>
    </row>
    <row r="499" spans="1:3" x14ac:dyDescent="0.2">
      <c r="A499" s="150">
        <v>44317</v>
      </c>
      <c r="B499" s="149">
        <v>133.16480000000001</v>
      </c>
    </row>
    <row r="500" spans="1:3" x14ac:dyDescent="0.2">
      <c r="A500" s="150">
        <v>44348</v>
      </c>
      <c r="B500" s="149">
        <v>133.87049999999999</v>
      </c>
    </row>
    <row r="501" spans="1:3" x14ac:dyDescent="0.2">
      <c r="A501" s="150">
        <v>44378</v>
      </c>
      <c r="B501" s="149">
        <v>135.1557</v>
      </c>
    </row>
    <row r="502" spans="1:3" x14ac:dyDescent="0.2">
      <c r="A502" s="150">
        <v>44409</v>
      </c>
      <c r="B502" s="149">
        <v>136.33150000000001</v>
      </c>
    </row>
    <row r="503" spans="1:3" x14ac:dyDescent="0.2">
      <c r="A503" s="150">
        <v>44440</v>
      </c>
      <c r="B503" s="149">
        <v>137.91290000000001</v>
      </c>
    </row>
    <row r="504" spans="1:3" x14ac:dyDescent="0.2">
      <c r="A504" s="150">
        <v>44470</v>
      </c>
      <c r="B504" s="149">
        <v>139.63669999999999</v>
      </c>
    </row>
    <row r="505" spans="1:3" x14ac:dyDescent="0.2">
      <c r="A505" s="150">
        <v>44501</v>
      </c>
      <c r="B505" s="149">
        <v>140.96340000000001</v>
      </c>
    </row>
    <row r="506" spans="1:3" x14ac:dyDescent="0.2">
      <c r="A506" s="150">
        <v>44531</v>
      </c>
      <c r="B506" s="149">
        <v>141.9924</v>
      </c>
      <c r="C506" s="153">
        <f>AVERAGE(B495:B506)</f>
        <v>135.21157500000001</v>
      </c>
    </row>
    <row r="507" spans="1:3" x14ac:dyDescent="0.2">
      <c r="A507" s="150">
        <v>44562</v>
      </c>
      <c r="B507" s="149">
        <v>142.75919999999999</v>
      </c>
    </row>
    <row r="508" spans="1:3" x14ac:dyDescent="0.2">
      <c r="A508" s="150">
        <v>44593</v>
      </c>
      <c r="B508" s="149">
        <v>144.2011</v>
      </c>
      <c r="C508" s="149"/>
    </row>
    <row r="509" spans="1:3" x14ac:dyDescent="0.2">
      <c r="A509" s="150">
        <v>44621</v>
      </c>
      <c r="B509" s="149">
        <v>146.53720000000001</v>
      </c>
    </row>
    <row r="510" spans="1:3" x14ac:dyDescent="0.2">
      <c r="A510" s="150">
        <v>44652</v>
      </c>
      <c r="B510" s="149">
        <v>148.09059999999999</v>
      </c>
    </row>
    <row r="511" spans="1:3" x14ac:dyDescent="0.2">
      <c r="A511" s="150">
        <v>44682</v>
      </c>
      <c r="B511" s="149">
        <v>148.78659999999999</v>
      </c>
    </row>
    <row r="512" spans="1:3" x14ac:dyDescent="0.2">
      <c r="A512" s="150">
        <v>44713</v>
      </c>
      <c r="B512" s="149">
        <v>149.78360000000001</v>
      </c>
    </row>
    <row r="513" spans="1:3" x14ac:dyDescent="0.2">
      <c r="A513" s="150">
        <v>44743</v>
      </c>
      <c r="B513" s="149">
        <v>148.76499999999999</v>
      </c>
    </row>
    <row r="514" spans="1:3" x14ac:dyDescent="0.2">
      <c r="A514" s="150">
        <v>44774</v>
      </c>
      <c r="B514" s="149">
        <v>148.2295</v>
      </c>
    </row>
    <row r="515" spans="1:3" x14ac:dyDescent="0.2">
      <c r="A515" s="150">
        <v>44805</v>
      </c>
      <c r="B515" s="149">
        <v>147.7996</v>
      </c>
    </row>
    <row r="516" spans="1:3" x14ac:dyDescent="0.2">
      <c r="A516" s="150">
        <v>44835</v>
      </c>
      <c r="B516" s="149">
        <v>148.67179999999999</v>
      </c>
    </row>
    <row r="517" spans="1:3" x14ac:dyDescent="0.2">
      <c r="A517" s="150">
        <v>44866</v>
      </c>
      <c r="B517" s="149">
        <v>149.28129999999999</v>
      </c>
    </row>
    <row r="518" spans="1:3" x14ac:dyDescent="0.2">
      <c r="A518" s="150">
        <v>44896</v>
      </c>
      <c r="B518" s="149">
        <v>150.20679999999999</v>
      </c>
      <c r="C518" s="153">
        <f>AVERAGE(B507:B518)</f>
        <v>147.75935833333332</v>
      </c>
    </row>
    <row r="519" spans="1:3" x14ac:dyDescent="0.2">
      <c r="A519" s="150">
        <v>44927</v>
      </c>
      <c r="B519" s="149">
        <v>151.00280000000001</v>
      </c>
    </row>
    <row r="520" spans="1:3" x14ac:dyDescent="0.2">
      <c r="A520" s="150">
        <v>44958</v>
      </c>
      <c r="B520" s="149">
        <v>152.27119999999999</v>
      </c>
    </row>
    <row r="521" spans="1:3" x14ac:dyDescent="0.2">
      <c r="A521" s="150">
        <v>44986</v>
      </c>
      <c r="B521" s="149">
        <v>153.35239999999999</v>
      </c>
      <c r="C521" s="149"/>
    </row>
    <row r="522" spans="1:3" x14ac:dyDescent="0.2">
      <c r="A522" s="150">
        <v>45017</v>
      </c>
      <c r="B522" s="149">
        <v>154.2878</v>
      </c>
    </row>
    <row r="523" spans="1:3" x14ac:dyDescent="0.2">
      <c r="A523" s="150">
        <v>45047</v>
      </c>
      <c r="B523" s="149">
        <v>154.64259999999999</v>
      </c>
    </row>
    <row r="524" spans="1:3" x14ac:dyDescent="0.2">
      <c r="A524" s="150">
        <v>45078</v>
      </c>
      <c r="B524" s="149">
        <v>154.5189</v>
      </c>
    </row>
    <row r="525" spans="1:3" x14ac:dyDescent="0.2">
      <c r="A525" s="150">
        <v>45108</v>
      </c>
      <c r="B525" s="149">
        <v>154.70429999999999</v>
      </c>
    </row>
    <row r="526" spans="1:3" x14ac:dyDescent="0.2">
      <c r="A526" s="150">
        <v>45139</v>
      </c>
      <c r="B526" s="149">
        <v>155.06020000000001</v>
      </c>
    </row>
    <row r="527" spans="1:3" x14ac:dyDescent="0.2">
      <c r="A527" s="150">
        <v>45170</v>
      </c>
      <c r="B527" s="149">
        <v>155.46350000000001</v>
      </c>
    </row>
    <row r="528" spans="1:3" x14ac:dyDescent="0.2">
      <c r="A528" s="150">
        <v>45200</v>
      </c>
      <c r="B528" s="149">
        <v>155.8365</v>
      </c>
    </row>
    <row r="529" spans="1:3" x14ac:dyDescent="0.2">
      <c r="A529" s="150">
        <v>45231</v>
      </c>
      <c r="B529" s="149">
        <v>156.27289999999999</v>
      </c>
    </row>
    <row r="530" spans="1:3" x14ac:dyDescent="0.2">
      <c r="A530" s="154">
        <v>45261</v>
      </c>
      <c r="B530" s="153">
        <v>157.1481</v>
      </c>
      <c r="C530" s="153">
        <f>AVERAGE(B519:B530)</f>
        <v>154.54676666666668</v>
      </c>
    </row>
    <row r="531" spans="1:3" x14ac:dyDescent="0.2">
      <c r="A531" s="150">
        <v>45292</v>
      </c>
      <c r="B531" s="149">
        <v>157.8082</v>
      </c>
    </row>
    <row r="532" spans="1:3" x14ac:dyDescent="0.2">
      <c r="A532" s="150">
        <v>45323</v>
      </c>
      <c r="B532" s="149">
        <v>159.11789999999999</v>
      </c>
    </row>
    <row r="533" spans="1:3" x14ac:dyDescent="0.2">
      <c r="A533" s="150">
        <v>45352</v>
      </c>
      <c r="B533" s="149">
        <v>159.3724</v>
      </c>
    </row>
    <row r="534" spans="1:3" x14ac:dyDescent="0.2">
      <c r="A534" s="150">
        <v>45383</v>
      </c>
      <c r="B534" s="149">
        <v>159.97790000000001</v>
      </c>
      <c r="C534" s="149"/>
    </row>
    <row r="535" spans="1:3" x14ac:dyDescent="0.2">
      <c r="A535" s="150">
        <v>45413</v>
      </c>
      <c r="B535" s="149">
        <v>160.7139</v>
      </c>
    </row>
    <row r="536" spans="1:3" x14ac:dyDescent="0.2">
      <c r="A536" s="150">
        <v>45444</v>
      </c>
      <c r="B536" s="149">
        <v>161.0515</v>
      </c>
    </row>
    <row r="537" spans="1:3" x14ac:dyDescent="0.2">
      <c r="A537" s="150">
        <v>45474</v>
      </c>
      <c r="B537" s="149">
        <v>161.6635</v>
      </c>
    </row>
    <row r="538" spans="1:3" x14ac:dyDescent="0.2">
      <c r="A538" s="150">
        <v>45505</v>
      </c>
      <c r="B538" s="149">
        <v>161.63130000000001</v>
      </c>
    </row>
    <row r="539" spans="1:3" x14ac:dyDescent="0.2">
      <c r="A539" s="150">
        <v>45536</v>
      </c>
      <c r="B539" s="149">
        <v>162.3424</v>
      </c>
    </row>
    <row r="540" spans="1:3" x14ac:dyDescent="0.2">
      <c r="A540" s="150">
        <v>45566</v>
      </c>
      <c r="B540" s="149">
        <v>163.25139999999999</v>
      </c>
    </row>
    <row r="541" spans="1:3" x14ac:dyDescent="0.2">
      <c r="A541" s="150">
        <v>45597</v>
      </c>
      <c r="B541" s="149">
        <v>163.88800000000001</v>
      </c>
    </row>
    <row r="542" spans="1:3" x14ac:dyDescent="0.2">
      <c r="A542" s="154">
        <v>45627</v>
      </c>
      <c r="B542" s="153">
        <v>164.74019999999999</v>
      </c>
      <c r="C542" s="153">
        <f>AVERAGE(B531:B542)</f>
        <v>161.29655</v>
      </c>
    </row>
    <row r="543" spans="1:3" x14ac:dyDescent="0.2">
      <c r="A543" s="150">
        <v>45658</v>
      </c>
      <c r="B543" s="149">
        <v>165.00380000000001</v>
      </c>
    </row>
    <row r="544" spans="1:3" x14ac:dyDescent="0.2">
      <c r="A544" s="150">
        <v>45689</v>
      </c>
      <c r="B544" s="149">
        <v>167.16550000000001</v>
      </c>
    </row>
    <row r="545" spans="1:3" x14ac:dyDescent="0.2">
      <c r="A545" s="150">
        <v>45717</v>
      </c>
      <c r="B545" s="149">
        <v>168.10159999999999</v>
      </c>
    </row>
    <row r="546" spans="1:3" x14ac:dyDescent="0.2">
      <c r="A546" s="154">
        <v>45748</v>
      </c>
      <c r="B546" s="153">
        <v>168.8246</v>
      </c>
      <c r="C546" s="153">
        <f>AVERAGE(B543:B546)</f>
        <v>167.273875</v>
      </c>
    </row>
  </sheetData>
  <hyperlinks>
    <hyperlink ref="E9" r:id="rId1" xr:uid="{77270673-6F76-6D42-BDC3-76EF08EE4004}"/>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73A74-246A-CB44-902F-17E5FB67DEBF}">
  <dimension ref="A1:C46"/>
  <sheetViews>
    <sheetView topLeftCell="A24" zoomScale="130" zoomScaleNormal="130" workbookViewId="0">
      <selection activeCell="B32" sqref="B32"/>
    </sheetView>
  </sheetViews>
  <sheetFormatPr baseColWidth="10" defaultColWidth="8.83203125" defaultRowHeight="16" x14ac:dyDescent="0.2"/>
  <cols>
    <col min="1" max="1" width="16.5" bestFit="1" customWidth="1"/>
    <col min="2" max="2" width="8.83203125" style="106" bestFit="1"/>
  </cols>
  <sheetData>
    <row r="1" spans="1:2" x14ac:dyDescent="0.2">
      <c r="A1" s="104" t="s">
        <v>340</v>
      </c>
      <c r="B1" s="104" t="s">
        <v>341</v>
      </c>
    </row>
    <row r="2" spans="1:2" x14ac:dyDescent="0.2">
      <c r="A2" s="105">
        <v>34700</v>
      </c>
      <c r="B2" s="106">
        <v>0.91610000000000003</v>
      </c>
    </row>
    <row r="3" spans="1:2" x14ac:dyDescent="0.2">
      <c r="A3" s="105">
        <v>35065</v>
      </c>
      <c r="B3" s="106">
        <v>1.0051000000000001</v>
      </c>
    </row>
    <row r="4" spans="1:2" x14ac:dyDescent="0.2">
      <c r="A4" s="105">
        <v>35431</v>
      </c>
      <c r="B4" s="106">
        <v>1.0779000000000001</v>
      </c>
    </row>
    <row r="5" spans="1:2" x14ac:dyDescent="0.2">
      <c r="A5" s="105">
        <v>35796</v>
      </c>
      <c r="B5" s="106">
        <v>1.1605000000000001</v>
      </c>
    </row>
    <row r="6" spans="1:2" x14ac:dyDescent="0.2">
      <c r="A6" s="105">
        <v>36161</v>
      </c>
      <c r="B6" s="106">
        <v>1.8207</v>
      </c>
    </row>
    <row r="7" spans="1:2" x14ac:dyDescent="0.2">
      <c r="A7" s="105">
        <v>36526</v>
      </c>
      <c r="B7" s="106">
        <v>1.8301000000000001</v>
      </c>
    </row>
    <row r="8" spans="1:2" x14ac:dyDescent="0.2">
      <c r="A8" s="105">
        <v>36892</v>
      </c>
      <c r="B8" s="106">
        <v>2.3527</v>
      </c>
    </row>
    <row r="9" spans="1:2" x14ac:dyDescent="0.2">
      <c r="A9" s="105">
        <v>37257</v>
      </c>
      <c r="B9" s="106">
        <v>2.9213</v>
      </c>
    </row>
    <row r="10" spans="1:2" x14ac:dyDescent="0.2">
      <c r="A10" s="105">
        <v>37622</v>
      </c>
      <c r="B10" s="106">
        <v>3.0750000000000002</v>
      </c>
    </row>
    <row r="11" spans="1:2" x14ac:dyDescent="0.2">
      <c r="A11" s="105">
        <v>37987</v>
      </c>
      <c r="B11" s="106">
        <v>2.9262000000000001</v>
      </c>
    </row>
    <row r="12" spans="1:2" x14ac:dyDescent="0.2">
      <c r="A12" s="105">
        <v>38353</v>
      </c>
      <c r="B12" s="106">
        <v>2.4352</v>
      </c>
    </row>
    <row r="13" spans="1:2" x14ac:dyDescent="0.2">
      <c r="A13" s="105">
        <v>38718</v>
      </c>
      <c r="B13" s="106">
        <v>2.1738</v>
      </c>
    </row>
    <row r="14" spans="1:2" x14ac:dyDescent="0.2">
      <c r="A14" s="105">
        <v>39083</v>
      </c>
      <c r="B14" s="106">
        <v>1.9460999999999999</v>
      </c>
    </row>
    <row r="15" spans="1:2" x14ac:dyDescent="0.2">
      <c r="A15" s="105">
        <v>39448</v>
      </c>
      <c r="B15" s="106">
        <v>1.8326</v>
      </c>
    </row>
    <row r="16" spans="1:2" x14ac:dyDescent="0.2">
      <c r="A16" s="105">
        <v>39814</v>
      </c>
      <c r="B16" s="106">
        <v>1.9976</v>
      </c>
    </row>
    <row r="17" spans="1:2" x14ac:dyDescent="0.2">
      <c r="A17" s="108">
        <v>40179</v>
      </c>
      <c r="B17" s="109">
        <v>1.76</v>
      </c>
    </row>
    <row r="18" spans="1:2" x14ac:dyDescent="0.2">
      <c r="A18" s="105">
        <v>40544</v>
      </c>
      <c r="B18" s="106">
        <v>1.6722999999999999</v>
      </c>
    </row>
    <row r="19" spans="1:2" x14ac:dyDescent="0.2">
      <c r="A19" s="105">
        <v>40909</v>
      </c>
      <c r="B19" s="106">
        <v>1.9535</v>
      </c>
    </row>
    <row r="20" spans="1:2" x14ac:dyDescent="0.2">
      <c r="A20" s="105">
        <v>41275</v>
      </c>
      <c r="B20" s="106">
        <v>2.157</v>
      </c>
    </row>
    <row r="21" spans="1:2" x14ac:dyDescent="0.2">
      <c r="A21" s="105">
        <v>41640</v>
      </c>
      <c r="B21" s="106">
        <v>2.3512</v>
      </c>
    </row>
    <row r="22" spans="1:2" x14ac:dyDescent="0.2">
      <c r="A22" s="105">
        <v>42005</v>
      </c>
      <c r="B22" s="106">
        <v>3.3359999999999999</v>
      </c>
    </row>
    <row r="23" spans="1:2" x14ac:dyDescent="0.2">
      <c r="A23" s="105">
        <v>42370</v>
      </c>
      <c r="B23" s="106">
        <v>3.4839000000000002</v>
      </c>
    </row>
    <row r="24" spans="1:2" x14ac:dyDescent="0.2">
      <c r="A24" s="105">
        <v>42736</v>
      </c>
      <c r="B24" s="106">
        <v>3.1909999999999998</v>
      </c>
    </row>
    <row r="25" spans="1:2" x14ac:dyDescent="0.2">
      <c r="A25" s="105">
        <v>43101</v>
      </c>
      <c r="B25" s="106">
        <v>3.6513</v>
      </c>
    </row>
    <row r="26" spans="1:2" x14ac:dyDescent="0.2">
      <c r="A26" s="105">
        <v>43466</v>
      </c>
      <c r="B26" s="106">
        <v>3.944</v>
      </c>
    </row>
    <row r="27" spans="1:2" x14ac:dyDescent="0.2">
      <c r="A27" s="105">
        <v>43831</v>
      </c>
      <c r="B27" s="106">
        <v>5.1586999999999996</v>
      </c>
    </row>
    <row r="28" spans="1:2" x14ac:dyDescent="0.2">
      <c r="A28" s="105">
        <v>44197</v>
      </c>
      <c r="B28" s="106">
        <v>5.3958000000000004</v>
      </c>
    </row>
    <row r="29" spans="1:2" x14ac:dyDescent="0.2">
      <c r="A29" s="105">
        <v>44562</v>
      </c>
      <c r="B29" s="106">
        <v>5.1604999999999999</v>
      </c>
    </row>
    <row r="30" spans="1:2" x14ac:dyDescent="0.2">
      <c r="A30" s="105">
        <v>44927</v>
      </c>
      <c r="B30" s="106">
        <v>4.9946000000000002</v>
      </c>
    </row>
    <row r="31" spans="1:2" x14ac:dyDescent="0.2">
      <c r="A31" s="105">
        <v>45292</v>
      </c>
      <c r="B31" s="106">
        <v>5.3872</v>
      </c>
    </row>
    <row r="32" spans="1:2" x14ac:dyDescent="0.2">
      <c r="A32" s="108">
        <v>45658</v>
      </c>
      <c r="B32" s="109">
        <v>5.5891000000000002</v>
      </c>
    </row>
    <row r="35" spans="1:3" x14ac:dyDescent="0.2">
      <c r="A35" s="2" t="s">
        <v>349</v>
      </c>
    </row>
    <row r="36" spans="1:3" x14ac:dyDescent="0.2">
      <c r="A36" t="s">
        <v>342</v>
      </c>
      <c r="B36"/>
    </row>
    <row r="37" spans="1:3" x14ac:dyDescent="0.2">
      <c r="A37" t="s">
        <v>343</v>
      </c>
      <c r="B37"/>
    </row>
    <row r="38" spans="1:3" x14ac:dyDescent="0.2">
      <c r="A38" t="s">
        <v>344</v>
      </c>
      <c r="B38"/>
    </row>
    <row r="39" spans="1:3" x14ac:dyDescent="0.2">
      <c r="A39" t="s">
        <v>345</v>
      </c>
      <c r="B39"/>
    </row>
    <row r="40" spans="1:3" x14ac:dyDescent="0.2">
      <c r="A40" t="s">
        <v>346</v>
      </c>
      <c r="B40"/>
    </row>
    <row r="41" spans="1:3" x14ac:dyDescent="0.2">
      <c r="A41" t="s">
        <v>3606</v>
      </c>
      <c r="B41"/>
    </row>
    <row r="42" spans="1:3" x14ac:dyDescent="0.2">
      <c r="A42" s="107"/>
      <c r="B42"/>
    </row>
    <row r="43" spans="1:3" ht="17" x14ac:dyDescent="0.2">
      <c r="A43" s="107" t="s">
        <v>341</v>
      </c>
      <c r="B43" t="s">
        <v>347</v>
      </c>
      <c r="C43" t="s">
        <v>3605</v>
      </c>
    </row>
    <row r="44" spans="1:3" x14ac:dyDescent="0.2">
      <c r="A44" s="107"/>
      <c r="B44"/>
    </row>
    <row r="45" spans="1:3" x14ac:dyDescent="0.2">
      <c r="A45" s="107"/>
      <c r="B45"/>
    </row>
    <row r="46" spans="1:3" x14ac:dyDescent="0.2">
      <c r="A46" s="107"/>
      <c r="B46"/>
    </row>
  </sheetData>
  <hyperlinks>
    <hyperlink ref="A35" r:id="rId1" xr:uid="{31BC7D9F-31B0-D54D-9180-66BA01FDD24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19</vt:i4>
      </vt:variant>
      <vt:variant>
        <vt:lpstr>Named Ranges</vt:lpstr>
      </vt:variant>
      <vt:variant>
        <vt:i4>4</vt:i4>
      </vt:variant>
    </vt:vector>
  </HeadingPairs>
  <TitlesOfParts>
    <vt:vector size="23" baseType="lpstr">
      <vt:lpstr>Readme</vt:lpstr>
      <vt:lpstr>Inputs Table &gt;&gt;</vt:lpstr>
      <vt:lpstr>parameters</vt:lpstr>
      <vt:lpstr>gbd_2023_healthstate_appendix_t</vt:lpstr>
      <vt:lpstr>Vaccine Efficacy &gt;&gt;</vt:lpstr>
      <vt:lpstr>seroresponse</vt:lpstr>
      <vt:lpstr>Demographics &gt;&gt;</vt:lpstr>
      <vt:lpstr>life_tables</vt:lpstr>
      <vt:lpstr>age_pyramid</vt:lpstr>
      <vt:lpstr>Costs &gt;&gt;</vt:lpstr>
      <vt:lpstr>tax_rates</vt:lpstr>
      <vt:lpstr>qdenga_price</vt:lpstr>
      <vt:lpstr>pneumo-13_price</vt:lpstr>
      <vt:lpstr>chiqx_price</vt:lpstr>
      <vt:lpstr>calculations</vt:lpstr>
      <vt:lpstr>Adjustments &gt;&gt;</vt:lpstr>
      <vt:lpstr>cpi</vt:lpstr>
      <vt:lpstr>cpi_old</vt:lpstr>
      <vt:lpstr>spot_fx_rate</vt:lpstr>
      <vt:lpstr>C_C</vt:lpstr>
      <vt:lpstr>cycle_length</vt:lpstr>
      <vt:lpstr>U_I</vt:lpstr>
      <vt:lpstr>U_S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Fulgence Drabo</dc:creator>
  <cp:lastModifiedBy>Emmanuel Fulgence Drabo</cp:lastModifiedBy>
  <dcterms:created xsi:type="dcterms:W3CDTF">2025-11-14T18:27:25Z</dcterms:created>
  <dcterms:modified xsi:type="dcterms:W3CDTF">2026-02-20T02:52:52Z</dcterms:modified>
</cp:coreProperties>
</file>